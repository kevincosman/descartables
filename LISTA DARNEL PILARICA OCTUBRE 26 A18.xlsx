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draca\Downloads\"/>
    </mc:Choice>
  </mc:AlternateContent>
  <xr:revisionPtr revIDLastSave="0" documentId="8_{3BDCAAD0-F8AA-497C-887A-B6DAB7150C59}" xr6:coauthVersionLast="47" xr6:coauthVersionMax="47" xr10:uidLastSave="{00000000-0000-0000-0000-000000000000}"/>
  <bookViews>
    <workbookView xWindow="-120" yWindow="-120" windowWidth="24240" windowHeight="13290" firstSheet="11" activeTab="15" xr2:uid="{AEDC5B96-1FF8-4BC6-ADEE-85DED33F61CA}"/>
  </bookViews>
  <sheets>
    <sheet name="lista" sheetId="16" state="hidden" r:id="rId1"/>
    <sheet name="Hoja1" sheetId="17" state="hidden" r:id="rId2"/>
    <sheet name="amb" sheetId="18" state="hidden" r:id="rId3"/>
    <sheet name="Papeles-Cartulina" sheetId="1" r:id="rId4"/>
    <sheet name="LISTA 22.09.2025" sheetId="6" state="hidden" r:id="rId5"/>
    <sheet name="PVC" sheetId="8" r:id="rId6"/>
    <sheet name="Porta Comida XPS" sheetId="11" r:id="rId7"/>
    <sheet name="Band. Expandido" sheetId="5" r:id="rId8"/>
    <sheet name="Linea Aluminio" sheetId="2" r:id="rId9"/>
    <sheet name="Línea Vajilla" sheetId="9" r:id="rId10"/>
    <sheet name="Pote Safety - Roaster" sheetId="19" r:id="rId11"/>
    <sheet name="Potes " sheetId="10" r:id="rId12"/>
    <sheet name="Ensaladeras y Blister" sheetId="12" r:id="rId13"/>
    <sheet name="Panaderia" sheetId="13" r:id="rId14"/>
    <sheet name="Estuches PP" sheetId="15" r:id="rId15"/>
    <sheet name="Frascos-Vasos-Protogo" sheetId="3" r:id="rId16"/>
    <sheet name="Linea BIO-Bagazo" sheetId="4" r:id="rId17"/>
    <sheet name="Vajilla Madera" sheetId="20" r:id="rId18"/>
    <sheet name="Vaso Polipapel" sheetId="21" r:id="rId19"/>
    <sheet name="Band. Envolvibles Aut." sheetId="7" r:id="rId20"/>
    <sheet name="Hoja2" sheetId="22" r:id="rId21"/>
  </sheets>
  <definedNames>
    <definedName name="_xlnm._FilterDatabase" localSheetId="0" hidden="1">lista!$H$1:$H$768</definedName>
    <definedName name="_xlnm._FilterDatabase" localSheetId="3" hidden="1">'Papeles-Cartulina'!#REF!</definedName>
    <definedName name="_xlnm.Print_Area" localSheetId="19">'Band. Envolvibles Aut.'!$A$1:$A$18</definedName>
    <definedName name="_xlnm.Print_Area" localSheetId="7">'Band. Expandido'!$A$1:$H$48</definedName>
    <definedName name="_xlnm.Print_Area" localSheetId="12">'Ensaladeras y Blister'!$A$1:$H$57</definedName>
    <definedName name="_xlnm.Print_Area" localSheetId="14">'Estuches PP'!$A$1:$A$17</definedName>
    <definedName name="_xlnm.Print_Area" localSheetId="15">'Frascos-Vasos-Protogo'!$A$1:$H$63</definedName>
    <definedName name="_xlnm.Print_Area" localSheetId="8">'Linea Aluminio'!$A$1:$H$55</definedName>
    <definedName name="_xlnm.Print_Area" localSheetId="16">'Linea BIO-Bagazo'!$A$1:$H$57</definedName>
    <definedName name="_xlnm.Print_Area" localSheetId="9">'Línea Vajilla'!$A$1:$H$64</definedName>
    <definedName name="_xlnm.Print_Area" localSheetId="13">Panaderia!$A$1:$H$39</definedName>
    <definedName name="_xlnm.Print_Area" localSheetId="3">'Papeles-Cartulina'!$A$1:$H$70</definedName>
    <definedName name="_xlnm.Print_Area" localSheetId="6">'Porta Comida XPS'!$A$1:$H$28</definedName>
    <definedName name="_xlnm.Print_Area" localSheetId="11">'Potes '!$A$1:$H$38</definedName>
    <definedName name="_xlnm.Print_Area" localSheetId="5">PVC!$A$1:$H$32</definedName>
    <definedName name="_xlnm.Print_Area" localSheetId="17">'Vajilla Madera'!$A$1:$H$21</definedName>
    <definedName name="_xlnm.Print_Area" localSheetId="18">'Vaso Polipapel'!$A$1:$H$23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" i="1" l="1"/>
  <c r="U15" i="1"/>
  <c r="S15" i="1"/>
  <c r="F686" i="16"/>
  <c r="F685" i="16"/>
  <c r="F684" i="16"/>
  <c r="F683" i="16"/>
  <c r="F673" i="16"/>
  <c r="F672" i="16"/>
  <c r="F671" i="16"/>
  <c r="F663" i="16"/>
  <c r="F661" i="16"/>
  <c r="F659" i="16"/>
  <c r="F651" i="16"/>
  <c r="F650" i="16"/>
  <c r="F649" i="16"/>
  <c r="F648" i="16"/>
  <c r="F647" i="16"/>
  <c r="F639" i="16"/>
  <c r="F638" i="16"/>
  <c r="F637" i="16"/>
  <c r="F636" i="16"/>
  <c r="F635" i="16"/>
  <c r="F627" i="16"/>
  <c r="F626" i="16"/>
  <c r="F625" i="16"/>
  <c r="F624" i="16"/>
  <c r="F623" i="16"/>
  <c r="F614" i="16"/>
  <c r="F613" i="16"/>
  <c r="F612" i="16"/>
  <c r="F611" i="16"/>
  <c r="F601" i="16"/>
  <c r="F600" i="16"/>
  <c r="F599" i="16"/>
  <c r="F591" i="16"/>
  <c r="F589" i="16"/>
  <c r="F587" i="16"/>
  <c r="F579" i="16"/>
  <c r="F578" i="16"/>
  <c r="F577" i="16"/>
  <c r="F576" i="16"/>
  <c r="F575" i="16"/>
  <c r="F567" i="16"/>
  <c r="F566" i="16"/>
  <c r="F565" i="16"/>
  <c r="F564" i="16"/>
  <c r="F563" i="16"/>
  <c r="F555" i="16"/>
  <c r="F554" i="16"/>
  <c r="F553" i="16"/>
  <c r="F552" i="16"/>
  <c r="F551" i="16"/>
  <c r="F542" i="16"/>
  <c r="F541" i="16"/>
  <c r="F540" i="16"/>
  <c r="F539" i="16"/>
  <c r="F529" i="16"/>
  <c r="F528" i="16"/>
  <c r="F527" i="16"/>
  <c r="F519" i="16"/>
  <c r="F517" i="16"/>
  <c r="F515" i="16"/>
  <c r="F507" i="16"/>
  <c r="F506" i="16"/>
  <c r="F505" i="16"/>
  <c r="F504" i="16"/>
  <c r="F503" i="16"/>
  <c r="F495" i="16"/>
  <c r="F494" i="16"/>
  <c r="F493" i="16"/>
  <c r="F492" i="16"/>
  <c r="F491" i="16"/>
  <c r="F482" i="16"/>
  <c r="F481" i="16"/>
  <c r="F480" i="16"/>
  <c r="F479" i="16"/>
  <c r="F469" i="16"/>
  <c r="F468" i="16"/>
  <c r="F467" i="16"/>
  <c r="F459" i="16"/>
  <c r="F458" i="16"/>
  <c r="F457" i="16"/>
  <c r="F456" i="16"/>
  <c r="F455" i="16"/>
  <c r="F447" i="16"/>
  <c r="F446" i="16"/>
  <c r="F445" i="16"/>
  <c r="F444" i="16"/>
  <c r="F443" i="16"/>
  <c r="F434" i="16"/>
  <c r="F433" i="16"/>
  <c r="F432" i="16"/>
  <c r="F431" i="16"/>
  <c r="F421" i="16"/>
  <c r="F420" i="16"/>
  <c r="F419" i="16"/>
  <c r="F411" i="16"/>
  <c r="F410" i="16"/>
  <c r="F409" i="16"/>
  <c r="F408" i="16"/>
  <c r="F407" i="16"/>
  <c r="F399" i="16"/>
  <c r="F398" i="16"/>
  <c r="F397" i="16"/>
  <c r="F396" i="16"/>
  <c r="F395" i="16"/>
  <c r="F386" i="16"/>
  <c r="F385" i="16"/>
  <c r="F384" i="16"/>
  <c r="F383" i="16"/>
  <c r="F373" i="16"/>
  <c r="F372" i="16"/>
  <c r="F371" i="16"/>
  <c r="F363" i="16"/>
  <c r="F362" i="16"/>
  <c r="F361" i="16"/>
  <c r="F360" i="16"/>
  <c r="F359" i="16"/>
  <c r="F351" i="16"/>
  <c r="F350" i="16"/>
  <c r="F349" i="16"/>
  <c r="F348" i="16"/>
  <c r="F347" i="16"/>
  <c r="F338" i="16"/>
  <c r="F337" i="16"/>
  <c r="F336" i="16"/>
  <c r="F335" i="16"/>
  <c r="F325" i="16"/>
  <c r="F324" i="16"/>
  <c r="F323" i="16"/>
  <c r="F315" i="16"/>
  <c r="F314" i="16"/>
  <c r="F313" i="16"/>
  <c r="F312" i="16"/>
  <c r="F311" i="16"/>
  <c r="F303" i="16"/>
  <c r="F302" i="16"/>
  <c r="F301" i="16"/>
  <c r="F300" i="16"/>
  <c r="F299" i="16"/>
  <c r="F290" i="16"/>
  <c r="F289" i="16"/>
  <c r="F288" i="16"/>
  <c r="F287" i="16"/>
  <c r="F277" i="16"/>
  <c r="F276" i="16"/>
  <c r="F275" i="16"/>
  <c r="F267" i="16"/>
  <c r="F266" i="16"/>
  <c r="F265" i="16"/>
  <c r="F264" i="16"/>
  <c r="F263" i="16"/>
  <c r="F255" i="16"/>
  <c r="F254" i="16"/>
  <c r="F253" i="16"/>
  <c r="F252" i="16"/>
  <c r="F251" i="16"/>
  <c r="F242" i="16"/>
  <c r="F241" i="16"/>
  <c r="F240" i="16"/>
  <c r="F239" i="16"/>
  <c r="F229" i="16"/>
  <c r="F228" i="16"/>
  <c r="F227" i="16"/>
  <c r="F219" i="16"/>
  <c r="F218" i="16"/>
  <c r="F217" i="16"/>
  <c r="F216" i="16"/>
  <c r="F215" i="16"/>
  <c r="F207" i="16"/>
  <c r="F206" i="16"/>
  <c r="F205" i="16"/>
  <c r="F204" i="16"/>
  <c r="F203" i="16"/>
  <c r="F194" i="16"/>
  <c r="F193" i="16"/>
  <c r="F192" i="16"/>
  <c r="F191" i="16"/>
  <c r="F181" i="16"/>
  <c r="F180" i="16"/>
  <c r="F179" i="16"/>
  <c r="F171" i="16"/>
  <c r="F170" i="16"/>
  <c r="F169" i="16"/>
  <c r="F168" i="16"/>
  <c r="F167" i="16"/>
  <c r="F159" i="16"/>
  <c r="F158" i="16"/>
  <c r="F157" i="16"/>
  <c r="F156" i="16"/>
  <c r="F155" i="16"/>
  <c r="F146" i="16"/>
  <c r="F145" i="16"/>
  <c r="F144" i="16"/>
  <c r="F143" i="16"/>
  <c r="F133" i="16"/>
  <c r="F132" i="16"/>
  <c r="F131" i="16"/>
  <c r="F123" i="16"/>
  <c r="F122" i="16"/>
  <c r="F120" i="16"/>
  <c r="F119" i="16"/>
  <c r="F111" i="16"/>
  <c r="F110" i="16"/>
  <c r="F109" i="16"/>
  <c r="F108" i="16"/>
  <c r="F107" i="16"/>
  <c r="F98" i="16"/>
  <c r="F97" i="16"/>
  <c r="F96" i="16"/>
  <c r="F95" i="16"/>
  <c r="F85" i="16"/>
  <c r="F84" i="16"/>
  <c r="F83" i="16"/>
  <c r="F75" i="16"/>
  <c r="F74" i="16"/>
  <c r="F73" i="16"/>
  <c r="F72" i="16"/>
  <c r="F71" i="16"/>
  <c r="F63" i="16"/>
  <c r="F62" i="16"/>
  <c r="F61" i="16"/>
  <c r="F60" i="16"/>
  <c r="F59" i="16"/>
  <c r="F50" i="16"/>
  <c r="F49" i="16"/>
  <c r="F48" i="16"/>
  <c r="F47" i="16"/>
  <c r="F37" i="16"/>
  <c r="F36" i="16"/>
  <c r="F35" i="16"/>
  <c r="F27" i="16"/>
  <c r="F26" i="16"/>
  <c r="F25" i="16"/>
  <c r="F24" i="16"/>
  <c r="F23" i="16"/>
  <c r="F15" i="16"/>
  <c r="F14" i="16"/>
  <c r="F13" i="16"/>
  <c r="F12" i="16"/>
  <c r="F11" i="16"/>
  <c r="F4" i="16"/>
  <c r="F5" i="16"/>
  <c r="F6" i="16"/>
  <c r="F7" i="16"/>
  <c r="F8" i="16"/>
  <c r="F9" i="16"/>
  <c r="F10" i="16"/>
  <c r="F16" i="16"/>
  <c r="F17" i="16"/>
  <c r="F18" i="16"/>
  <c r="F19" i="16"/>
  <c r="F20" i="16"/>
  <c r="F21" i="16"/>
  <c r="F22" i="16"/>
  <c r="F28" i="16"/>
  <c r="F29" i="16"/>
  <c r="F30" i="16"/>
  <c r="F31" i="16"/>
  <c r="F32" i="16"/>
  <c r="F33" i="16"/>
  <c r="F34" i="16"/>
  <c r="F38" i="16"/>
  <c r="F39" i="16"/>
  <c r="F40" i="16"/>
  <c r="F41" i="16"/>
  <c r="F42" i="16"/>
  <c r="F43" i="16"/>
  <c r="F44" i="16"/>
  <c r="F45" i="16"/>
  <c r="F46" i="16"/>
  <c r="F51" i="16"/>
  <c r="F52" i="16"/>
  <c r="F53" i="16"/>
  <c r="F54" i="16"/>
  <c r="F55" i="16"/>
  <c r="F56" i="16"/>
  <c r="F57" i="16"/>
  <c r="F58" i="16"/>
  <c r="F64" i="16"/>
  <c r="F65" i="16"/>
  <c r="F66" i="16"/>
  <c r="F67" i="16"/>
  <c r="F68" i="16"/>
  <c r="F69" i="16"/>
  <c r="F70" i="16"/>
  <c r="F76" i="16"/>
  <c r="F77" i="16"/>
  <c r="F78" i="16"/>
  <c r="F79" i="16"/>
  <c r="F80" i="16"/>
  <c r="F81" i="16"/>
  <c r="F82" i="16"/>
  <c r="F86" i="16"/>
  <c r="F87" i="16"/>
  <c r="F88" i="16"/>
  <c r="F89" i="16"/>
  <c r="F90" i="16"/>
  <c r="F91" i="16"/>
  <c r="F92" i="16"/>
  <c r="F93" i="16"/>
  <c r="F94" i="16"/>
  <c r="F99" i="16"/>
  <c r="F100" i="16"/>
  <c r="F101" i="16"/>
  <c r="F102" i="16"/>
  <c r="F103" i="16"/>
  <c r="F104" i="16"/>
  <c r="F105" i="16"/>
  <c r="F106" i="16"/>
  <c r="F112" i="16"/>
  <c r="F113" i="16"/>
  <c r="F114" i="16"/>
  <c r="F115" i="16"/>
  <c r="F116" i="16"/>
  <c r="F117" i="16"/>
  <c r="F118" i="16"/>
  <c r="F124" i="16"/>
  <c r="F125" i="16"/>
  <c r="F126" i="16"/>
  <c r="F127" i="16"/>
  <c r="F128" i="16"/>
  <c r="F129" i="16"/>
  <c r="F130" i="16"/>
  <c r="F134" i="16"/>
  <c r="F135" i="16"/>
  <c r="F136" i="16"/>
  <c r="F137" i="16"/>
  <c r="F138" i="16"/>
  <c r="F139" i="16"/>
  <c r="F140" i="16"/>
  <c r="F141" i="16"/>
  <c r="F142" i="16"/>
  <c r="F147" i="16"/>
  <c r="F148" i="16"/>
  <c r="F149" i="16"/>
  <c r="F150" i="16"/>
  <c r="F151" i="16"/>
  <c r="F152" i="16"/>
  <c r="F153" i="16"/>
  <c r="F154" i="16"/>
  <c r="F160" i="16"/>
  <c r="F161" i="16"/>
  <c r="F162" i="16"/>
  <c r="F163" i="16"/>
  <c r="F164" i="16"/>
  <c r="F165" i="16"/>
  <c r="F166" i="16"/>
  <c r="F172" i="16"/>
  <c r="F173" i="16"/>
  <c r="F174" i="16"/>
  <c r="F175" i="16"/>
  <c r="F176" i="16"/>
  <c r="F177" i="16"/>
  <c r="F178" i="16"/>
  <c r="F182" i="16"/>
  <c r="F183" i="16"/>
  <c r="F184" i="16"/>
  <c r="F185" i="16"/>
  <c r="F186" i="16"/>
  <c r="F187" i="16"/>
  <c r="F188" i="16"/>
  <c r="F189" i="16"/>
  <c r="F190" i="16"/>
  <c r="F195" i="16"/>
  <c r="F196" i="16"/>
  <c r="F197" i="16"/>
  <c r="F198" i="16"/>
  <c r="F199" i="16"/>
  <c r="F200" i="16"/>
  <c r="F201" i="16"/>
  <c r="F202" i="16"/>
  <c r="F208" i="16"/>
  <c r="F209" i="16"/>
  <c r="F210" i="16"/>
  <c r="F211" i="16"/>
  <c r="F212" i="16"/>
  <c r="F213" i="16"/>
  <c r="F214" i="16"/>
  <c r="F220" i="16"/>
  <c r="F221" i="16"/>
  <c r="F222" i="16"/>
  <c r="F223" i="16"/>
  <c r="F224" i="16"/>
  <c r="F225" i="16"/>
  <c r="F226" i="16"/>
  <c r="F230" i="16"/>
  <c r="F231" i="16"/>
  <c r="F232" i="16"/>
  <c r="F233" i="16"/>
  <c r="F234" i="16"/>
  <c r="F235" i="16"/>
  <c r="F236" i="16"/>
  <c r="F237" i="16"/>
  <c r="F238" i="16"/>
  <c r="F243" i="16"/>
  <c r="F244" i="16"/>
  <c r="F245" i="16"/>
  <c r="F246" i="16"/>
  <c r="F247" i="16"/>
  <c r="F248" i="16"/>
  <c r="F249" i="16"/>
  <c r="F250" i="16"/>
  <c r="F256" i="16"/>
  <c r="F257" i="16"/>
  <c r="F258" i="16"/>
  <c r="F259" i="16"/>
  <c r="F260" i="16"/>
  <c r="F261" i="16"/>
  <c r="F262" i="16"/>
  <c r="F268" i="16"/>
  <c r="F269" i="16"/>
  <c r="F270" i="16"/>
  <c r="F271" i="16"/>
  <c r="F272" i="16"/>
  <c r="F273" i="16"/>
  <c r="F274" i="16"/>
  <c r="F278" i="16"/>
  <c r="F279" i="16"/>
  <c r="F280" i="16"/>
  <c r="F281" i="16"/>
  <c r="F282" i="16"/>
  <c r="F283" i="16"/>
  <c r="F284" i="16"/>
  <c r="F285" i="16"/>
  <c r="F286" i="16"/>
  <c r="F291" i="16"/>
  <c r="F292" i="16"/>
  <c r="F293" i="16"/>
  <c r="F294" i="16"/>
  <c r="F295" i="16"/>
  <c r="F296" i="16"/>
  <c r="F297" i="16"/>
  <c r="F298" i="16"/>
  <c r="F304" i="16"/>
  <c r="F305" i="16"/>
  <c r="F306" i="16"/>
  <c r="F307" i="16"/>
  <c r="F308" i="16"/>
  <c r="F309" i="16"/>
  <c r="F310" i="16"/>
  <c r="F316" i="16"/>
  <c r="F317" i="16"/>
  <c r="F318" i="16"/>
  <c r="F319" i="16"/>
  <c r="F320" i="16"/>
  <c r="F321" i="16"/>
  <c r="F322" i="16"/>
  <c r="F326" i="16"/>
  <c r="F327" i="16"/>
  <c r="F328" i="16"/>
  <c r="F329" i="16"/>
  <c r="F330" i="16"/>
  <c r="F331" i="16"/>
  <c r="F332" i="16"/>
  <c r="F333" i="16"/>
  <c r="F334" i="16"/>
  <c r="F339" i="16"/>
  <c r="F340" i="16"/>
  <c r="F341" i="16"/>
  <c r="F342" i="16"/>
  <c r="F343" i="16"/>
  <c r="F344" i="16"/>
  <c r="F345" i="16"/>
  <c r="F346" i="16"/>
  <c r="F352" i="16"/>
  <c r="F353" i="16"/>
  <c r="F354" i="16"/>
  <c r="F355" i="16"/>
  <c r="F356" i="16"/>
  <c r="F357" i="16"/>
  <c r="F358" i="16"/>
  <c r="F364" i="16"/>
  <c r="F365" i="16"/>
  <c r="F366" i="16"/>
  <c r="F367" i="16"/>
  <c r="F368" i="16"/>
  <c r="F369" i="16"/>
  <c r="F370" i="16"/>
  <c r="F374" i="16"/>
  <c r="F375" i="16"/>
  <c r="F376" i="16"/>
  <c r="F377" i="16"/>
  <c r="F378" i="16"/>
  <c r="F379" i="16"/>
  <c r="F380" i="16"/>
  <c r="F381" i="16"/>
  <c r="F382" i="16"/>
  <c r="F387" i="16"/>
  <c r="F388" i="16"/>
  <c r="F389" i="16"/>
  <c r="F390" i="16"/>
  <c r="F391" i="16"/>
  <c r="F392" i="16"/>
  <c r="F393" i="16"/>
  <c r="F394" i="16"/>
  <c r="F400" i="16"/>
  <c r="F401" i="16"/>
  <c r="F402" i="16"/>
  <c r="F403" i="16"/>
  <c r="F404" i="16"/>
  <c r="F405" i="16"/>
  <c r="F406" i="16"/>
  <c r="F412" i="16"/>
  <c r="F413" i="16"/>
  <c r="F414" i="16"/>
  <c r="F415" i="16"/>
  <c r="F416" i="16"/>
  <c r="F417" i="16"/>
  <c r="F418" i="16"/>
  <c r="F422" i="16"/>
  <c r="F423" i="16"/>
  <c r="F424" i="16"/>
  <c r="F425" i="16"/>
  <c r="F426" i="16"/>
  <c r="F427" i="16"/>
  <c r="F428" i="16"/>
  <c r="F429" i="16"/>
  <c r="F430" i="16"/>
  <c r="F435" i="16"/>
  <c r="F436" i="16"/>
  <c r="F437" i="16"/>
  <c r="F438" i="16"/>
  <c r="F439" i="16"/>
  <c r="F440" i="16"/>
  <c r="F441" i="16"/>
  <c r="F442" i="16"/>
  <c r="F448" i="16"/>
  <c r="F449" i="16"/>
  <c r="F450" i="16"/>
  <c r="F451" i="16"/>
  <c r="F452" i="16"/>
  <c r="F453" i="16"/>
  <c r="F454" i="16"/>
  <c r="F460" i="16"/>
  <c r="F461" i="16"/>
  <c r="F462" i="16"/>
  <c r="F463" i="16"/>
  <c r="F464" i="16"/>
  <c r="F465" i="16"/>
  <c r="F466" i="16"/>
  <c r="F470" i="16"/>
  <c r="F471" i="16"/>
  <c r="F472" i="16"/>
  <c r="F473" i="16"/>
  <c r="F474" i="16"/>
  <c r="F475" i="16"/>
  <c r="F476" i="16"/>
  <c r="F477" i="16"/>
  <c r="F478" i="16"/>
  <c r="F483" i="16"/>
  <c r="F484" i="16"/>
  <c r="F485" i="16"/>
  <c r="F486" i="16"/>
  <c r="F487" i="16"/>
  <c r="F488" i="16"/>
  <c r="F489" i="16"/>
  <c r="F490" i="16"/>
  <c r="F496" i="16"/>
  <c r="F497" i="16"/>
  <c r="F498" i="16"/>
  <c r="F499" i="16"/>
  <c r="F500" i="16"/>
  <c r="F501" i="16"/>
  <c r="F502" i="16"/>
  <c r="F508" i="16"/>
  <c r="F509" i="16"/>
  <c r="F510" i="16"/>
  <c r="F511" i="16"/>
  <c r="F512" i="16"/>
  <c r="F513" i="16"/>
  <c r="F514" i="16"/>
  <c r="F516" i="16"/>
  <c r="F518" i="16"/>
  <c r="F520" i="16"/>
  <c r="F521" i="16"/>
  <c r="F522" i="16"/>
  <c r="F523" i="16"/>
  <c r="F524" i="16"/>
  <c r="F525" i="16"/>
  <c r="F526" i="16"/>
  <c r="F530" i="16"/>
  <c r="F531" i="16"/>
  <c r="F532" i="16"/>
  <c r="F533" i="16"/>
  <c r="F534" i="16"/>
  <c r="F535" i="16"/>
  <c r="F536" i="16"/>
  <c r="F537" i="16"/>
  <c r="F538" i="16"/>
  <c r="F543" i="16"/>
  <c r="F544" i="16"/>
  <c r="F545" i="16"/>
  <c r="F546" i="16"/>
  <c r="F547" i="16"/>
  <c r="F548" i="16"/>
  <c r="F549" i="16"/>
  <c r="F550" i="16"/>
  <c r="F556" i="16"/>
  <c r="F557" i="16"/>
  <c r="F558" i="16"/>
  <c r="F559" i="16"/>
  <c r="F560" i="16"/>
  <c r="F561" i="16"/>
  <c r="F562" i="16"/>
  <c r="F568" i="16"/>
  <c r="F569" i="16"/>
  <c r="F570" i="16"/>
  <c r="F571" i="16"/>
  <c r="F572" i="16"/>
  <c r="F573" i="16"/>
  <c r="F574" i="16"/>
  <c r="F580" i="16"/>
  <c r="F581" i="16"/>
  <c r="F582" i="16"/>
  <c r="F583" i="16"/>
  <c r="F584" i="16"/>
  <c r="F585" i="16"/>
  <c r="F586" i="16"/>
  <c r="F588" i="16"/>
  <c r="F590" i="16"/>
  <c r="F592" i="16"/>
  <c r="F593" i="16"/>
  <c r="F594" i="16"/>
  <c r="F595" i="16"/>
  <c r="F596" i="16"/>
  <c r="F597" i="16"/>
  <c r="F598" i="16"/>
  <c r="F602" i="16"/>
  <c r="F603" i="16"/>
  <c r="F604" i="16"/>
  <c r="F605" i="16"/>
  <c r="F606" i="16"/>
  <c r="F607" i="16"/>
  <c r="F608" i="16"/>
  <c r="F609" i="16"/>
  <c r="F610" i="16"/>
  <c r="F615" i="16"/>
  <c r="F616" i="16"/>
  <c r="F617" i="16"/>
  <c r="F618" i="16"/>
  <c r="F619" i="16"/>
  <c r="F620" i="16"/>
  <c r="F621" i="16"/>
  <c r="F622" i="16"/>
  <c r="F628" i="16"/>
  <c r="F629" i="16"/>
  <c r="F630" i="16"/>
  <c r="F631" i="16"/>
  <c r="F632" i="16"/>
  <c r="F633" i="16"/>
  <c r="F634" i="16"/>
  <c r="F640" i="16"/>
  <c r="F641" i="16"/>
  <c r="F642" i="16"/>
  <c r="F643" i="16"/>
  <c r="F644" i="16"/>
  <c r="F645" i="16"/>
  <c r="F646" i="16"/>
  <c r="F652" i="16"/>
  <c r="F653" i="16"/>
  <c r="F654" i="16"/>
  <c r="F655" i="16"/>
  <c r="F656" i="16"/>
  <c r="F657" i="16"/>
  <c r="F658" i="16"/>
  <c r="F660" i="16"/>
  <c r="F662" i="16"/>
  <c r="F664" i="16"/>
  <c r="F665" i="16"/>
  <c r="F666" i="16"/>
  <c r="F667" i="16"/>
  <c r="F668" i="16"/>
  <c r="F669" i="16"/>
  <c r="F670" i="16"/>
  <c r="F674" i="16"/>
  <c r="F675" i="16"/>
  <c r="F676" i="16"/>
  <c r="F677" i="16"/>
  <c r="F678" i="16"/>
  <c r="F679" i="16"/>
  <c r="F680" i="16"/>
  <c r="F681" i="16"/>
  <c r="F682" i="16"/>
  <c r="F687" i="16"/>
  <c r="F688" i="16"/>
  <c r="F689" i="16"/>
  <c r="F690" i="16"/>
  <c r="F691" i="16"/>
  <c r="F692" i="16"/>
  <c r="F693" i="16"/>
  <c r="F694" i="16"/>
  <c r="C29" i="1"/>
  <c r="F37" i="1"/>
  <c r="E37" i="1"/>
  <c r="D37" i="1"/>
  <c r="C37" i="1"/>
  <c r="H36" i="1"/>
  <c r="F36" i="1"/>
  <c r="E36" i="1"/>
  <c r="D36" i="1"/>
  <c r="C36" i="1"/>
  <c r="H35" i="1"/>
  <c r="F35" i="1"/>
  <c r="E35" i="1"/>
  <c r="D35" i="1"/>
  <c r="C35" i="1"/>
  <c r="H34" i="1"/>
  <c r="F34" i="1"/>
  <c r="E34" i="1"/>
  <c r="D34" i="1"/>
  <c r="C34" i="1"/>
  <c r="F33" i="1"/>
  <c r="E33" i="1"/>
  <c r="D33" i="1"/>
  <c r="C33" i="1"/>
  <c r="F32" i="1"/>
  <c r="E32" i="1"/>
  <c r="D32" i="1"/>
  <c r="C32" i="1"/>
  <c r="H31" i="1"/>
  <c r="F31" i="1"/>
  <c r="E31" i="1"/>
  <c r="D31" i="1"/>
  <c r="C31" i="1"/>
  <c r="H30" i="1"/>
  <c r="F30" i="1"/>
  <c r="E30" i="1"/>
  <c r="D30" i="1"/>
  <c r="C30" i="1"/>
  <c r="H29" i="1"/>
  <c r="F29" i="1"/>
  <c r="E29" i="1"/>
  <c r="D29" i="1"/>
  <c r="F28" i="1"/>
  <c r="E28" i="1"/>
  <c r="D28" i="1"/>
  <c r="C28" i="1"/>
  <c r="H32" i="1" l="1"/>
  <c r="H28" i="1"/>
  <c r="F121" i="16"/>
  <c r="H43" i="1"/>
  <c r="C40" i="1"/>
  <c r="D40" i="1"/>
  <c r="E40" i="1"/>
  <c r="F40" i="1"/>
  <c r="C41" i="1"/>
  <c r="D41" i="1"/>
  <c r="E41" i="1"/>
  <c r="F41" i="1"/>
  <c r="C42" i="1"/>
  <c r="D42" i="1"/>
  <c r="E42" i="1"/>
  <c r="F42" i="1"/>
  <c r="C44" i="1"/>
  <c r="D44" i="1"/>
  <c r="E44" i="1"/>
  <c r="F44" i="1"/>
  <c r="F43" i="1"/>
  <c r="E43" i="1"/>
  <c r="D43" i="1"/>
  <c r="C43" i="1"/>
  <c r="H2" i="16" l="1"/>
  <c r="H33" i="1"/>
  <c r="H27" i="4"/>
  <c r="H26" i="4"/>
  <c r="H24" i="4"/>
  <c r="H23" i="4"/>
  <c r="H22" i="4"/>
  <c r="H21" i="4"/>
  <c r="H11" i="4"/>
  <c r="H10" i="4"/>
  <c r="H9" i="4"/>
  <c r="H8" i="4"/>
  <c r="H7" i="4"/>
  <c r="H6" i="4"/>
  <c r="H47" i="3"/>
  <c r="H46" i="3"/>
  <c r="H45" i="3"/>
  <c r="H44" i="3"/>
  <c r="H50" i="3"/>
  <c r="H49" i="3"/>
  <c r="H53" i="3"/>
  <c r="H52" i="3"/>
  <c r="H37" i="13"/>
  <c r="H59" i="9"/>
  <c r="H38" i="9"/>
  <c r="H53" i="2"/>
  <c r="H50" i="2"/>
  <c r="H46" i="2"/>
  <c r="H44" i="2"/>
  <c r="H42" i="2"/>
  <c r="H47" i="5"/>
  <c r="H46" i="5"/>
  <c r="H45" i="5"/>
  <c r="H44" i="5"/>
  <c r="H37" i="5"/>
  <c r="H42" i="5"/>
  <c r="H41" i="5"/>
  <c r="H40" i="5"/>
  <c r="H39" i="5"/>
  <c r="H36" i="5"/>
  <c r="H35" i="5"/>
  <c r="H34" i="5"/>
  <c r="H33" i="5"/>
  <c r="H27" i="5"/>
  <c r="H26" i="5"/>
  <c r="H25" i="5"/>
  <c r="H24" i="5"/>
  <c r="H12" i="11"/>
  <c r="H11" i="11"/>
  <c r="H10" i="11"/>
  <c r="H17" i="8"/>
  <c r="H16" i="8"/>
  <c r="H15" i="8"/>
  <c r="H69" i="1"/>
  <c r="H68" i="1"/>
  <c r="H67" i="1"/>
  <c r="H65" i="1"/>
  <c r="H64" i="1"/>
  <c r="H59" i="1"/>
  <c r="H57" i="1"/>
  <c r="H55" i="1"/>
  <c r="H53" i="1"/>
  <c r="H52" i="1"/>
  <c r="H51" i="1"/>
  <c r="H49" i="1"/>
  <c r="H48" i="1"/>
  <c r="H47" i="1"/>
  <c r="H46" i="1"/>
  <c r="H44" i="1"/>
  <c r="H42" i="1"/>
  <c r="H41" i="1"/>
  <c r="H40" i="1"/>
  <c r="H27" i="1"/>
  <c r="H25" i="1"/>
  <c r="H24" i="1"/>
  <c r="H23" i="1"/>
  <c r="H22" i="1"/>
  <c r="H21" i="1"/>
  <c r="H19" i="1"/>
  <c r="H18" i="1"/>
  <c r="H17" i="1"/>
  <c r="H16" i="1"/>
  <c r="H14" i="1"/>
  <c r="H13" i="1"/>
  <c r="H12" i="1"/>
  <c r="H11" i="1"/>
  <c r="H10" i="1"/>
  <c r="H9" i="1"/>
  <c r="H8" i="1"/>
  <c r="H7" i="1"/>
  <c r="H6" i="1"/>
  <c r="F3" i="16"/>
  <c r="F2" i="16"/>
  <c r="A404" i="17" l="1" a="1"/>
  <c r="A404" i="17" s="1"/>
  <c r="A3" i="17" a="1"/>
  <c r="A3" i="17" s="1"/>
  <c r="A205" i="17" a="1"/>
  <c r="A205" i="17" s="1"/>
  <c r="H6" i="16" l="1"/>
  <c r="H18" i="16"/>
  <c r="H30" i="16"/>
  <c r="H42" i="16"/>
  <c r="H54" i="16"/>
  <c r="H66" i="16"/>
  <c r="H78" i="16"/>
  <c r="H90" i="16"/>
  <c r="H102" i="16"/>
  <c r="H114" i="16"/>
  <c r="H126" i="16"/>
  <c r="H138" i="16"/>
  <c r="H150" i="16"/>
  <c r="H162" i="16"/>
  <c r="H174" i="16"/>
  <c r="H186" i="16"/>
  <c r="H198" i="16"/>
  <c r="H210" i="16"/>
  <c r="H222" i="16"/>
  <c r="H234" i="16"/>
  <c r="H246" i="16"/>
  <c r="H258" i="16"/>
  <c r="H270" i="16"/>
  <c r="H282" i="16"/>
  <c r="H294" i="16"/>
  <c r="H306" i="16"/>
  <c r="H318" i="16"/>
  <c r="H330" i="16"/>
  <c r="H342" i="16"/>
  <c r="H354" i="16"/>
  <c r="H366" i="16"/>
  <c r="H378" i="16"/>
  <c r="H390" i="16"/>
  <c r="H402" i="16"/>
  <c r="H414" i="16"/>
  <c r="H426" i="16"/>
  <c r="H438" i="16"/>
  <c r="H450" i="16"/>
  <c r="H462" i="16"/>
  <c r="H474" i="16"/>
  <c r="H486" i="16"/>
  <c r="H498" i="16"/>
  <c r="H510" i="16"/>
  <c r="H522" i="16"/>
  <c r="H534" i="16"/>
  <c r="H546" i="16"/>
  <c r="H558" i="16"/>
  <c r="H570" i="16"/>
  <c r="H582" i="16"/>
  <c r="H594" i="16"/>
  <c r="H606" i="16"/>
  <c r="H618" i="16"/>
  <c r="H630" i="16"/>
  <c r="H642" i="16"/>
  <c r="H654" i="16"/>
  <c r="H666" i="16"/>
  <c r="H678" i="16"/>
  <c r="H690" i="16"/>
  <c r="H7" i="16"/>
  <c r="H19" i="16"/>
  <c r="H31" i="16"/>
  <c r="H43" i="16"/>
  <c r="H55" i="16"/>
  <c r="H67" i="16"/>
  <c r="H79" i="16"/>
  <c r="H91" i="16"/>
  <c r="H103" i="16"/>
  <c r="H115" i="16"/>
  <c r="H127" i="16"/>
  <c r="H139" i="16"/>
  <c r="H151" i="16"/>
  <c r="H163" i="16"/>
  <c r="H175" i="16"/>
  <c r="H187" i="16"/>
  <c r="H199" i="16"/>
  <c r="H211" i="16"/>
  <c r="H223" i="16"/>
  <c r="H235" i="16"/>
  <c r="H247" i="16"/>
  <c r="H259" i="16"/>
  <c r="H271" i="16"/>
  <c r="H283" i="16"/>
  <c r="H295" i="16"/>
  <c r="H307" i="16"/>
  <c r="H319" i="16"/>
  <c r="H8" i="16"/>
  <c r="H20" i="16"/>
  <c r="H32" i="16"/>
  <c r="H44" i="16"/>
  <c r="H56" i="16"/>
  <c r="H68" i="16"/>
  <c r="H80" i="16"/>
  <c r="H92" i="16"/>
  <c r="H104" i="16"/>
  <c r="H116" i="16"/>
  <c r="H128" i="16"/>
  <c r="H140" i="16"/>
  <c r="H152" i="16"/>
  <c r="H164" i="16"/>
  <c r="H176" i="16"/>
  <c r="H188" i="16"/>
  <c r="H200" i="16"/>
  <c r="H212" i="16"/>
  <c r="H224" i="16"/>
  <c r="H236" i="16"/>
  <c r="H248" i="16"/>
  <c r="H260" i="16"/>
  <c r="H272" i="16"/>
  <c r="H284" i="16"/>
  <c r="H296" i="16"/>
  <c r="H308" i="16"/>
  <c r="H320" i="16"/>
  <c r="H332" i="16"/>
  <c r="H344" i="16"/>
  <c r="H356" i="16"/>
  <c r="H368" i="16"/>
  <c r="H380" i="16"/>
  <c r="H392" i="16"/>
  <c r="H404" i="16"/>
  <c r="H416" i="16"/>
  <c r="H428" i="16"/>
  <c r="H440" i="16"/>
  <c r="H452" i="16"/>
  <c r="H464" i="16"/>
  <c r="H476" i="16"/>
  <c r="H488" i="16"/>
  <c r="H500" i="16"/>
  <c r="H512" i="16"/>
  <c r="H524" i="16"/>
  <c r="H536" i="16"/>
  <c r="H548" i="16"/>
  <c r="H560" i="16"/>
  <c r="H572" i="16"/>
  <c r="H584" i="16"/>
  <c r="H596" i="16"/>
  <c r="H608" i="16"/>
  <c r="H620" i="16"/>
  <c r="H632" i="16"/>
  <c r="H644" i="16"/>
  <c r="H656" i="16"/>
  <c r="H668" i="16"/>
  <c r="H680" i="16"/>
  <c r="H692" i="16"/>
  <c r="H9" i="16"/>
  <c r="H21" i="16"/>
  <c r="H33" i="16"/>
  <c r="H45" i="16"/>
  <c r="H57" i="16"/>
  <c r="H69" i="16"/>
  <c r="H81" i="16"/>
  <c r="H93" i="16"/>
  <c r="H105" i="16"/>
  <c r="H117" i="16"/>
  <c r="H129" i="16"/>
  <c r="H141" i="16"/>
  <c r="H153" i="16"/>
  <c r="H165" i="16"/>
  <c r="H177" i="16"/>
  <c r="H189" i="16"/>
  <c r="H201" i="16"/>
  <c r="H213" i="16"/>
  <c r="H225" i="16"/>
  <c r="H237" i="16"/>
  <c r="H249" i="16"/>
  <c r="H261" i="16"/>
  <c r="H273" i="16"/>
  <c r="H285" i="16"/>
  <c r="H297" i="16"/>
  <c r="H309" i="16"/>
  <c r="H321" i="16"/>
  <c r="H333" i="16"/>
  <c r="H345" i="16"/>
  <c r="H357" i="16"/>
  <c r="H369" i="16"/>
  <c r="H381" i="16"/>
  <c r="H393" i="16"/>
  <c r="H405" i="16"/>
  <c r="H417" i="16"/>
  <c r="H429" i="16"/>
  <c r="H441" i="16"/>
  <c r="H453" i="16"/>
  <c r="H465" i="16"/>
  <c r="H477" i="16"/>
  <c r="H489" i="16"/>
  <c r="H501" i="16"/>
  <c r="H513" i="16"/>
  <c r="H525" i="16"/>
  <c r="H537" i="16"/>
  <c r="H549" i="16"/>
  <c r="H561" i="16"/>
  <c r="H573" i="16"/>
  <c r="H585" i="16"/>
  <c r="H597" i="16"/>
  <c r="H609" i="16"/>
  <c r="H621" i="16"/>
  <c r="H633" i="16"/>
  <c r="H645" i="16"/>
  <c r="H657" i="16"/>
  <c r="H669" i="16"/>
  <c r="H681" i="16"/>
  <c r="H693" i="16"/>
  <c r="H10" i="16"/>
  <c r="H22" i="16"/>
  <c r="H34" i="16"/>
  <c r="H46" i="16"/>
  <c r="H58" i="16"/>
  <c r="H70" i="16"/>
  <c r="H82" i="16"/>
  <c r="H94" i="16"/>
  <c r="H106" i="16"/>
  <c r="H118" i="16"/>
  <c r="H130" i="16"/>
  <c r="H142" i="16"/>
  <c r="H154" i="16"/>
  <c r="H166" i="16"/>
  <c r="H178" i="16"/>
  <c r="H190" i="16"/>
  <c r="H202" i="16"/>
  <c r="H214" i="16"/>
  <c r="H226" i="16"/>
  <c r="H238" i="16"/>
  <c r="H250" i="16"/>
  <c r="H262" i="16"/>
  <c r="H274" i="16"/>
  <c r="H286" i="16"/>
  <c r="H298" i="16"/>
  <c r="H310" i="16"/>
  <c r="H322" i="16"/>
  <c r="H334" i="16"/>
  <c r="H346" i="16"/>
  <c r="H358" i="16"/>
  <c r="H370" i="16"/>
  <c r="H382" i="16"/>
  <c r="H394" i="16"/>
  <c r="H406" i="16"/>
  <c r="H418" i="16"/>
  <c r="H430" i="16"/>
  <c r="H442" i="16"/>
  <c r="H454" i="16"/>
  <c r="H466" i="16"/>
  <c r="H478" i="16"/>
  <c r="H490" i="16"/>
  <c r="H502" i="16"/>
  <c r="H514" i="16"/>
  <c r="H526" i="16"/>
  <c r="H538" i="16"/>
  <c r="H550" i="16"/>
  <c r="H562" i="16"/>
  <c r="H574" i="16"/>
  <c r="H586" i="16"/>
  <c r="H598" i="16"/>
  <c r="H610" i="16"/>
  <c r="H622" i="16"/>
  <c r="H634" i="16"/>
  <c r="H646" i="16"/>
  <c r="H658" i="16"/>
  <c r="H670" i="16"/>
  <c r="H682" i="16"/>
  <c r="H694" i="16"/>
  <c r="H11" i="16"/>
  <c r="H23" i="16"/>
  <c r="H35" i="16"/>
  <c r="H47" i="16"/>
  <c r="H59" i="16"/>
  <c r="H71" i="16"/>
  <c r="H83" i="16"/>
  <c r="H95" i="16"/>
  <c r="H107" i="16"/>
  <c r="H119" i="16"/>
  <c r="H131" i="16"/>
  <c r="H143" i="16"/>
  <c r="H155" i="16"/>
  <c r="H167" i="16"/>
  <c r="H179" i="16"/>
  <c r="H191" i="16"/>
  <c r="H203" i="16"/>
  <c r="H215" i="16"/>
  <c r="H227" i="16"/>
  <c r="H239" i="16"/>
  <c r="H251" i="16"/>
  <c r="H263" i="16"/>
  <c r="H275" i="16"/>
  <c r="H287" i="16"/>
  <c r="H299" i="16"/>
  <c r="H311" i="16"/>
  <c r="H323" i="16"/>
  <c r="H335" i="16"/>
  <c r="H347" i="16"/>
  <c r="H359" i="16"/>
  <c r="H371" i="16"/>
  <c r="H383" i="16"/>
  <c r="H395" i="16"/>
  <c r="H407" i="16"/>
  <c r="H419" i="16"/>
  <c r="H431" i="16"/>
  <c r="H443" i="16"/>
  <c r="H455" i="16"/>
  <c r="H467" i="16"/>
  <c r="H479" i="16"/>
  <c r="H491" i="16"/>
  <c r="H503" i="16"/>
  <c r="H515" i="16"/>
  <c r="H527" i="16"/>
  <c r="H539" i="16"/>
  <c r="H551" i="16"/>
  <c r="H563" i="16"/>
  <c r="H575" i="16"/>
  <c r="H587" i="16"/>
  <c r="H599" i="16"/>
  <c r="H611" i="16"/>
  <c r="H623" i="16"/>
  <c r="H635" i="16"/>
  <c r="H647" i="16"/>
  <c r="H659" i="16"/>
  <c r="H671" i="16"/>
  <c r="H683" i="16"/>
  <c r="H12" i="16"/>
  <c r="H24" i="16"/>
  <c r="H36" i="16"/>
  <c r="H48" i="16"/>
  <c r="H60" i="16"/>
  <c r="H72" i="16"/>
  <c r="H84" i="16"/>
  <c r="H96" i="16"/>
  <c r="H108" i="16"/>
  <c r="H120" i="16"/>
  <c r="H132" i="16"/>
  <c r="H144" i="16"/>
  <c r="H156" i="16"/>
  <c r="H168" i="16"/>
  <c r="H180" i="16"/>
  <c r="H192" i="16"/>
  <c r="H204" i="16"/>
  <c r="H216" i="16"/>
  <c r="H228" i="16"/>
  <c r="H240" i="16"/>
  <c r="H252" i="16"/>
  <c r="H264" i="16"/>
  <c r="H276" i="16"/>
  <c r="H288" i="16"/>
  <c r="H300" i="16"/>
  <c r="H312" i="16"/>
  <c r="H324" i="16"/>
  <c r="H336" i="16"/>
  <c r="H348" i="16"/>
  <c r="H360" i="16"/>
  <c r="H372" i="16"/>
  <c r="H384" i="16"/>
  <c r="H396" i="16"/>
  <c r="H408" i="16"/>
  <c r="H420" i="16"/>
  <c r="H432" i="16"/>
  <c r="H444" i="16"/>
  <c r="H456" i="16"/>
  <c r="H468" i="16"/>
  <c r="H480" i="16"/>
  <c r="H492" i="16"/>
  <c r="H504" i="16"/>
  <c r="H516" i="16"/>
  <c r="H528" i="16"/>
  <c r="H540" i="16"/>
  <c r="H552" i="16"/>
  <c r="H564" i="16"/>
  <c r="H576" i="16"/>
  <c r="H588" i="16"/>
  <c r="H600" i="16"/>
  <c r="H612" i="16"/>
  <c r="H624" i="16"/>
  <c r="H636" i="16"/>
  <c r="H648" i="16"/>
  <c r="H660" i="16"/>
  <c r="H672" i="16"/>
  <c r="H684" i="16"/>
  <c r="H13" i="16"/>
  <c r="H25" i="16"/>
  <c r="H37" i="16"/>
  <c r="H49" i="16"/>
  <c r="H61" i="16"/>
  <c r="H73" i="16"/>
  <c r="H85" i="16"/>
  <c r="H97" i="16"/>
  <c r="H109" i="16"/>
  <c r="H121" i="16"/>
  <c r="H133" i="16"/>
  <c r="H145" i="16"/>
  <c r="H157" i="16"/>
  <c r="H169" i="16"/>
  <c r="H181" i="16"/>
  <c r="H193" i="16"/>
  <c r="H205" i="16"/>
  <c r="H217" i="16"/>
  <c r="H229" i="16"/>
  <c r="H241" i="16"/>
  <c r="H253" i="16"/>
  <c r="H265" i="16"/>
  <c r="H277" i="16"/>
  <c r="H289" i="16"/>
  <c r="H301" i="16"/>
  <c r="H313" i="16"/>
  <c r="H325" i="16"/>
  <c r="H337" i="16"/>
  <c r="H349" i="16"/>
  <c r="H361" i="16"/>
  <c r="H373" i="16"/>
  <c r="H385" i="16"/>
  <c r="H397" i="16"/>
  <c r="H409" i="16"/>
  <c r="H421" i="16"/>
  <c r="H433" i="16"/>
  <c r="H445" i="16"/>
  <c r="H457" i="16"/>
  <c r="H469" i="16"/>
  <c r="H481" i="16"/>
  <c r="H493" i="16"/>
  <c r="H505" i="16"/>
  <c r="H517" i="16"/>
  <c r="H529" i="16"/>
  <c r="H541" i="16"/>
  <c r="H553" i="16"/>
  <c r="H565" i="16"/>
  <c r="H577" i="16"/>
  <c r="H589" i="16"/>
  <c r="H601" i="16"/>
  <c r="H613" i="16"/>
  <c r="H625" i="16"/>
  <c r="H637" i="16"/>
  <c r="H649" i="16"/>
  <c r="H661" i="16"/>
  <c r="H673" i="16"/>
  <c r="H685" i="16"/>
  <c r="H14" i="16"/>
  <c r="H26" i="16"/>
  <c r="H38" i="16"/>
  <c r="H50" i="16"/>
  <c r="H62" i="16"/>
  <c r="H74" i="16"/>
  <c r="H86" i="16"/>
  <c r="H98" i="16"/>
  <c r="H110" i="16"/>
  <c r="H122" i="16"/>
  <c r="H134" i="16"/>
  <c r="H146" i="16"/>
  <c r="H158" i="16"/>
  <c r="H170" i="16"/>
  <c r="H182" i="16"/>
  <c r="H194" i="16"/>
  <c r="H206" i="16"/>
  <c r="H218" i="16"/>
  <c r="H230" i="16"/>
  <c r="H242" i="16"/>
  <c r="H254" i="16"/>
  <c r="H266" i="16"/>
  <c r="H278" i="16"/>
  <c r="H290" i="16"/>
  <c r="H302" i="16"/>
  <c r="H314" i="16"/>
  <c r="H326" i="16"/>
  <c r="H338" i="16"/>
  <c r="H350" i="16"/>
  <c r="H362" i="16"/>
  <c r="H374" i="16"/>
  <c r="H386" i="16"/>
  <c r="H398" i="16"/>
  <c r="H410" i="16"/>
  <c r="H422" i="16"/>
  <c r="H434" i="16"/>
  <c r="H446" i="16"/>
  <c r="H458" i="16"/>
  <c r="H470" i="16"/>
  <c r="H482" i="16"/>
  <c r="H494" i="16"/>
  <c r="H506" i="16"/>
  <c r="H518" i="16"/>
  <c r="H530" i="16"/>
  <c r="H542" i="16"/>
  <c r="H554" i="16"/>
  <c r="H566" i="16"/>
  <c r="H578" i="16"/>
  <c r="H590" i="16"/>
  <c r="H602" i="16"/>
  <c r="H614" i="16"/>
  <c r="H626" i="16"/>
  <c r="H638" i="16"/>
  <c r="H650" i="16"/>
  <c r="H662" i="16"/>
  <c r="H674" i="16"/>
  <c r="H686" i="16"/>
  <c r="H3" i="16"/>
  <c r="H51" i="16"/>
  <c r="H99" i="16"/>
  <c r="H147" i="16"/>
  <c r="H195" i="16"/>
  <c r="H243" i="16"/>
  <c r="H291" i="16"/>
  <c r="H331" i="16"/>
  <c r="H367" i="16"/>
  <c r="H403" i="16"/>
  <c r="H439" i="16"/>
  <c r="H475" i="16"/>
  <c r="H511" i="16"/>
  <c r="H547" i="16"/>
  <c r="H583" i="16"/>
  <c r="H619" i="16"/>
  <c r="H655" i="16"/>
  <c r="H691" i="16"/>
  <c r="H4" i="16"/>
  <c r="H52" i="16"/>
  <c r="H100" i="16"/>
  <c r="H148" i="16"/>
  <c r="H196" i="16"/>
  <c r="H244" i="16"/>
  <c r="H292" i="16"/>
  <c r="H339" i="16"/>
  <c r="H375" i="16"/>
  <c r="H411" i="16"/>
  <c r="H447" i="16"/>
  <c r="H483" i="16"/>
  <c r="H519" i="16"/>
  <c r="H555" i="16"/>
  <c r="H591" i="16"/>
  <c r="H627" i="16"/>
  <c r="H663" i="16"/>
  <c r="H5" i="16"/>
  <c r="H53" i="16"/>
  <c r="H101" i="16"/>
  <c r="H149" i="16"/>
  <c r="H197" i="16"/>
  <c r="H245" i="16"/>
  <c r="H293" i="16"/>
  <c r="H340" i="16"/>
  <c r="H376" i="16"/>
  <c r="H412" i="16"/>
  <c r="H448" i="16"/>
  <c r="H484" i="16"/>
  <c r="H520" i="16"/>
  <c r="H556" i="16"/>
  <c r="H592" i="16"/>
  <c r="H628" i="16"/>
  <c r="H664" i="16"/>
  <c r="H15" i="16"/>
  <c r="H63" i="16"/>
  <c r="H111" i="16"/>
  <c r="H159" i="16"/>
  <c r="H207" i="16"/>
  <c r="H255" i="16"/>
  <c r="H303" i="16"/>
  <c r="H341" i="16"/>
  <c r="H377" i="16"/>
  <c r="H413" i="16"/>
  <c r="H449" i="16"/>
  <c r="H485" i="16"/>
  <c r="H521" i="16"/>
  <c r="H557" i="16"/>
  <c r="H593" i="16"/>
  <c r="H629" i="16"/>
  <c r="H665" i="16"/>
  <c r="H16" i="16"/>
  <c r="H64" i="16"/>
  <c r="H112" i="16"/>
  <c r="H160" i="16"/>
  <c r="H208" i="16"/>
  <c r="H256" i="16"/>
  <c r="H304" i="16"/>
  <c r="H343" i="16"/>
  <c r="H379" i="16"/>
  <c r="H415" i="16"/>
  <c r="H451" i="16"/>
  <c r="H487" i="16"/>
  <c r="H523" i="16"/>
  <c r="H559" i="16"/>
  <c r="H595" i="16"/>
  <c r="H631" i="16"/>
  <c r="H667" i="16"/>
  <c r="H17" i="16"/>
  <c r="H65" i="16"/>
  <c r="H113" i="16"/>
  <c r="H161" i="16"/>
  <c r="H209" i="16"/>
  <c r="H257" i="16"/>
  <c r="H305" i="16"/>
  <c r="H351" i="16"/>
  <c r="H387" i="16"/>
  <c r="H423" i="16"/>
  <c r="H459" i="16"/>
  <c r="H495" i="16"/>
  <c r="H531" i="16"/>
  <c r="H567" i="16"/>
  <c r="H603" i="16"/>
  <c r="H639" i="16"/>
  <c r="H675" i="16"/>
  <c r="H125" i="16"/>
  <c r="H269" i="16"/>
  <c r="H427" i="16"/>
  <c r="H535" i="16"/>
  <c r="H679" i="16"/>
  <c r="H87" i="16"/>
  <c r="H363" i="16"/>
  <c r="H507" i="16"/>
  <c r="H615" i="16"/>
  <c r="H88" i="16"/>
  <c r="H280" i="16"/>
  <c r="H400" i="16"/>
  <c r="H508" i="16"/>
  <c r="H616" i="16"/>
  <c r="H89" i="16"/>
  <c r="H233" i="16"/>
  <c r="H365" i="16"/>
  <c r="H509" i="16"/>
  <c r="H617" i="16"/>
  <c r="H27" i="16"/>
  <c r="H75" i="16"/>
  <c r="H123" i="16"/>
  <c r="H171" i="16"/>
  <c r="H219" i="16"/>
  <c r="H267" i="16"/>
  <c r="H315" i="16"/>
  <c r="H352" i="16"/>
  <c r="H388" i="16"/>
  <c r="H424" i="16"/>
  <c r="H460" i="16"/>
  <c r="H496" i="16"/>
  <c r="H532" i="16"/>
  <c r="H568" i="16"/>
  <c r="H604" i="16"/>
  <c r="H640" i="16"/>
  <c r="H676" i="16"/>
  <c r="H77" i="16"/>
  <c r="H221" i="16"/>
  <c r="H355" i="16"/>
  <c r="H463" i="16"/>
  <c r="H571" i="16"/>
  <c r="H643" i="16"/>
  <c r="H135" i="16"/>
  <c r="H279" i="16"/>
  <c r="H399" i="16"/>
  <c r="H471" i="16"/>
  <c r="H579" i="16"/>
  <c r="H651" i="16"/>
  <c r="H136" i="16"/>
  <c r="H364" i="16"/>
  <c r="H472" i="16"/>
  <c r="H580" i="16"/>
  <c r="H688" i="16"/>
  <c r="H137" i="16"/>
  <c r="H329" i="16"/>
  <c r="H437" i="16"/>
  <c r="H545" i="16"/>
  <c r="H653" i="16"/>
  <c r="H28" i="16"/>
  <c r="H76" i="16"/>
  <c r="H124" i="16"/>
  <c r="H172" i="16"/>
  <c r="H220" i="16"/>
  <c r="H268" i="16"/>
  <c r="H316" i="16"/>
  <c r="H353" i="16"/>
  <c r="H389" i="16"/>
  <c r="H425" i="16"/>
  <c r="H461" i="16"/>
  <c r="H497" i="16"/>
  <c r="H533" i="16"/>
  <c r="H569" i="16"/>
  <c r="H605" i="16"/>
  <c r="H641" i="16"/>
  <c r="H677" i="16"/>
  <c r="H29" i="16"/>
  <c r="H173" i="16"/>
  <c r="H317" i="16"/>
  <c r="H391" i="16"/>
  <c r="H499" i="16"/>
  <c r="H607" i="16"/>
  <c r="H39" i="16"/>
  <c r="H183" i="16"/>
  <c r="H231" i="16"/>
  <c r="H327" i="16"/>
  <c r="H435" i="16"/>
  <c r="H543" i="16"/>
  <c r="H687" i="16"/>
  <c r="H40" i="16"/>
  <c r="H184" i="16"/>
  <c r="H232" i="16"/>
  <c r="H328" i="16"/>
  <c r="H436" i="16"/>
  <c r="H544" i="16"/>
  <c r="H652" i="16"/>
  <c r="H41" i="16"/>
  <c r="H185" i="16"/>
  <c r="H281" i="16"/>
  <c r="H401" i="16"/>
  <c r="H473" i="16"/>
  <c r="H581" i="16"/>
  <c r="H689" i="16"/>
  <c r="G492" i="17"/>
  <c r="F492" i="17"/>
  <c r="E492" i="17"/>
  <c r="D492" i="17"/>
  <c r="C492" i="17"/>
  <c r="B492" i="17"/>
  <c r="A492" i="17"/>
  <c r="G491" i="17"/>
  <c r="F491" i="17"/>
  <c r="E491" i="17"/>
  <c r="D491" i="17"/>
  <c r="C491" i="17"/>
  <c r="B491" i="17"/>
  <c r="A491" i="17"/>
  <c r="G490" i="17"/>
  <c r="F490" i="17"/>
  <c r="E490" i="17"/>
  <c r="D490" i="17"/>
  <c r="C490" i="17"/>
  <c r="B490" i="17"/>
  <c r="A490" i="17"/>
  <c r="G489" i="17"/>
  <c r="F489" i="17"/>
  <c r="E489" i="17"/>
  <c r="D489" i="17"/>
  <c r="C489" i="17"/>
  <c r="B489" i="17"/>
  <c r="A489" i="17"/>
  <c r="G488" i="17"/>
  <c r="F488" i="17"/>
  <c r="E488" i="17"/>
  <c r="D488" i="17"/>
  <c r="C488" i="17"/>
  <c r="B488" i="17"/>
  <c r="A488" i="17"/>
  <c r="G487" i="17"/>
  <c r="F487" i="17"/>
  <c r="E487" i="17"/>
  <c r="D487" i="17"/>
  <c r="C487" i="17"/>
  <c r="B487" i="17"/>
  <c r="A487" i="17"/>
  <c r="G486" i="17"/>
  <c r="F486" i="17"/>
  <c r="E486" i="17"/>
  <c r="D486" i="17"/>
  <c r="C486" i="17"/>
  <c r="B486" i="17"/>
  <c r="A486" i="17"/>
  <c r="G485" i="17"/>
  <c r="F485" i="17"/>
  <c r="E485" i="17"/>
  <c r="D485" i="17"/>
  <c r="C485" i="17"/>
  <c r="B485" i="17"/>
  <c r="A485" i="17"/>
  <c r="G484" i="17"/>
  <c r="F484" i="17"/>
  <c r="E484" i="17"/>
  <c r="D484" i="17"/>
  <c r="C484" i="17"/>
  <c r="B484" i="17"/>
  <c r="A484" i="17"/>
  <c r="G483" i="17"/>
  <c r="F483" i="17"/>
  <c r="E483" i="17"/>
  <c r="D483" i="17"/>
  <c r="C483" i="17"/>
  <c r="B483" i="17"/>
  <c r="A483" i="17"/>
  <c r="G482" i="17"/>
  <c r="F482" i="17"/>
  <c r="E482" i="17"/>
  <c r="D482" i="17"/>
  <c r="C482" i="17"/>
  <c r="B482" i="17"/>
  <c r="A482" i="17"/>
  <c r="G481" i="17"/>
  <c r="F481" i="17"/>
  <c r="E481" i="17"/>
  <c r="D481" i="17"/>
  <c r="C481" i="17"/>
  <c r="B481" i="17"/>
  <c r="A481" i="17"/>
  <c r="G480" i="17"/>
  <c r="F480" i="17"/>
  <c r="E480" i="17"/>
  <c r="D480" i="17"/>
  <c r="C480" i="17"/>
  <c r="B480" i="17"/>
  <c r="A480" i="17"/>
  <c r="G479" i="17"/>
  <c r="F479" i="17"/>
  <c r="E479" i="17"/>
  <c r="D479" i="17"/>
  <c r="C479" i="17"/>
  <c r="B479" i="17"/>
  <c r="A479" i="17"/>
  <c r="G478" i="17"/>
  <c r="F478" i="17"/>
  <c r="E478" i="17"/>
  <c r="D478" i="17"/>
  <c r="C478" i="17"/>
  <c r="B478" i="17"/>
  <c r="A478" i="17"/>
  <c r="G477" i="17"/>
  <c r="F477" i="17"/>
  <c r="E477" i="17"/>
  <c r="D477" i="17"/>
  <c r="C477" i="17"/>
  <c r="B477" i="17"/>
  <c r="A477" i="17"/>
  <c r="G476" i="17"/>
  <c r="F476" i="17"/>
  <c r="E476" i="17"/>
  <c r="D476" i="17"/>
  <c r="C476" i="17"/>
  <c r="B476" i="17"/>
  <c r="A476" i="17"/>
  <c r="G475" i="17"/>
  <c r="F475" i="17"/>
  <c r="E475" i="17"/>
  <c r="D475" i="17"/>
  <c r="C475" i="17"/>
  <c r="B475" i="17"/>
  <c r="A475" i="17"/>
  <c r="G474" i="17"/>
  <c r="F474" i="17"/>
  <c r="E474" i="17"/>
  <c r="D474" i="17"/>
  <c r="C474" i="17"/>
  <c r="B474" i="17"/>
  <c r="A474" i="17"/>
  <c r="G473" i="17"/>
  <c r="F473" i="17"/>
  <c r="E473" i="17"/>
  <c r="D473" i="17"/>
  <c r="C473" i="17"/>
  <c r="B473" i="17"/>
  <c r="A473" i="17"/>
  <c r="G472" i="17"/>
  <c r="F472" i="17"/>
  <c r="E472" i="17"/>
  <c r="D472" i="17"/>
  <c r="C472" i="17"/>
  <c r="B472" i="17"/>
  <c r="A472" i="17"/>
  <c r="G471" i="17"/>
  <c r="F471" i="17"/>
  <c r="E471" i="17"/>
  <c r="D471" i="17"/>
  <c r="C471" i="17"/>
  <c r="B471" i="17"/>
  <c r="A471" i="17"/>
  <c r="G470" i="17"/>
  <c r="F470" i="17"/>
  <c r="E470" i="17"/>
  <c r="D470" i="17"/>
  <c r="C470" i="17"/>
  <c r="B470" i="17"/>
  <c r="A470" i="17"/>
  <c r="G469" i="17"/>
  <c r="F469" i="17"/>
  <c r="E469" i="17"/>
  <c r="D469" i="17"/>
  <c r="C469" i="17"/>
  <c r="B469" i="17"/>
  <c r="A469" i="17"/>
  <c r="G468" i="17"/>
  <c r="F468" i="17"/>
  <c r="E468" i="17"/>
  <c r="D468" i="17"/>
  <c r="C468" i="17"/>
  <c r="B468" i="17"/>
  <c r="A468" i="17"/>
  <c r="G467" i="17"/>
  <c r="F467" i="17"/>
  <c r="E467" i="17"/>
  <c r="D467" i="17"/>
  <c r="C467" i="17"/>
  <c r="B467" i="17"/>
  <c r="A467" i="17"/>
  <c r="G466" i="17"/>
  <c r="F466" i="17"/>
  <c r="E466" i="17"/>
  <c r="D466" i="17"/>
  <c r="C466" i="17"/>
  <c r="B466" i="17"/>
  <c r="A466" i="17"/>
  <c r="G465" i="17"/>
  <c r="F465" i="17"/>
  <c r="E465" i="17"/>
  <c r="D465" i="17"/>
  <c r="C465" i="17"/>
  <c r="B465" i="17"/>
  <c r="A465" i="17"/>
  <c r="G464" i="17"/>
  <c r="F464" i="17"/>
  <c r="E464" i="17"/>
  <c r="D464" i="17"/>
  <c r="C464" i="17"/>
  <c r="B464" i="17"/>
  <c r="A464" i="17"/>
  <c r="G463" i="17"/>
  <c r="F463" i="17"/>
  <c r="E463" i="17"/>
  <c r="D463" i="17"/>
  <c r="C463" i="17"/>
  <c r="B463" i="17"/>
  <c r="A463" i="17"/>
  <c r="G462" i="17"/>
  <c r="F462" i="17"/>
  <c r="E462" i="17"/>
  <c r="D462" i="17"/>
  <c r="C462" i="17"/>
  <c r="B462" i="17"/>
  <c r="A462" i="17"/>
  <c r="G461" i="17"/>
  <c r="F461" i="17"/>
  <c r="E461" i="17"/>
  <c r="D461" i="17"/>
  <c r="C461" i="17"/>
  <c r="B461" i="17"/>
  <c r="A461" i="17"/>
  <c r="G460" i="17"/>
  <c r="F460" i="17"/>
  <c r="E460" i="17"/>
  <c r="D460" i="17"/>
  <c r="C460" i="17"/>
  <c r="B460" i="17"/>
  <c r="A460" i="17"/>
  <c r="G459" i="17"/>
  <c r="F459" i="17"/>
  <c r="E459" i="17"/>
  <c r="D459" i="17"/>
  <c r="C459" i="17"/>
  <c r="B459" i="17"/>
  <c r="A459" i="17"/>
  <c r="G458" i="17"/>
  <c r="F458" i="17"/>
  <c r="E458" i="17"/>
  <c r="D458" i="17"/>
  <c r="C458" i="17"/>
  <c r="B458" i="17"/>
  <c r="A458" i="17"/>
  <c r="G457" i="17"/>
  <c r="F457" i="17"/>
  <c r="E457" i="17"/>
  <c r="D457" i="17"/>
  <c r="C457" i="17"/>
  <c r="B457" i="17"/>
  <c r="A457" i="17"/>
  <c r="G456" i="17"/>
  <c r="F456" i="17"/>
  <c r="E456" i="17"/>
  <c r="D456" i="17"/>
  <c r="C456" i="17"/>
  <c r="B456" i="17"/>
  <c r="A456" i="17"/>
  <c r="G455" i="17"/>
  <c r="F455" i="17"/>
  <c r="E455" i="17"/>
  <c r="D455" i="17"/>
  <c r="C455" i="17"/>
  <c r="B455" i="17"/>
  <c r="A455" i="17"/>
  <c r="G454" i="17"/>
  <c r="F454" i="17"/>
  <c r="E454" i="17"/>
  <c r="D454" i="17"/>
  <c r="C454" i="17"/>
  <c r="B454" i="17"/>
  <c r="A454" i="17"/>
  <c r="G453" i="17"/>
  <c r="F453" i="17"/>
  <c r="E453" i="17"/>
  <c r="D453" i="17"/>
  <c r="C453" i="17"/>
  <c r="B453" i="17"/>
  <c r="A453" i="17"/>
  <c r="G452" i="17"/>
  <c r="F452" i="17"/>
  <c r="E452" i="17"/>
  <c r="D452" i="17"/>
  <c r="C452" i="17"/>
  <c r="B452" i="17"/>
  <c r="A452" i="17"/>
  <c r="G451" i="17"/>
  <c r="F451" i="17"/>
  <c r="E451" i="17"/>
  <c r="D451" i="17"/>
  <c r="C451" i="17"/>
  <c r="B451" i="17"/>
  <c r="A451" i="17"/>
  <c r="G450" i="17"/>
  <c r="F450" i="17"/>
  <c r="E450" i="17"/>
  <c r="D450" i="17"/>
  <c r="C450" i="17"/>
  <c r="B450" i="17"/>
  <c r="A450" i="17"/>
  <c r="G449" i="17"/>
  <c r="F449" i="17"/>
  <c r="E449" i="17"/>
  <c r="D449" i="17"/>
  <c r="C449" i="17"/>
  <c r="B449" i="17"/>
  <c r="A449" i="17"/>
  <c r="G448" i="17"/>
  <c r="F448" i="17"/>
  <c r="E448" i="17"/>
  <c r="D448" i="17"/>
  <c r="C448" i="17"/>
  <c r="B448" i="17"/>
  <c r="A448" i="17"/>
  <c r="G447" i="17"/>
  <c r="F447" i="17"/>
  <c r="E447" i="17"/>
  <c r="D447" i="17"/>
  <c r="C447" i="17"/>
  <c r="B447" i="17"/>
  <c r="A447" i="17"/>
  <c r="G446" i="17"/>
  <c r="F446" i="17"/>
  <c r="E446" i="17"/>
  <c r="D446" i="17"/>
  <c r="C446" i="17"/>
  <c r="B446" i="17"/>
  <c r="A446" i="17"/>
  <c r="G445" i="17"/>
  <c r="F445" i="17"/>
  <c r="E445" i="17"/>
  <c r="D445" i="17"/>
  <c r="C445" i="17"/>
  <c r="B445" i="17"/>
  <c r="A445" i="17"/>
  <c r="G444" i="17"/>
  <c r="F444" i="17"/>
  <c r="E444" i="17"/>
  <c r="D444" i="17"/>
  <c r="C444" i="17"/>
  <c r="B444" i="17"/>
  <c r="A444" i="17"/>
  <c r="G443" i="17"/>
  <c r="F443" i="17"/>
  <c r="E443" i="17"/>
  <c r="D443" i="17"/>
  <c r="C443" i="17"/>
  <c r="B443" i="17"/>
  <c r="A443" i="17"/>
  <c r="G442" i="17"/>
  <c r="F442" i="17"/>
  <c r="E442" i="17"/>
  <c r="D442" i="17"/>
  <c r="C442" i="17"/>
  <c r="B442" i="17"/>
  <c r="A442" i="17"/>
  <c r="G441" i="17"/>
  <c r="F441" i="17"/>
  <c r="E441" i="17"/>
  <c r="D441" i="17"/>
  <c r="C441" i="17"/>
  <c r="B441" i="17"/>
  <c r="A441" i="17"/>
  <c r="G440" i="17"/>
  <c r="F440" i="17"/>
  <c r="E440" i="17"/>
  <c r="D440" i="17"/>
  <c r="C440" i="17"/>
  <c r="B440" i="17"/>
  <c r="A440" i="17"/>
  <c r="G439" i="17"/>
  <c r="F439" i="17"/>
  <c r="E439" i="17"/>
  <c r="D439" i="17"/>
  <c r="C439" i="17"/>
  <c r="B439" i="17"/>
  <c r="A439" i="17"/>
  <c r="G438" i="17"/>
  <c r="F438" i="17"/>
  <c r="E438" i="17"/>
  <c r="D438" i="17"/>
  <c r="C438" i="17"/>
  <c r="B438" i="17"/>
  <c r="A438" i="17"/>
  <c r="G437" i="17"/>
  <c r="F437" i="17"/>
  <c r="E437" i="17"/>
  <c r="D437" i="17"/>
  <c r="C437" i="17"/>
  <c r="B437" i="17"/>
  <c r="A437" i="17"/>
  <c r="G436" i="17"/>
  <c r="F436" i="17"/>
  <c r="E436" i="17"/>
  <c r="D436" i="17"/>
  <c r="C436" i="17"/>
  <c r="B436" i="17"/>
  <c r="A436" i="17"/>
  <c r="G435" i="17"/>
  <c r="F435" i="17"/>
  <c r="E435" i="17"/>
  <c r="D435" i="17"/>
  <c r="C435" i="17"/>
  <c r="B435" i="17"/>
  <c r="A435" i="17"/>
  <c r="G434" i="17"/>
  <c r="F434" i="17"/>
  <c r="E434" i="17"/>
  <c r="D434" i="17"/>
  <c r="C434" i="17"/>
  <c r="B434" i="17"/>
  <c r="A434" i="17"/>
  <c r="G433" i="17"/>
  <c r="F433" i="17"/>
  <c r="E433" i="17"/>
  <c r="D433" i="17"/>
  <c r="C433" i="17"/>
  <c r="B433" i="17"/>
  <c r="A433" i="17"/>
  <c r="G432" i="17"/>
  <c r="F432" i="17"/>
  <c r="E432" i="17"/>
  <c r="D432" i="17"/>
  <c r="C432" i="17"/>
  <c r="B432" i="17"/>
  <c r="A432" i="17"/>
  <c r="G431" i="17"/>
  <c r="F431" i="17"/>
  <c r="E431" i="17"/>
  <c r="D431" i="17"/>
  <c r="C431" i="17"/>
  <c r="B431" i="17"/>
  <c r="A431" i="17"/>
  <c r="G430" i="17"/>
  <c r="F430" i="17"/>
  <c r="E430" i="17"/>
  <c r="D430" i="17"/>
  <c r="C430" i="17"/>
  <c r="B430" i="17"/>
  <c r="A430" i="17"/>
  <c r="G429" i="17"/>
  <c r="F429" i="17"/>
  <c r="E429" i="17"/>
  <c r="D429" i="17"/>
  <c r="C429" i="17"/>
  <c r="B429" i="17"/>
  <c r="A429" i="17"/>
  <c r="G428" i="17"/>
  <c r="F428" i="17"/>
  <c r="E428" i="17"/>
  <c r="D428" i="17"/>
  <c r="C428" i="17"/>
  <c r="B428" i="17"/>
  <c r="A428" i="17"/>
  <c r="G427" i="17"/>
  <c r="F427" i="17"/>
  <c r="E427" i="17"/>
  <c r="D427" i="17"/>
  <c r="C427" i="17"/>
  <c r="B427" i="17"/>
  <c r="A427" i="17"/>
  <c r="G426" i="17"/>
  <c r="F426" i="17"/>
  <c r="E426" i="17"/>
  <c r="D426" i="17"/>
  <c r="C426" i="17"/>
  <c r="B426" i="17"/>
  <c r="A426" i="17"/>
  <c r="G425" i="17"/>
  <c r="F425" i="17"/>
  <c r="E425" i="17"/>
  <c r="D425" i="17"/>
  <c r="C425" i="17"/>
  <c r="B425" i="17"/>
  <c r="A425" i="17"/>
  <c r="G424" i="17"/>
  <c r="F424" i="17"/>
  <c r="E424" i="17"/>
  <c r="D424" i="17"/>
  <c r="C424" i="17"/>
  <c r="B424" i="17"/>
  <c r="A424" i="17"/>
  <c r="G423" i="17"/>
  <c r="F423" i="17"/>
  <c r="E423" i="17"/>
  <c r="D423" i="17"/>
  <c r="C423" i="17"/>
  <c r="B423" i="17"/>
  <c r="A423" i="17"/>
  <c r="G422" i="17"/>
  <c r="F422" i="17"/>
  <c r="E422" i="17"/>
  <c r="D422" i="17"/>
  <c r="C422" i="17"/>
  <c r="B422" i="17"/>
  <c r="A422" i="17"/>
  <c r="G421" i="17"/>
  <c r="F421" i="17"/>
  <c r="E421" i="17"/>
  <c r="D421" i="17"/>
  <c r="C421" i="17"/>
  <c r="B421" i="17"/>
  <c r="A421" i="17"/>
  <c r="G420" i="17"/>
  <c r="F420" i="17"/>
  <c r="E420" i="17"/>
  <c r="D420" i="17"/>
  <c r="C420" i="17"/>
  <c r="B420" i="17"/>
  <c r="A420" i="17"/>
  <c r="G419" i="17"/>
  <c r="F419" i="17"/>
  <c r="E419" i="17"/>
  <c r="D419" i="17"/>
  <c r="C419" i="17"/>
  <c r="B419" i="17"/>
  <c r="A419" i="17"/>
  <c r="G418" i="17"/>
  <c r="F418" i="17"/>
  <c r="E418" i="17"/>
  <c r="D418" i="17"/>
  <c r="C418" i="17"/>
  <c r="B418" i="17"/>
  <c r="A418" i="17"/>
  <c r="G417" i="17"/>
  <c r="F417" i="17"/>
  <c r="E417" i="17"/>
  <c r="D417" i="17"/>
  <c r="C417" i="17"/>
  <c r="B417" i="17"/>
  <c r="A417" i="17"/>
  <c r="G416" i="17"/>
  <c r="F416" i="17"/>
  <c r="E416" i="17"/>
  <c r="D416" i="17"/>
  <c r="C416" i="17"/>
  <c r="B416" i="17"/>
  <c r="A416" i="17"/>
  <c r="G415" i="17"/>
  <c r="F415" i="17"/>
  <c r="E415" i="17"/>
  <c r="D415" i="17"/>
  <c r="C415" i="17"/>
  <c r="B415" i="17"/>
  <c r="A415" i="17"/>
  <c r="G414" i="17"/>
  <c r="F414" i="17"/>
  <c r="E414" i="17"/>
  <c r="D414" i="17"/>
  <c r="C414" i="17"/>
  <c r="B414" i="17"/>
  <c r="A414" i="17"/>
  <c r="G413" i="17"/>
  <c r="F413" i="17"/>
  <c r="E413" i="17"/>
  <c r="D413" i="17"/>
  <c r="C413" i="17"/>
  <c r="B413" i="17"/>
  <c r="A413" i="17"/>
  <c r="G412" i="17"/>
  <c r="F412" i="17"/>
  <c r="E412" i="17"/>
  <c r="D412" i="17"/>
  <c r="C412" i="17"/>
  <c r="B412" i="17"/>
  <c r="A412" i="17"/>
  <c r="G411" i="17"/>
  <c r="F411" i="17"/>
  <c r="E411" i="17"/>
  <c r="D411" i="17"/>
  <c r="C411" i="17"/>
  <c r="B411" i="17"/>
  <c r="A411" i="17"/>
  <c r="G410" i="17"/>
  <c r="F410" i="17"/>
  <c r="E410" i="17"/>
  <c r="D410" i="17"/>
  <c r="C410" i="17"/>
  <c r="B410" i="17"/>
  <c r="A410" i="17"/>
  <c r="G409" i="17"/>
  <c r="F409" i="17"/>
  <c r="E409" i="17"/>
  <c r="D409" i="17"/>
  <c r="C409" i="17"/>
  <c r="B409" i="17"/>
  <c r="A409" i="17"/>
  <c r="G408" i="17"/>
  <c r="F408" i="17"/>
  <c r="E408" i="17"/>
  <c r="D408" i="17"/>
  <c r="C408" i="17"/>
  <c r="B408" i="17"/>
  <c r="A408" i="17"/>
  <c r="G407" i="17"/>
  <c r="F407" i="17"/>
  <c r="E407" i="17"/>
  <c r="D407" i="17"/>
  <c r="C407" i="17"/>
  <c r="B407" i="17"/>
  <c r="A407" i="17"/>
  <c r="G406" i="17"/>
  <c r="F406" i="17"/>
  <c r="E406" i="17"/>
  <c r="D406" i="17"/>
  <c r="C406" i="17"/>
  <c r="B406" i="17"/>
  <c r="A406" i="17"/>
  <c r="G405" i="17"/>
  <c r="F405" i="17"/>
  <c r="E405" i="17"/>
  <c r="D405" i="17"/>
  <c r="C405" i="17"/>
  <c r="B405" i="17"/>
  <c r="A405" i="17"/>
  <c r="G404" i="17"/>
  <c r="F404" i="17"/>
  <c r="E404" i="17"/>
  <c r="D404" i="17"/>
  <c r="C404" i="17"/>
  <c r="B404" i="17"/>
  <c r="G389" i="17"/>
  <c r="F389" i="17"/>
  <c r="E389" i="17"/>
  <c r="D389" i="17"/>
  <c r="C389" i="17"/>
  <c r="B389" i="17"/>
  <c r="A389" i="17"/>
  <c r="G388" i="17"/>
  <c r="F388" i="17"/>
  <c r="E388" i="17"/>
  <c r="D388" i="17"/>
  <c r="C388" i="17"/>
  <c r="B388" i="17"/>
  <c r="A388" i="17"/>
  <c r="G387" i="17"/>
  <c r="F387" i="17"/>
  <c r="E387" i="17"/>
  <c r="D387" i="17"/>
  <c r="C387" i="17"/>
  <c r="B387" i="17"/>
  <c r="A387" i="17"/>
  <c r="G386" i="17"/>
  <c r="F386" i="17"/>
  <c r="E386" i="17"/>
  <c r="D386" i="17"/>
  <c r="C386" i="17"/>
  <c r="B386" i="17"/>
  <c r="A386" i="17"/>
  <c r="G385" i="17"/>
  <c r="F385" i="17"/>
  <c r="E385" i="17"/>
  <c r="D385" i="17"/>
  <c r="C385" i="17"/>
  <c r="B385" i="17"/>
  <c r="A385" i="17"/>
  <c r="G384" i="17"/>
  <c r="F384" i="17"/>
  <c r="E384" i="17"/>
  <c r="D384" i="17"/>
  <c r="C384" i="17"/>
  <c r="B384" i="17"/>
  <c r="A384" i="17"/>
  <c r="G383" i="17"/>
  <c r="F383" i="17"/>
  <c r="E383" i="17"/>
  <c r="D383" i="17"/>
  <c r="C383" i="17"/>
  <c r="B383" i="17"/>
  <c r="A383" i="17"/>
  <c r="G382" i="17"/>
  <c r="F382" i="17"/>
  <c r="E382" i="17"/>
  <c r="D382" i="17"/>
  <c r="C382" i="17"/>
  <c r="B382" i="17"/>
  <c r="A382" i="17"/>
  <c r="G381" i="17"/>
  <c r="F381" i="17"/>
  <c r="E381" i="17"/>
  <c r="D381" i="17"/>
  <c r="C381" i="17"/>
  <c r="B381" i="17"/>
  <c r="A381" i="17"/>
  <c r="G380" i="17"/>
  <c r="F380" i="17"/>
  <c r="E380" i="17"/>
  <c r="D380" i="17"/>
  <c r="C380" i="17"/>
  <c r="B380" i="17"/>
  <c r="A380" i="17"/>
  <c r="G379" i="17"/>
  <c r="F379" i="17"/>
  <c r="E379" i="17"/>
  <c r="D379" i="17"/>
  <c r="C379" i="17"/>
  <c r="B379" i="17"/>
  <c r="A379" i="17"/>
  <c r="G378" i="17"/>
  <c r="F378" i="17"/>
  <c r="E378" i="17"/>
  <c r="D378" i="17"/>
  <c r="C378" i="17"/>
  <c r="B378" i="17"/>
  <c r="A378" i="17"/>
  <c r="G377" i="17"/>
  <c r="F377" i="17"/>
  <c r="E377" i="17"/>
  <c r="D377" i="17"/>
  <c r="C377" i="17"/>
  <c r="B377" i="17"/>
  <c r="A377" i="17"/>
  <c r="G376" i="17"/>
  <c r="F376" i="17"/>
  <c r="E376" i="17"/>
  <c r="D376" i="17"/>
  <c r="C376" i="17"/>
  <c r="B376" i="17"/>
  <c r="A376" i="17"/>
  <c r="G375" i="17"/>
  <c r="F375" i="17"/>
  <c r="E375" i="17"/>
  <c r="D375" i="17"/>
  <c r="C375" i="17"/>
  <c r="B375" i="17"/>
  <c r="A375" i="17"/>
  <c r="G374" i="17"/>
  <c r="F374" i="17"/>
  <c r="E374" i="17"/>
  <c r="D374" i="17"/>
  <c r="C374" i="17"/>
  <c r="B374" i="17"/>
  <c r="A374" i="17"/>
  <c r="G373" i="17"/>
  <c r="F373" i="17"/>
  <c r="E373" i="17"/>
  <c r="D373" i="17"/>
  <c r="C373" i="17"/>
  <c r="B373" i="17"/>
  <c r="A373" i="17"/>
  <c r="G372" i="17"/>
  <c r="F372" i="17"/>
  <c r="E372" i="17"/>
  <c r="D372" i="17"/>
  <c r="C372" i="17"/>
  <c r="B372" i="17"/>
  <c r="A372" i="17"/>
  <c r="G371" i="17"/>
  <c r="F371" i="17"/>
  <c r="E371" i="17"/>
  <c r="D371" i="17"/>
  <c r="C371" i="17"/>
  <c r="B371" i="17"/>
  <c r="A371" i="17"/>
  <c r="G370" i="17"/>
  <c r="F370" i="17"/>
  <c r="E370" i="17"/>
  <c r="D370" i="17"/>
  <c r="C370" i="17"/>
  <c r="B370" i="17"/>
  <c r="A370" i="17"/>
  <c r="G369" i="17"/>
  <c r="F369" i="17"/>
  <c r="E369" i="17"/>
  <c r="D369" i="17"/>
  <c r="C369" i="17"/>
  <c r="B369" i="17"/>
  <c r="A369" i="17"/>
  <c r="G368" i="17"/>
  <c r="F368" i="17"/>
  <c r="E368" i="17"/>
  <c r="D368" i="17"/>
  <c r="C368" i="17"/>
  <c r="B368" i="17"/>
  <c r="A368" i="17"/>
  <c r="G367" i="17"/>
  <c r="F367" i="17"/>
  <c r="E367" i="17"/>
  <c r="D367" i="17"/>
  <c r="C367" i="17"/>
  <c r="B367" i="17"/>
  <c r="A367" i="17"/>
  <c r="G366" i="17"/>
  <c r="F366" i="17"/>
  <c r="E366" i="17"/>
  <c r="D366" i="17"/>
  <c r="C366" i="17"/>
  <c r="B366" i="17"/>
  <c r="A366" i="17"/>
  <c r="G365" i="17"/>
  <c r="F365" i="17"/>
  <c r="E365" i="17"/>
  <c r="D365" i="17"/>
  <c r="C365" i="17"/>
  <c r="B365" i="17"/>
  <c r="A365" i="17"/>
  <c r="G364" i="17"/>
  <c r="F364" i="17"/>
  <c r="E364" i="17"/>
  <c r="D364" i="17"/>
  <c r="C364" i="17"/>
  <c r="B364" i="17"/>
  <c r="A364" i="17"/>
  <c r="G363" i="17"/>
  <c r="F363" i="17"/>
  <c r="E363" i="17"/>
  <c r="D363" i="17"/>
  <c r="C363" i="17"/>
  <c r="B363" i="17"/>
  <c r="A363" i="17"/>
  <c r="G362" i="17"/>
  <c r="F362" i="17"/>
  <c r="E362" i="17"/>
  <c r="D362" i="17"/>
  <c r="C362" i="17"/>
  <c r="B362" i="17"/>
  <c r="A362" i="17"/>
  <c r="G361" i="17"/>
  <c r="F361" i="17"/>
  <c r="E361" i="17"/>
  <c r="D361" i="17"/>
  <c r="C361" i="17"/>
  <c r="B361" i="17"/>
  <c r="A361" i="17"/>
  <c r="G360" i="17"/>
  <c r="F360" i="17"/>
  <c r="E360" i="17"/>
  <c r="D360" i="17"/>
  <c r="C360" i="17"/>
  <c r="B360" i="17"/>
  <c r="A360" i="17"/>
  <c r="G359" i="17"/>
  <c r="F359" i="17"/>
  <c r="E359" i="17"/>
  <c r="D359" i="17"/>
  <c r="C359" i="17"/>
  <c r="B359" i="17"/>
  <c r="A359" i="17"/>
  <c r="G358" i="17"/>
  <c r="F358" i="17"/>
  <c r="E358" i="17"/>
  <c r="D358" i="17"/>
  <c r="C358" i="17"/>
  <c r="B358" i="17"/>
  <c r="A358" i="17"/>
  <c r="G357" i="17"/>
  <c r="F357" i="17"/>
  <c r="E357" i="17"/>
  <c r="D357" i="17"/>
  <c r="C357" i="17"/>
  <c r="B357" i="17"/>
  <c r="A357" i="17"/>
  <c r="G356" i="17"/>
  <c r="F356" i="17"/>
  <c r="E356" i="17"/>
  <c r="D356" i="17"/>
  <c r="C356" i="17"/>
  <c r="B356" i="17"/>
  <c r="A356" i="17"/>
  <c r="G355" i="17"/>
  <c r="F355" i="17"/>
  <c r="E355" i="17"/>
  <c r="D355" i="17"/>
  <c r="C355" i="17"/>
  <c r="B355" i="17"/>
  <c r="A355" i="17"/>
  <c r="G354" i="17"/>
  <c r="F354" i="17"/>
  <c r="E354" i="17"/>
  <c r="D354" i="17"/>
  <c r="C354" i="17"/>
  <c r="B354" i="17"/>
  <c r="A354" i="17"/>
  <c r="G353" i="17"/>
  <c r="F353" i="17"/>
  <c r="E353" i="17"/>
  <c r="D353" i="17"/>
  <c r="C353" i="17"/>
  <c r="B353" i="17"/>
  <c r="A353" i="17"/>
  <c r="G352" i="17"/>
  <c r="F352" i="17"/>
  <c r="E352" i="17"/>
  <c r="D352" i="17"/>
  <c r="C352" i="17"/>
  <c r="B352" i="17"/>
  <c r="A352" i="17"/>
  <c r="G351" i="17"/>
  <c r="F351" i="17"/>
  <c r="E351" i="17"/>
  <c r="D351" i="17"/>
  <c r="C351" i="17"/>
  <c r="B351" i="17"/>
  <c r="A351" i="17"/>
  <c r="G350" i="17"/>
  <c r="F350" i="17"/>
  <c r="E350" i="17"/>
  <c r="D350" i="17"/>
  <c r="C350" i="17"/>
  <c r="B350" i="17"/>
  <c r="A350" i="17"/>
  <c r="G349" i="17"/>
  <c r="F349" i="17"/>
  <c r="E349" i="17"/>
  <c r="D349" i="17"/>
  <c r="C349" i="17"/>
  <c r="B349" i="17"/>
  <c r="A349" i="17"/>
  <c r="G348" i="17"/>
  <c r="F348" i="17"/>
  <c r="E348" i="17"/>
  <c r="D348" i="17"/>
  <c r="C348" i="17"/>
  <c r="B348" i="17"/>
  <c r="A348" i="17"/>
  <c r="G347" i="17"/>
  <c r="F347" i="17"/>
  <c r="E347" i="17"/>
  <c r="D347" i="17"/>
  <c r="C347" i="17"/>
  <c r="B347" i="17"/>
  <c r="A347" i="17"/>
  <c r="G346" i="17"/>
  <c r="F346" i="17"/>
  <c r="E346" i="17"/>
  <c r="D346" i="17"/>
  <c r="C346" i="17"/>
  <c r="B346" i="17"/>
  <c r="A346" i="17"/>
  <c r="G345" i="17"/>
  <c r="F345" i="17"/>
  <c r="E345" i="17"/>
  <c r="D345" i="17"/>
  <c r="C345" i="17"/>
  <c r="B345" i="17"/>
  <c r="A345" i="17"/>
  <c r="G344" i="17"/>
  <c r="F344" i="17"/>
  <c r="E344" i="17"/>
  <c r="D344" i="17"/>
  <c r="C344" i="17"/>
  <c r="B344" i="17"/>
  <c r="A344" i="17"/>
  <c r="G343" i="17"/>
  <c r="F343" i="17"/>
  <c r="E343" i="17"/>
  <c r="D343" i="17"/>
  <c r="C343" i="17"/>
  <c r="B343" i="17"/>
  <c r="A343" i="17"/>
  <c r="G342" i="17"/>
  <c r="F342" i="17"/>
  <c r="E342" i="17"/>
  <c r="D342" i="17"/>
  <c r="C342" i="17"/>
  <c r="B342" i="17"/>
  <c r="A342" i="17"/>
  <c r="G341" i="17"/>
  <c r="F341" i="17"/>
  <c r="E341" i="17"/>
  <c r="D341" i="17"/>
  <c r="C341" i="17"/>
  <c r="B341" i="17"/>
  <c r="A341" i="17"/>
  <c r="G340" i="17"/>
  <c r="F340" i="17"/>
  <c r="E340" i="17"/>
  <c r="D340" i="17"/>
  <c r="C340" i="17"/>
  <c r="B340" i="17"/>
  <c r="A340" i="17"/>
  <c r="G339" i="17"/>
  <c r="F339" i="17"/>
  <c r="E339" i="17"/>
  <c r="D339" i="17"/>
  <c r="C339" i="17"/>
  <c r="B339" i="17"/>
  <c r="A339" i="17"/>
  <c r="G338" i="17"/>
  <c r="F338" i="17"/>
  <c r="E338" i="17"/>
  <c r="D338" i="17"/>
  <c r="C338" i="17"/>
  <c r="B338" i="17"/>
  <c r="A338" i="17"/>
  <c r="G337" i="17"/>
  <c r="F337" i="17"/>
  <c r="E337" i="17"/>
  <c r="D337" i="17"/>
  <c r="C337" i="17"/>
  <c r="B337" i="17"/>
  <c r="A337" i="17"/>
  <c r="G336" i="17"/>
  <c r="F336" i="17"/>
  <c r="E336" i="17"/>
  <c r="D336" i="17"/>
  <c r="C336" i="17"/>
  <c r="B336" i="17"/>
  <c r="A336" i="17"/>
  <c r="G335" i="17"/>
  <c r="F335" i="17"/>
  <c r="E335" i="17"/>
  <c r="D335" i="17"/>
  <c r="C335" i="17"/>
  <c r="B335" i="17"/>
  <c r="A335" i="17"/>
  <c r="G334" i="17"/>
  <c r="F334" i="17"/>
  <c r="E334" i="17"/>
  <c r="D334" i="17"/>
  <c r="C334" i="17"/>
  <c r="B334" i="17"/>
  <c r="A334" i="17"/>
  <c r="G333" i="17"/>
  <c r="F333" i="17"/>
  <c r="E333" i="17"/>
  <c r="D333" i="17"/>
  <c r="C333" i="17"/>
  <c r="B333" i="17"/>
  <c r="A333" i="17"/>
  <c r="G332" i="17"/>
  <c r="F332" i="17"/>
  <c r="E332" i="17"/>
  <c r="D332" i="17"/>
  <c r="C332" i="17"/>
  <c r="B332" i="17"/>
  <c r="A332" i="17"/>
  <c r="G331" i="17"/>
  <c r="F331" i="17"/>
  <c r="E331" i="17"/>
  <c r="D331" i="17"/>
  <c r="C331" i="17"/>
  <c r="B331" i="17"/>
  <c r="A331" i="17"/>
  <c r="G330" i="17"/>
  <c r="F330" i="17"/>
  <c r="E330" i="17"/>
  <c r="D330" i="17"/>
  <c r="C330" i="17"/>
  <c r="B330" i="17"/>
  <c r="A330" i="17"/>
  <c r="G329" i="17"/>
  <c r="F329" i="17"/>
  <c r="E329" i="17"/>
  <c r="D329" i="17"/>
  <c r="C329" i="17"/>
  <c r="B329" i="17"/>
  <c r="A329" i="17"/>
  <c r="G328" i="17"/>
  <c r="F328" i="17"/>
  <c r="E328" i="17"/>
  <c r="D328" i="17"/>
  <c r="C328" i="17"/>
  <c r="B328" i="17"/>
  <c r="A328" i="17"/>
  <c r="G327" i="17"/>
  <c r="F327" i="17"/>
  <c r="E327" i="17"/>
  <c r="D327" i="17"/>
  <c r="C327" i="17"/>
  <c r="B327" i="17"/>
  <c r="A327" i="17"/>
  <c r="G326" i="17"/>
  <c r="F326" i="17"/>
  <c r="E326" i="17"/>
  <c r="D326" i="17"/>
  <c r="C326" i="17"/>
  <c r="B326" i="17"/>
  <c r="A326" i="17"/>
  <c r="G325" i="17"/>
  <c r="F325" i="17"/>
  <c r="E325" i="17"/>
  <c r="D325" i="17"/>
  <c r="C325" i="17"/>
  <c r="B325" i="17"/>
  <c r="A325" i="17"/>
  <c r="G324" i="17"/>
  <c r="F324" i="17"/>
  <c r="E324" i="17"/>
  <c r="D324" i="17"/>
  <c r="C324" i="17"/>
  <c r="B324" i="17"/>
  <c r="A324" i="17"/>
  <c r="G323" i="17"/>
  <c r="F323" i="17"/>
  <c r="E323" i="17"/>
  <c r="D323" i="17"/>
  <c r="C323" i="17"/>
  <c r="B323" i="17"/>
  <c r="A323" i="17"/>
  <c r="G322" i="17"/>
  <c r="F322" i="17"/>
  <c r="E322" i="17"/>
  <c r="D322" i="17"/>
  <c r="C322" i="17"/>
  <c r="B322" i="17"/>
  <c r="A322" i="17"/>
  <c r="G321" i="17"/>
  <c r="F321" i="17"/>
  <c r="E321" i="17"/>
  <c r="D321" i="17"/>
  <c r="C321" i="17"/>
  <c r="B321" i="17"/>
  <c r="A321" i="17"/>
  <c r="G320" i="17"/>
  <c r="F320" i="17"/>
  <c r="E320" i="17"/>
  <c r="D320" i="17"/>
  <c r="C320" i="17"/>
  <c r="B320" i="17"/>
  <c r="A320" i="17"/>
  <c r="G319" i="17"/>
  <c r="F319" i="17"/>
  <c r="E319" i="17"/>
  <c r="D319" i="17"/>
  <c r="C319" i="17"/>
  <c r="B319" i="17"/>
  <c r="A319" i="17"/>
  <c r="G318" i="17"/>
  <c r="F318" i="17"/>
  <c r="E318" i="17"/>
  <c r="D318" i="17"/>
  <c r="C318" i="17"/>
  <c r="B318" i="17"/>
  <c r="A318" i="17"/>
  <c r="G317" i="17"/>
  <c r="F317" i="17"/>
  <c r="E317" i="17"/>
  <c r="D317" i="17"/>
  <c r="C317" i="17"/>
  <c r="B317" i="17"/>
  <c r="A317" i="17"/>
  <c r="G316" i="17"/>
  <c r="F316" i="17"/>
  <c r="E316" i="17"/>
  <c r="D316" i="17"/>
  <c r="C316" i="17"/>
  <c r="B316" i="17"/>
  <c r="A316" i="17"/>
  <c r="G315" i="17"/>
  <c r="F315" i="17"/>
  <c r="E315" i="17"/>
  <c r="D315" i="17"/>
  <c r="C315" i="17"/>
  <c r="B315" i="17"/>
  <c r="A315" i="17"/>
  <c r="G314" i="17"/>
  <c r="F314" i="17"/>
  <c r="E314" i="17"/>
  <c r="D314" i="17"/>
  <c r="C314" i="17"/>
  <c r="B314" i="17"/>
  <c r="A314" i="17"/>
  <c r="G313" i="17"/>
  <c r="F313" i="17"/>
  <c r="E313" i="17"/>
  <c r="D313" i="17"/>
  <c r="C313" i="17"/>
  <c r="B313" i="17"/>
  <c r="A313" i="17"/>
  <c r="G312" i="17"/>
  <c r="F312" i="17"/>
  <c r="E312" i="17"/>
  <c r="D312" i="17"/>
  <c r="C312" i="17"/>
  <c r="B312" i="17"/>
  <c r="A312" i="17"/>
  <c r="G311" i="17"/>
  <c r="F311" i="17"/>
  <c r="E311" i="17"/>
  <c r="D311" i="17"/>
  <c r="C311" i="17"/>
  <c r="B311" i="17"/>
  <c r="A311" i="17"/>
  <c r="G310" i="17"/>
  <c r="F310" i="17"/>
  <c r="E310" i="17"/>
  <c r="D310" i="17"/>
  <c r="C310" i="17"/>
  <c r="B310" i="17"/>
  <c r="A310" i="17"/>
  <c r="G309" i="17"/>
  <c r="F309" i="17"/>
  <c r="E309" i="17"/>
  <c r="D309" i="17"/>
  <c r="C309" i="17"/>
  <c r="B309" i="17"/>
  <c r="A309" i="17"/>
  <c r="G308" i="17"/>
  <c r="F308" i="17"/>
  <c r="E308" i="17"/>
  <c r="D308" i="17"/>
  <c r="C308" i="17"/>
  <c r="B308" i="17"/>
  <c r="A308" i="17"/>
  <c r="G307" i="17"/>
  <c r="F307" i="17"/>
  <c r="E307" i="17"/>
  <c r="D307" i="17"/>
  <c r="C307" i="17"/>
  <c r="B307" i="17"/>
  <c r="A307" i="17"/>
  <c r="G306" i="17"/>
  <c r="F306" i="17"/>
  <c r="E306" i="17"/>
  <c r="D306" i="17"/>
  <c r="C306" i="17"/>
  <c r="B306" i="17"/>
  <c r="A306" i="17"/>
  <c r="G305" i="17"/>
  <c r="F305" i="17"/>
  <c r="E305" i="17"/>
  <c r="D305" i="17"/>
  <c r="C305" i="17"/>
  <c r="B305" i="17"/>
  <c r="A305" i="17"/>
  <c r="G304" i="17"/>
  <c r="F304" i="17"/>
  <c r="E304" i="17"/>
  <c r="D304" i="17"/>
  <c r="C304" i="17"/>
  <c r="B304" i="17"/>
  <c r="A304" i="17"/>
  <c r="G303" i="17"/>
  <c r="F303" i="17"/>
  <c r="E303" i="17"/>
  <c r="D303" i="17"/>
  <c r="C303" i="17"/>
  <c r="B303" i="17"/>
  <c r="A303" i="17"/>
  <c r="G302" i="17"/>
  <c r="F302" i="17"/>
  <c r="E302" i="17"/>
  <c r="D302" i="17"/>
  <c r="C302" i="17"/>
  <c r="B302" i="17"/>
  <c r="A302" i="17"/>
  <c r="G301" i="17"/>
  <c r="F301" i="17"/>
  <c r="E301" i="17"/>
  <c r="D301" i="17"/>
  <c r="C301" i="17"/>
  <c r="B301" i="17"/>
  <c r="A301" i="17"/>
  <c r="G300" i="17"/>
  <c r="F300" i="17"/>
  <c r="E300" i="17"/>
  <c r="D300" i="17"/>
  <c r="C300" i="17"/>
  <c r="B300" i="17"/>
  <c r="A300" i="17"/>
  <c r="G299" i="17"/>
  <c r="F299" i="17"/>
  <c r="E299" i="17"/>
  <c r="D299" i="17"/>
  <c r="C299" i="17"/>
  <c r="B299" i="17"/>
  <c r="A299" i="17"/>
  <c r="G298" i="17"/>
  <c r="F298" i="17"/>
  <c r="E298" i="17"/>
  <c r="D298" i="17"/>
  <c r="C298" i="17"/>
  <c r="B298" i="17"/>
  <c r="A298" i="17"/>
  <c r="G297" i="17"/>
  <c r="F297" i="17"/>
  <c r="E297" i="17"/>
  <c r="D297" i="17"/>
  <c r="C297" i="17"/>
  <c r="B297" i="17"/>
  <c r="A297" i="17"/>
  <c r="G296" i="17"/>
  <c r="F296" i="17"/>
  <c r="E296" i="17"/>
  <c r="D296" i="17"/>
  <c r="C296" i="17"/>
  <c r="B296" i="17"/>
  <c r="A296" i="17"/>
  <c r="G295" i="17"/>
  <c r="F295" i="17"/>
  <c r="E295" i="17"/>
  <c r="D295" i="17"/>
  <c r="C295" i="17"/>
  <c r="B295" i="17"/>
  <c r="A295" i="17"/>
  <c r="G294" i="17"/>
  <c r="F294" i="17"/>
  <c r="E294" i="17"/>
  <c r="D294" i="17"/>
  <c r="C294" i="17"/>
  <c r="B294" i="17"/>
  <c r="A294" i="17"/>
  <c r="G293" i="17"/>
  <c r="F293" i="17"/>
  <c r="E293" i="17"/>
  <c r="D293" i="17"/>
  <c r="C293" i="17"/>
  <c r="B293" i="17"/>
  <c r="A293" i="17"/>
  <c r="G292" i="17"/>
  <c r="F292" i="17"/>
  <c r="E292" i="17"/>
  <c r="D292" i="17"/>
  <c r="C292" i="17"/>
  <c r="B292" i="17"/>
  <c r="A292" i="17"/>
  <c r="G291" i="17"/>
  <c r="F291" i="17"/>
  <c r="E291" i="17"/>
  <c r="D291" i="17"/>
  <c r="C291" i="17"/>
  <c r="B291" i="17"/>
  <c r="A291" i="17"/>
  <c r="G290" i="17"/>
  <c r="F290" i="17"/>
  <c r="E290" i="17"/>
  <c r="D290" i="17"/>
  <c r="C290" i="17"/>
  <c r="B290" i="17"/>
  <c r="A290" i="17"/>
  <c r="G289" i="17"/>
  <c r="F289" i="17"/>
  <c r="E289" i="17"/>
  <c r="D289" i="17"/>
  <c r="C289" i="17"/>
  <c r="B289" i="17"/>
  <c r="A289" i="17"/>
  <c r="G288" i="17"/>
  <c r="F288" i="17"/>
  <c r="E288" i="17"/>
  <c r="D288" i="17"/>
  <c r="C288" i="17"/>
  <c r="B288" i="17"/>
  <c r="A288" i="17"/>
  <c r="G287" i="17"/>
  <c r="F287" i="17"/>
  <c r="E287" i="17"/>
  <c r="D287" i="17"/>
  <c r="C287" i="17"/>
  <c r="B287" i="17"/>
  <c r="A287" i="17"/>
  <c r="G286" i="17"/>
  <c r="F286" i="17"/>
  <c r="E286" i="17"/>
  <c r="D286" i="17"/>
  <c r="C286" i="17"/>
  <c r="B286" i="17"/>
  <c r="A286" i="17"/>
  <c r="G285" i="17"/>
  <c r="F285" i="17"/>
  <c r="E285" i="17"/>
  <c r="D285" i="17"/>
  <c r="C285" i="17"/>
  <c r="B285" i="17"/>
  <c r="A285" i="17"/>
  <c r="G284" i="17"/>
  <c r="F284" i="17"/>
  <c r="E284" i="17"/>
  <c r="D284" i="17"/>
  <c r="C284" i="17"/>
  <c r="B284" i="17"/>
  <c r="A284" i="17"/>
  <c r="G283" i="17"/>
  <c r="F283" i="17"/>
  <c r="E283" i="17"/>
  <c r="D283" i="17"/>
  <c r="C283" i="17"/>
  <c r="B283" i="17"/>
  <c r="A283" i="17"/>
  <c r="G282" i="17"/>
  <c r="F282" i="17"/>
  <c r="E282" i="17"/>
  <c r="D282" i="17"/>
  <c r="C282" i="17"/>
  <c r="B282" i="17"/>
  <c r="A282" i="17"/>
  <c r="G281" i="17"/>
  <c r="F281" i="17"/>
  <c r="E281" i="17"/>
  <c r="D281" i="17"/>
  <c r="C281" i="17"/>
  <c r="B281" i="17"/>
  <c r="A281" i="17"/>
  <c r="G280" i="17"/>
  <c r="F280" i="17"/>
  <c r="E280" i="17"/>
  <c r="D280" i="17"/>
  <c r="C280" i="17"/>
  <c r="B280" i="17"/>
  <c r="A280" i="17"/>
  <c r="G279" i="17"/>
  <c r="F279" i="17"/>
  <c r="E279" i="17"/>
  <c r="D279" i="17"/>
  <c r="C279" i="17"/>
  <c r="B279" i="17"/>
  <c r="A279" i="17"/>
  <c r="G278" i="17"/>
  <c r="F278" i="17"/>
  <c r="E278" i="17"/>
  <c r="D278" i="17"/>
  <c r="C278" i="17"/>
  <c r="B278" i="17"/>
  <c r="A278" i="17"/>
  <c r="G277" i="17"/>
  <c r="F277" i="17"/>
  <c r="E277" i="17"/>
  <c r="D277" i="17"/>
  <c r="C277" i="17"/>
  <c r="B277" i="17"/>
  <c r="A277" i="17"/>
  <c r="G276" i="17"/>
  <c r="F276" i="17"/>
  <c r="E276" i="17"/>
  <c r="D276" i="17"/>
  <c r="C276" i="17"/>
  <c r="B276" i="17"/>
  <c r="A276" i="17"/>
  <c r="G275" i="17"/>
  <c r="F275" i="17"/>
  <c r="E275" i="17"/>
  <c r="D275" i="17"/>
  <c r="C275" i="17"/>
  <c r="B275" i="17"/>
  <c r="A275" i="17"/>
  <c r="G274" i="17"/>
  <c r="F274" i="17"/>
  <c r="E274" i="17"/>
  <c r="D274" i="17"/>
  <c r="C274" i="17"/>
  <c r="B274" i="17"/>
  <c r="A274" i="17"/>
  <c r="G273" i="17"/>
  <c r="F273" i="17"/>
  <c r="E273" i="17"/>
  <c r="D273" i="17"/>
  <c r="C273" i="17"/>
  <c r="B273" i="17"/>
  <c r="A273" i="17"/>
  <c r="G272" i="17"/>
  <c r="F272" i="17"/>
  <c r="E272" i="17"/>
  <c r="D272" i="17"/>
  <c r="C272" i="17"/>
  <c r="B272" i="17"/>
  <c r="A272" i="17"/>
  <c r="G271" i="17"/>
  <c r="F271" i="17"/>
  <c r="E271" i="17"/>
  <c r="D271" i="17"/>
  <c r="C271" i="17"/>
  <c r="B271" i="17"/>
  <c r="A271" i="17"/>
  <c r="G270" i="17"/>
  <c r="F270" i="17"/>
  <c r="E270" i="17"/>
  <c r="D270" i="17"/>
  <c r="C270" i="17"/>
  <c r="B270" i="17"/>
  <c r="A270" i="17"/>
  <c r="G269" i="17"/>
  <c r="F269" i="17"/>
  <c r="E269" i="17"/>
  <c r="D269" i="17"/>
  <c r="C269" i="17"/>
  <c r="B269" i="17"/>
  <c r="A269" i="17"/>
  <c r="G268" i="17"/>
  <c r="F268" i="17"/>
  <c r="E268" i="17"/>
  <c r="D268" i="17"/>
  <c r="C268" i="17"/>
  <c r="B268" i="17"/>
  <c r="A268" i="17"/>
  <c r="G267" i="17"/>
  <c r="F267" i="17"/>
  <c r="E267" i="17"/>
  <c r="D267" i="17"/>
  <c r="C267" i="17"/>
  <c r="B267" i="17"/>
  <c r="A267" i="17"/>
  <c r="G266" i="17"/>
  <c r="F266" i="17"/>
  <c r="E266" i="17"/>
  <c r="D266" i="17"/>
  <c r="C266" i="17"/>
  <c r="B266" i="17"/>
  <c r="A266" i="17"/>
  <c r="G265" i="17"/>
  <c r="F265" i="17"/>
  <c r="E265" i="17"/>
  <c r="D265" i="17"/>
  <c r="C265" i="17"/>
  <c r="B265" i="17"/>
  <c r="A265" i="17"/>
  <c r="G264" i="17"/>
  <c r="F264" i="17"/>
  <c r="E264" i="17"/>
  <c r="D264" i="17"/>
  <c r="C264" i="17"/>
  <c r="B264" i="17"/>
  <c r="A264" i="17"/>
  <c r="G263" i="17"/>
  <c r="F263" i="17"/>
  <c r="E263" i="17"/>
  <c r="D263" i="17"/>
  <c r="C263" i="17"/>
  <c r="B263" i="17"/>
  <c r="A263" i="17"/>
  <c r="G262" i="17"/>
  <c r="F262" i="17"/>
  <c r="E262" i="17"/>
  <c r="D262" i="17"/>
  <c r="C262" i="17"/>
  <c r="B262" i="17"/>
  <c r="A262" i="17"/>
  <c r="G261" i="17"/>
  <c r="F261" i="17"/>
  <c r="E261" i="17"/>
  <c r="D261" i="17"/>
  <c r="C261" i="17"/>
  <c r="B261" i="17"/>
  <c r="A261" i="17"/>
  <c r="G260" i="17"/>
  <c r="F260" i="17"/>
  <c r="E260" i="17"/>
  <c r="D260" i="17"/>
  <c r="C260" i="17"/>
  <c r="B260" i="17"/>
  <c r="A260" i="17"/>
  <c r="G259" i="17"/>
  <c r="F259" i="17"/>
  <c r="E259" i="17"/>
  <c r="D259" i="17"/>
  <c r="C259" i="17"/>
  <c r="B259" i="17"/>
  <c r="A259" i="17"/>
  <c r="G258" i="17"/>
  <c r="F258" i="17"/>
  <c r="E258" i="17"/>
  <c r="D258" i="17"/>
  <c r="C258" i="17"/>
  <c r="B258" i="17"/>
  <c r="A258" i="17"/>
  <c r="G257" i="17"/>
  <c r="F257" i="17"/>
  <c r="E257" i="17"/>
  <c r="D257" i="17"/>
  <c r="C257" i="17"/>
  <c r="B257" i="17"/>
  <c r="A257" i="17"/>
  <c r="G256" i="17"/>
  <c r="F256" i="17"/>
  <c r="E256" i="17"/>
  <c r="D256" i="17"/>
  <c r="C256" i="17"/>
  <c r="B256" i="17"/>
  <c r="A256" i="17"/>
  <c r="G255" i="17"/>
  <c r="F255" i="17"/>
  <c r="E255" i="17"/>
  <c r="D255" i="17"/>
  <c r="C255" i="17"/>
  <c r="B255" i="17"/>
  <c r="A255" i="17"/>
  <c r="G254" i="17"/>
  <c r="F254" i="17"/>
  <c r="E254" i="17"/>
  <c r="D254" i="17"/>
  <c r="C254" i="17"/>
  <c r="B254" i="17"/>
  <c r="A254" i="17"/>
  <c r="G253" i="17"/>
  <c r="F253" i="17"/>
  <c r="E253" i="17"/>
  <c r="D253" i="17"/>
  <c r="C253" i="17"/>
  <c r="B253" i="17"/>
  <c r="A253" i="17"/>
  <c r="G252" i="17"/>
  <c r="F252" i="17"/>
  <c r="E252" i="17"/>
  <c r="D252" i="17"/>
  <c r="C252" i="17"/>
  <c r="B252" i="17"/>
  <c r="A252" i="17"/>
  <c r="G251" i="17"/>
  <c r="F251" i="17"/>
  <c r="E251" i="17"/>
  <c r="D251" i="17"/>
  <c r="C251" i="17"/>
  <c r="B251" i="17"/>
  <c r="A251" i="17"/>
  <c r="G250" i="17"/>
  <c r="F250" i="17"/>
  <c r="E250" i="17"/>
  <c r="D250" i="17"/>
  <c r="C250" i="17"/>
  <c r="B250" i="17"/>
  <c r="A250" i="17"/>
  <c r="G249" i="17"/>
  <c r="F249" i="17"/>
  <c r="E249" i="17"/>
  <c r="D249" i="17"/>
  <c r="C249" i="17"/>
  <c r="B249" i="17"/>
  <c r="A249" i="17"/>
  <c r="G248" i="17"/>
  <c r="F248" i="17"/>
  <c r="E248" i="17"/>
  <c r="D248" i="17"/>
  <c r="C248" i="17"/>
  <c r="B248" i="17"/>
  <c r="A248" i="17"/>
  <c r="G247" i="17"/>
  <c r="F247" i="17"/>
  <c r="E247" i="17"/>
  <c r="D247" i="17"/>
  <c r="C247" i="17"/>
  <c r="B247" i="17"/>
  <c r="A247" i="17"/>
  <c r="G246" i="17"/>
  <c r="F246" i="17"/>
  <c r="E246" i="17"/>
  <c r="D246" i="17"/>
  <c r="C246" i="17"/>
  <c r="B246" i="17"/>
  <c r="A246" i="17"/>
  <c r="G245" i="17"/>
  <c r="F245" i="17"/>
  <c r="E245" i="17"/>
  <c r="D245" i="17"/>
  <c r="C245" i="17"/>
  <c r="B245" i="17"/>
  <c r="A245" i="17"/>
  <c r="G244" i="17"/>
  <c r="F244" i="17"/>
  <c r="E244" i="17"/>
  <c r="D244" i="17"/>
  <c r="C244" i="17"/>
  <c r="B244" i="17"/>
  <c r="A244" i="17"/>
  <c r="G243" i="17"/>
  <c r="F243" i="17"/>
  <c r="E243" i="17"/>
  <c r="D243" i="17"/>
  <c r="C243" i="17"/>
  <c r="B243" i="17"/>
  <c r="A243" i="17"/>
  <c r="G242" i="17"/>
  <c r="F242" i="17"/>
  <c r="E242" i="17"/>
  <c r="D242" i="17"/>
  <c r="C242" i="17"/>
  <c r="B242" i="17"/>
  <c r="A242" i="17"/>
  <c r="G241" i="17"/>
  <c r="F241" i="17"/>
  <c r="E241" i="17"/>
  <c r="D241" i="17"/>
  <c r="C241" i="17"/>
  <c r="B241" i="17"/>
  <c r="A241" i="17"/>
  <c r="G240" i="17"/>
  <c r="F240" i="17"/>
  <c r="E240" i="17"/>
  <c r="D240" i="17"/>
  <c r="C240" i="17"/>
  <c r="B240" i="17"/>
  <c r="A240" i="17"/>
  <c r="G239" i="17"/>
  <c r="F239" i="17"/>
  <c r="E239" i="17"/>
  <c r="D239" i="17"/>
  <c r="C239" i="17"/>
  <c r="B239" i="17"/>
  <c r="A239" i="17"/>
  <c r="G238" i="17"/>
  <c r="F238" i="17"/>
  <c r="E238" i="17"/>
  <c r="D238" i="17"/>
  <c r="C238" i="17"/>
  <c r="B238" i="17"/>
  <c r="A238" i="17"/>
  <c r="G237" i="17"/>
  <c r="F237" i="17"/>
  <c r="E237" i="17"/>
  <c r="D237" i="17"/>
  <c r="C237" i="17"/>
  <c r="B237" i="17"/>
  <c r="A237" i="17"/>
  <c r="G236" i="17"/>
  <c r="F236" i="17"/>
  <c r="E236" i="17"/>
  <c r="D236" i="17"/>
  <c r="C236" i="17"/>
  <c r="B236" i="17"/>
  <c r="A236" i="17"/>
  <c r="G235" i="17"/>
  <c r="F235" i="17"/>
  <c r="E235" i="17"/>
  <c r="D235" i="17"/>
  <c r="C235" i="17"/>
  <c r="B235" i="17"/>
  <c r="A235" i="17"/>
  <c r="G234" i="17"/>
  <c r="F234" i="17"/>
  <c r="E234" i="17"/>
  <c r="D234" i="17"/>
  <c r="C234" i="17"/>
  <c r="B234" i="17"/>
  <c r="A234" i="17"/>
  <c r="G233" i="17"/>
  <c r="F233" i="17"/>
  <c r="E233" i="17"/>
  <c r="D233" i="17"/>
  <c r="C233" i="17"/>
  <c r="B233" i="17"/>
  <c r="A233" i="17"/>
  <c r="G232" i="17"/>
  <c r="F232" i="17"/>
  <c r="E232" i="17"/>
  <c r="D232" i="17"/>
  <c r="C232" i="17"/>
  <c r="B232" i="17"/>
  <c r="A232" i="17"/>
  <c r="G231" i="17"/>
  <c r="F231" i="17"/>
  <c r="E231" i="17"/>
  <c r="D231" i="17"/>
  <c r="C231" i="17"/>
  <c r="B231" i="17"/>
  <c r="A231" i="17"/>
  <c r="G230" i="17"/>
  <c r="F230" i="17"/>
  <c r="E230" i="17"/>
  <c r="D230" i="17"/>
  <c r="C230" i="17"/>
  <c r="B230" i="17"/>
  <c r="A230" i="17"/>
  <c r="G229" i="17"/>
  <c r="F229" i="17"/>
  <c r="E229" i="17"/>
  <c r="D229" i="17"/>
  <c r="C229" i="17"/>
  <c r="B229" i="17"/>
  <c r="A229" i="17"/>
  <c r="G228" i="17"/>
  <c r="F228" i="17"/>
  <c r="E228" i="17"/>
  <c r="D228" i="17"/>
  <c r="C228" i="17"/>
  <c r="B228" i="17"/>
  <c r="A228" i="17"/>
  <c r="G227" i="17"/>
  <c r="F227" i="17"/>
  <c r="E227" i="17"/>
  <c r="D227" i="17"/>
  <c r="C227" i="17"/>
  <c r="B227" i="17"/>
  <c r="A227" i="17"/>
  <c r="G226" i="17"/>
  <c r="F226" i="17"/>
  <c r="E226" i="17"/>
  <c r="D226" i="17"/>
  <c r="C226" i="17"/>
  <c r="B226" i="17"/>
  <c r="A226" i="17"/>
  <c r="G225" i="17"/>
  <c r="F225" i="17"/>
  <c r="E225" i="17"/>
  <c r="D225" i="17"/>
  <c r="C225" i="17"/>
  <c r="B225" i="17"/>
  <c r="A225" i="17"/>
  <c r="G224" i="17"/>
  <c r="F224" i="17"/>
  <c r="E224" i="17"/>
  <c r="D224" i="17"/>
  <c r="C224" i="17"/>
  <c r="B224" i="17"/>
  <c r="A224" i="17"/>
  <c r="G223" i="17"/>
  <c r="F223" i="17"/>
  <c r="E223" i="17"/>
  <c r="D223" i="17"/>
  <c r="C223" i="17"/>
  <c r="B223" i="17"/>
  <c r="A223" i="17"/>
  <c r="G222" i="17"/>
  <c r="F222" i="17"/>
  <c r="E222" i="17"/>
  <c r="D222" i="17"/>
  <c r="C222" i="17"/>
  <c r="B222" i="17"/>
  <c r="A222" i="17"/>
  <c r="G221" i="17"/>
  <c r="F221" i="17"/>
  <c r="E221" i="17"/>
  <c r="D221" i="17"/>
  <c r="C221" i="17"/>
  <c r="B221" i="17"/>
  <c r="A221" i="17"/>
  <c r="G220" i="17"/>
  <c r="F220" i="17"/>
  <c r="E220" i="17"/>
  <c r="D220" i="17"/>
  <c r="C220" i="17"/>
  <c r="B220" i="17"/>
  <c r="A220" i="17"/>
  <c r="G219" i="17"/>
  <c r="F219" i="17"/>
  <c r="E219" i="17"/>
  <c r="D219" i="17"/>
  <c r="C219" i="17"/>
  <c r="B219" i="17"/>
  <c r="A219" i="17"/>
  <c r="G218" i="17"/>
  <c r="F218" i="17"/>
  <c r="E218" i="17"/>
  <c r="D218" i="17"/>
  <c r="C218" i="17"/>
  <c r="B218" i="17"/>
  <c r="A218" i="17"/>
  <c r="G217" i="17"/>
  <c r="F217" i="17"/>
  <c r="E217" i="17"/>
  <c r="D217" i="17"/>
  <c r="C217" i="17"/>
  <c r="B217" i="17"/>
  <c r="A217" i="17"/>
  <c r="G216" i="17"/>
  <c r="F216" i="17"/>
  <c r="E216" i="17"/>
  <c r="D216" i="17"/>
  <c r="C216" i="17"/>
  <c r="B216" i="17"/>
  <c r="A216" i="17"/>
  <c r="G215" i="17"/>
  <c r="F215" i="17"/>
  <c r="E215" i="17"/>
  <c r="D215" i="17"/>
  <c r="C215" i="17"/>
  <c r="B215" i="17"/>
  <c r="A215" i="17"/>
  <c r="G214" i="17"/>
  <c r="F214" i="17"/>
  <c r="E214" i="17"/>
  <c r="D214" i="17"/>
  <c r="C214" i="17"/>
  <c r="B214" i="17"/>
  <c r="A214" i="17"/>
  <c r="G213" i="17"/>
  <c r="F213" i="17"/>
  <c r="E213" i="17"/>
  <c r="D213" i="17"/>
  <c r="C213" i="17"/>
  <c r="B213" i="17"/>
  <c r="A213" i="17"/>
  <c r="G212" i="17"/>
  <c r="F212" i="17"/>
  <c r="E212" i="17"/>
  <c r="D212" i="17"/>
  <c r="C212" i="17"/>
  <c r="B212" i="17"/>
  <c r="A212" i="17"/>
  <c r="G211" i="17"/>
  <c r="F211" i="17"/>
  <c r="E211" i="17"/>
  <c r="D211" i="17"/>
  <c r="C211" i="17"/>
  <c r="B211" i="17"/>
  <c r="A211" i="17"/>
  <c r="G210" i="17"/>
  <c r="F210" i="17"/>
  <c r="E210" i="17"/>
  <c r="D210" i="17"/>
  <c r="C210" i="17"/>
  <c r="B210" i="17"/>
  <c r="A210" i="17"/>
  <c r="G209" i="17"/>
  <c r="F209" i="17"/>
  <c r="E209" i="17"/>
  <c r="D209" i="17"/>
  <c r="C209" i="17"/>
  <c r="B209" i="17"/>
  <c r="A209" i="17"/>
  <c r="G208" i="17"/>
  <c r="F208" i="17"/>
  <c r="E208" i="17"/>
  <c r="D208" i="17"/>
  <c r="C208" i="17"/>
  <c r="B208" i="17"/>
  <c r="A208" i="17"/>
  <c r="G207" i="17"/>
  <c r="F207" i="17"/>
  <c r="E207" i="17"/>
  <c r="D207" i="17"/>
  <c r="C207" i="17"/>
  <c r="B207" i="17"/>
  <c r="A207" i="17"/>
  <c r="G206" i="17"/>
  <c r="F206" i="17"/>
  <c r="E206" i="17"/>
  <c r="D206" i="17"/>
  <c r="C206" i="17"/>
  <c r="B206" i="17"/>
  <c r="A206" i="17"/>
  <c r="G205" i="17"/>
  <c r="F205" i="17"/>
  <c r="E205" i="17"/>
  <c r="D205" i="17"/>
  <c r="C205" i="17"/>
  <c r="B205" i="17"/>
  <c r="G204" i="17"/>
  <c r="F204" i="17"/>
  <c r="E204" i="17"/>
  <c r="D204" i="17"/>
  <c r="C204" i="17"/>
  <c r="B204" i="17"/>
  <c r="A204" i="17"/>
  <c r="G203" i="17"/>
  <c r="F203" i="17"/>
  <c r="E203" i="17"/>
  <c r="D203" i="17"/>
  <c r="C203" i="17"/>
  <c r="B203" i="17"/>
  <c r="A203" i="17"/>
  <c r="G202" i="17"/>
  <c r="F202" i="17"/>
  <c r="E202" i="17"/>
  <c r="D202" i="17"/>
  <c r="C202" i="17"/>
  <c r="B202" i="17"/>
  <c r="A202" i="17"/>
  <c r="G201" i="17"/>
  <c r="F201" i="17"/>
  <c r="E201" i="17"/>
  <c r="D201" i="17"/>
  <c r="C201" i="17"/>
  <c r="B201" i="17"/>
  <c r="A201" i="17"/>
  <c r="G200" i="17"/>
  <c r="F200" i="17"/>
  <c r="E200" i="17"/>
  <c r="D200" i="17"/>
  <c r="C200" i="17"/>
  <c r="B200" i="17"/>
  <c r="A200" i="17"/>
  <c r="G199" i="17"/>
  <c r="F199" i="17"/>
  <c r="E199" i="17"/>
  <c r="D199" i="17"/>
  <c r="C199" i="17"/>
  <c r="B199" i="17"/>
  <c r="A199" i="17"/>
  <c r="G198" i="17"/>
  <c r="F198" i="17"/>
  <c r="E198" i="17"/>
  <c r="D198" i="17"/>
  <c r="C198" i="17"/>
  <c r="B198" i="17"/>
  <c r="A198" i="17"/>
  <c r="G197" i="17"/>
  <c r="F197" i="17"/>
  <c r="E197" i="17"/>
  <c r="D197" i="17"/>
  <c r="C197" i="17"/>
  <c r="B197" i="17"/>
  <c r="A197" i="17"/>
  <c r="G196" i="17"/>
  <c r="F196" i="17"/>
  <c r="E196" i="17"/>
  <c r="D196" i="17"/>
  <c r="C196" i="17"/>
  <c r="B196" i="17"/>
  <c r="A196" i="17"/>
  <c r="G195" i="17"/>
  <c r="F195" i="17"/>
  <c r="E195" i="17"/>
  <c r="D195" i="17"/>
  <c r="C195" i="17"/>
  <c r="B195" i="17"/>
  <c r="A195" i="17"/>
  <c r="G194" i="17"/>
  <c r="F194" i="17"/>
  <c r="E194" i="17"/>
  <c r="D194" i="17"/>
  <c r="C194" i="17"/>
  <c r="B194" i="17"/>
  <c r="A194" i="17"/>
  <c r="G193" i="17"/>
  <c r="F193" i="17"/>
  <c r="E193" i="17"/>
  <c r="D193" i="17"/>
  <c r="C193" i="17"/>
  <c r="B193" i="17"/>
  <c r="A193" i="17"/>
  <c r="G192" i="17"/>
  <c r="F192" i="17"/>
  <c r="E192" i="17"/>
  <c r="D192" i="17"/>
  <c r="C192" i="17"/>
  <c r="B192" i="17"/>
  <c r="A192" i="17"/>
  <c r="G191" i="17"/>
  <c r="F191" i="17"/>
  <c r="E191" i="17"/>
  <c r="D191" i="17"/>
  <c r="C191" i="17"/>
  <c r="B191" i="17"/>
  <c r="A191" i="17"/>
  <c r="G190" i="17"/>
  <c r="F190" i="17"/>
  <c r="E190" i="17"/>
  <c r="D190" i="17"/>
  <c r="C190" i="17"/>
  <c r="B190" i="17"/>
  <c r="A190" i="17"/>
  <c r="G189" i="17"/>
  <c r="F189" i="17"/>
  <c r="E189" i="17"/>
  <c r="D189" i="17"/>
  <c r="C189" i="17"/>
  <c r="B189" i="17"/>
  <c r="A189" i="17"/>
  <c r="G188" i="17"/>
  <c r="F188" i="17"/>
  <c r="E188" i="17"/>
  <c r="D188" i="17"/>
  <c r="C188" i="17"/>
  <c r="B188" i="17"/>
  <c r="A188" i="17"/>
  <c r="G187" i="17"/>
  <c r="F187" i="17"/>
  <c r="E187" i="17"/>
  <c r="D187" i="17"/>
  <c r="C187" i="17"/>
  <c r="B187" i="17"/>
  <c r="A187" i="17"/>
  <c r="G186" i="17"/>
  <c r="F186" i="17"/>
  <c r="E186" i="17"/>
  <c r="D186" i="17"/>
  <c r="C186" i="17"/>
  <c r="B186" i="17"/>
  <c r="A186" i="17"/>
  <c r="G185" i="17"/>
  <c r="F185" i="17"/>
  <c r="E185" i="17"/>
  <c r="D185" i="17"/>
  <c r="C185" i="17"/>
  <c r="B185" i="17"/>
  <c r="A185" i="17"/>
  <c r="G184" i="17"/>
  <c r="F184" i="17"/>
  <c r="E184" i="17"/>
  <c r="D184" i="17"/>
  <c r="C184" i="17"/>
  <c r="B184" i="17"/>
  <c r="A184" i="17"/>
  <c r="G183" i="17"/>
  <c r="F183" i="17"/>
  <c r="E183" i="17"/>
  <c r="D183" i="17"/>
  <c r="C183" i="17"/>
  <c r="B183" i="17"/>
  <c r="A183" i="17"/>
  <c r="G182" i="17"/>
  <c r="F182" i="17"/>
  <c r="E182" i="17"/>
  <c r="D182" i="17"/>
  <c r="C182" i="17"/>
  <c r="B182" i="17"/>
  <c r="A182" i="17"/>
  <c r="G181" i="17"/>
  <c r="F181" i="17"/>
  <c r="E181" i="17"/>
  <c r="D181" i="17"/>
  <c r="C181" i="17"/>
  <c r="B181" i="17"/>
  <c r="A181" i="17"/>
  <c r="G180" i="17"/>
  <c r="F180" i="17"/>
  <c r="E180" i="17"/>
  <c r="D180" i="17"/>
  <c r="C180" i="17"/>
  <c r="B180" i="17"/>
  <c r="A180" i="17"/>
  <c r="G179" i="17"/>
  <c r="F179" i="17"/>
  <c r="E179" i="17"/>
  <c r="D179" i="17"/>
  <c r="C179" i="17"/>
  <c r="B179" i="17"/>
  <c r="A179" i="17"/>
  <c r="G178" i="17"/>
  <c r="F178" i="17"/>
  <c r="E178" i="17"/>
  <c r="D178" i="17"/>
  <c r="C178" i="17"/>
  <c r="B178" i="17"/>
  <c r="A178" i="17"/>
  <c r="G177" i="17"/>
  <c r="F177" i="17"/>
  <c r="E177" i="17"/>
  <c r="D177" i="17"/>
  <c r="C177" i="17"/>
  <c r="B177" i="17"/>
  <c r="A177" i="17"/>
  <c r="G176" i="17"/>
  <c r="F176" i="17"/>
  <c r="E176" i="17"/>
  <c r="D176" i="17"/>
  <c r="C176" i="17"/>
  <c r="B176" i="17"/>
  <c r="A176" i="17"/>
  <c r="G175" i="17"/>
  <c r="F175" i="17"/>
  <c r="E175" i="17"/>
  <c r="D175" i="17"/>
  <c r="C175" i="17"/>
  <c r="B175" i="17"/>
  <c r="A175" i="17"/>
  <c r="G174" i="17"/>
  <c r="F174" i="17"/>
  <c r="E174" i="17"/>
  <c r="D174" i="17"/>
  <c r="C174" i="17"/>
  <c r="B174" i="17"/>
  <c r="A174" i="17"/>
  <c r="G173" i="17"/>
  <c r="F173" i="17"/>
  <c r="E173" i="17"/>
  <c r="D173" i="17"/>
  <c r="C173" i="17"/>
  <c r="B173" i="17"/>
  <c r="A173" i="17"/>
  <c r="G172" i="17"/>
  <c r="F172" i="17"/>
  <c r="E172" i="17"/>
  <c r="D172" i="17"/>
  <c r="C172" i="17"/>
  <c r="B172" i="17"/>
  <c r="A172" i="17"/>
  <c r="G171" i="17"/>
  <c r="F171" i="17"/>
  <c r="E171" i="17"/>
  <c r="D171" i="17"/>
  <c r="C171" i="17"/>
  <c r="B171" i="17"/>
  <c r="A171" i="17"/>
  <c r="G170" i="17"/>
  <c r="F170" i="17"/>
  <c r="E170" i="17"/>
  <c r="D170" i="17"/>
  <c r="C170" i="17"/>
  <c r="B170" i="17"/>
  <c r="A170" i="17"/>
  <c r="G169" i="17"/>
  <c r="F169" i="17"/>
  <c r="E169" i="17"/>
  <c r="D169" i="17"/>
  <c r="C169" i="17"/>
  <c r="B169" i="17"/>
  <c r="A169" i="17"/>
  <c r="G168" i="17"/>
  <c r="F168" i="17"/>
  <c r="E168" i="17"/>
  <c r="D168" i="17"/>
  <c r="C168" i="17"/>
  <c r="B168" i="17"/>
  <c r="A168" i="17"/>
  <c r="G167" i="17"/>
  <c r="F167" i="17"/>
  <c r="E167" i="17"/>
  <c r="D167" i="17"/>
  <c r="C167" i="17"/>
  <c r="B167" i="17"/>
  <c r="A167" i="17"/>
  <c r="G166" i="17"/>
  <c r="F166" i="17"/>
  <c r="E166" i="17"/>
  <c r="D166" i="17"/>
  <c r="C166" i="17"/>
  <c r="B166" i="17"/>
  <c r="A166" i="17"/>
  <c r="G165" i="17"/>
  <c r="F165" i="17"/>
  <c r="E165" i="17"/>
  <c r="D165" i="17"/>
  <c r="C165" i="17"/>
  <c r="B165" i="17"/>
  <c r="A165" i="17"/>
  <c r="G164" i="17"/>
  <c r="F164" i="17"/>
  <c r="E164" i="17"/>
  <c r="D164" i="17"/>
  <c r="C164" i="17"/>
  <c r="B164" i="17"/>
  <c r="A164" i="17"/>
  <c r="G163" i="17"/>
  <c r="F163" i="17"/>
  <c r="E163" i="17"/>
  <c r="D163" i="17"/>
  <c r="C163" i="17"/>
  <c r="B163" i="17"/>
  <c r="A163" i="17"/>
  <c r="G162" i="17"/>
  <c r="F162" i="17"/>
  <c r="E162" i="17"/>
  <c r="D162" i="17"/>
  <c r="C162" i="17"/>
  <c r="B162" i="17"/>
  <c r="A162" i="17"/>
  <c r="G161" i="17"/>
  <c r="F161" i="17"/>
  <c r="E161" i="17"/>
  <c r="D161" i="17"/>
  <c r="C161" i="17"/>
  <c r="B161" i="17"/>
  <c r="A161" i="17"/>
  <c r="G160" i="17"/>
  <c r="F160" i="17"/>
  <c r="E160" i="17"/>
  <c r="D160" i="17"/>
  <c r="C160" i="17"/>
  <c r="B160" i="17"/>
  <c r="A160" i="17"/>
  <c r="G159" i="17"/>
  <c r="F159" i="17"/>
  <c r="E159" i="17"/>
  <c r="D159" i="17"/>
  <c r="C159" i="17"/>
  <c r="B159" i="17"/>
  <c r="A159" i="17"/>
  <c r="G158" i="17"/>
  <c r="F158" i="17"/>
  <c r="E158" i="17"/>
  <c r="D158" i="17"/>
  <c r="C158" i="17"/>
  <c r="B158" i="17"/>
  <c r="A158" i="17"/>
  <c r="G157" i="17"/>
  <c r="F157" i="17"/>
  <c r="E157" i="17"/>
  <c r="D157" i="17"/>
  <c r="C157" i="17"/>
  <c r="B157" i="17"/>
  <c r="A157" i="17"/>
  <c r="G156" i="17"/>
  <c r="F156" i="17"/>
  <c r="E156" i="17"/>
  <c r="D156" i="17"/>
  <c r="C156" i="17"/>
  <c r="B156" i="17"/>
  <c r="A156" i="17"/>
  <c r="G155" i="17"/>
  <c r="F155" i="17"/>
  <c r="E155" i="17"/>
  <c r="D155" i="17"/>
  <c r="C155" i="17"/>
  <c r="B155" i="17"/>
  <c r="A155" i="17"/>
  <c r="G154" i="17"/>
  <c r="F154" i="17"/>
  <c r="E154" i="17"/>
  <c r="D154" i="17"/>
  <c r="C154" i="17"/>
  <c r="B154" i="17"/>
  <c r="A154" i="17"/>
  <c r="G153" i="17"/>
  <c r="F153" i="17"/>
  <c r="E153" i="17"/>
  <c r="D153" i="17"/>
  <c r="C153" i="17"/>
  <c r="B153" i="17"/>
  <c r="A153" i="17"/>
  <c r="G152" i="17"/>
  <c r="F152" i="17"/>
  <c r="E152" i="17"/>
  <c r="D152" i="17"/>
  <c r="C152" i="17"/>
  <c r="B152" i="17"/>
  <c r="A152" i="17"/>
  <c r="G151" i="17"/>
  <c r="F151" i="17"/>
  <c r="E151" i="17"/>
  <c r="D151" i="17"/>
  <c r="C151" i="17"/>
  <c r="B151" i="17"/>
  <c r="A151" i="17"/>
  <c r="G150" i="17"/>
  <c r="F150" i="17"/>
  <c r="E150" i="17"/>
  <c r="D150" i="17"/>
  <c r="C150" i="17"/>
  <c r="B150" i="17"/>
  <c r="A150" i="17"/>
  <c r="G149" i="17"/>
  <c r="F149" i="17"/>
  <c r="E149" i="17"/>
  <c r="D149" i="17"/>
  <c r="C149" i="17"/>
  <c r="B149" i="17"/>
  <c r="A149" i="17"/>
  <c r="G148" i="17"/>
  <c r="F148" i="17"/>
  <c r="E148" i="17"/>
  <c r="D148" i="17"/>
  <c r="C148" i="17"/>
  <c r="B148" i="17"/>
  <c r="A148" i="17"/>
  <c r="G147" i="17"/>
  <c r="F147" i="17"/>
  <c r="E147" i="17"/>
  <c r="D147" i="17"/>
  <c r="C147" i="17"/>
  <c r="B147" i="17"/>
  <c r="A147" i="17"/>
  <c r="G146" i="17"/>
  <c r="F146" i="17"/>
  <c r="E146" i="17"/>
  <c r="D146" i="17"/>
  <c r="C146" i="17"/>
  <c r="B146" i="17"/>
  <c r="A146" i="17"/>
  <c r="G145" i="17"/>
  <c r="F145" i="17"/>
  <c r="E145" i="17"/>
  <c r="D145" i="17"/>
  <c r="C145" i="17"/>
  <c r="B145" i="17"/>
  <c r="A145" i="17"/>
  <c r="G144" i="17"/>
  <c r="F144" i="17"/>
  <c r="E144" i="17"/>
  <c r="D144" i="17"/>
  <c r="C144" i="17"/>
  <c r="B144" i="17"/>
  <c r="A144" i="17"/>
  <c r="G143" i="17"/>
  <c r="F143" i="17"/>
  <c r="E143" i="17"/>
  <c r="D143" i="17"/>
  <c r="C143" i="17"/>
  <c r="B143" i="17"/>
  <c r="A143" i="17"/>
  <c r="G142" i="17"/>
  <c r="F142" i="17"/>
  <c r="E142" i="17"/>
  <c r="D142" i="17"/>
  <c r="C142" i="17"/>
  <c r="B142" i="17"/>
  <c r="A142" i="17"/>
  <c r="G141" i="17"/>
  <c r="F141" i="17"/>
  <c r="E141" i="17"/>
  <c r="D141" i="17"/>
  <c r="C141" i="17"/>
  <c r="B141" i="17"/>
  <c r="A141" i="17"/>
  <c r="G140" i="17"/>
  <c r="F140" i="17"/>
  <c r="E140" i="17"/>
  <c r="D140" i="17"/>
  <c r="C140" i="17"/>
  <c r="B140" i="17"/>
  <c r="A140" i="17"/>
  <c r="G139" i="17"/>
  <c r="F139" i="17"/>
  <c r="E139" i="17"/>
  <c r="D139" i="17"/>
  <c r="C139" i="17"/>
  <c r="B139" i="17"/>
  <c r="A139" i="17"/>
  <c r="G138" i="17"/>
  <c r="F138" i="17"/>
  <c r="E138" i="17"/>
  <c r="D138" i="17"/>
  <c r="C138" i="17"/>
  <c r="B138" i="17"/>
  <c r="A138" i="17"/>
  <c r="G137" i="17"/>
  <c r="F137" i="17"/>
  <c r="E137" i="17"/>
  <c r="D137" i="17"/>
  <c r="C137" i="17"/>
  <c r="B137" i="17"/>
  <c r="A137" i="17"/>
  <c r="G136" i="17"/>
  <c r="F136" i="17"/>
  <c r="E136" i="17"/>
  <c r="D136" i="17"/>
  <c r="C136" i="17"/>
  <c r="B136" i="17"/>
  <c r="A136" i="17"/>
  <c r="G135" i="17"/>
  <c r="F135" i="17"/>
  <c r="E135" i="17"/>
  <c r="D135" i="17"/>
  <c r="C135" i="17"/>
  <c r="B135" i="17"/>
  <c r="A135" i="17"/>
  <c r="G134" i="17"/>
  <c r="F134" i="17"/>
  <c r="E134" i="17"/>
  <c r="D134" i="17"/>
  <c r="C134" i="17"/>
  <c r="B134" i="17"/>
  <c r="A134" i="17"/>
  <c r="G133" i="17"/>
  <c r="F133" i="17"/>
  <c r="E133" i="17"/>
  <c r="D133" i="17"/>
  <c r="C133" i="17"/>
  <c r="B133" i="17"/>
  <c r="A133" i="17"/>
  <c r="G132" i="17"/>
  <c r="F132" i="17"/>
  <c r="E132" i="17"/>
  <c r="D132" i="17"/>
  <c r="C132" i="17"/>
  <c r="B132" i="17"/>
  <c r="A132" i="17"/>
  <c r="G131" i="17"/>
  <c r="F131" i="17"/>
  <c r="E131" i="17"/>
  <c r="D131" i="17"/>
  <c r="C131" i="17"/>
  <c r="B131" i="17"/>
  <c r="A131" i="17"/>
  <c r="G130" i="17"/>
  <c r="F130" i="17"/>
  <c r="E130" i="17"/>
  <c r="D130" i="17"/>
  <c r="C130" i="17"/>
  <c r="B130" i="17"/>
  <c r="A130" i="17"/>
  <c r="G129" i="17"/>
  <c r="F129" i="17"/>
  <c r="E129" i="17"/>
  <c r="D129" i="17"/>
  <c r="C129" i="17"/>
  <c r="B129" i="17"/>
  <c r="A129" i="17"/>
  <c r="G128" i="17"/>
  <c r="F128" i="17"/>
  <c r="E128" i="17"/>
  <c r="D128" i="17"/>
  <c r="C128" i="17"/>
  <c r="B128" i="17"/>
  <c r="A128" i="17"/>
  <c r="G127" i="17"/>
  <c r="F127" i="17"/>
  <c r="E127" i="17"/>
  <c r="D127" i="17"/>
  <c r="C127" i="17"/>
  <c r="B127" i="17"/>
  <c r="A127" i="17"/>
  <c r="G126" i="17"/>
  <c r="F126" i="17"/>
  <c r="E126" i="17"/>
  <c r="D126" i="17"/>
  <c r="C126" i="17"/>
  <c r="B126" i="17"/>
  <c r="A126" i="17"/>
  <c r="G125" i="17"/>
  <c r="F125" i="17"/>
  <c r="E125" i="17"/>
  <c r="D125" i="17"/>
  <c r="C125" i="17"/>
  <c r="B125" i="17"/>
  <c r="A125" i="17"/>
  <c r="G124" i="17"/>
  <c r="F124" i="17"/>
  <c r="E124" i="17"/>
  <c r="D124" i="17"/>
  <c r="C124" i="17"/>
  <c r="B124" i="17"/>
  <c r="A124" i="17"/>
  <c r="G123" i="17"/>
  <c r="F123" i="17"/>
  <c r="E123" i="17"/>
  <c r="D123" i="17"/>
  <c r="C123" i="17"/>
  <c r="B123" i="17"/>
  <c r="A123" i="17"/>
  <c r="G122" i="17"/>
  <c r="F122" i="17"/>
  <c r="E122" i="17"/>
  <c r="D122" i="17"/>
  <c r="C122" i="17"/>
  <c r="B122" i="17"/>
  <c r="A122" i="17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<sst xmlns="http://schemas.openxmlformats.org/spreadsheetml/2006/main" count="46995" uniqueCount="5249">
  <si>
    <t>0001BIO00002</t>
  </si>
  <si>
    <t>BIOXIDO 75 X 50</t>
  </si>
  <si>
    <t>0001BIO00004</t>
  </si>
  <si>
    <t>BIOXIDO 37 X 50</t>
  </si>
  <si>
    <t>0001BIO00008</t>
  </si>
  <si>
    <t>BIOXIDO 37 X 25</t>
  </si>
  <si>
    <t>0001BIO00016</t>
  </si>
  <si>
    <t>BIOXIDO 18 X 25</t>
  </si>
  <si>
    <t>kg</t>
  </si>
  <si>
    <t>res</t>
  </si>
  <si>
    <t>0002DES03246</t>
  </si>
  <si>
    <t>0002DES04060</t>
  </si>
  <si>
    <t>0002DES04565</t>
  </si>
  <si>
    <t>0002DES06080</t>
  </si>
  <si>
    <t>0002DES07090</t>
  </si>
  <si>
    <t>0002SED75100</t>
  </si>
  <si>
    <t>paq</t>
  </si>
  <si>
    <t>0004KRA00090</t>
  </si>
  <si>
    <t>0004KRA00091</t>
  </si>
  <si>
    <t>caj</t>
  </si>
  <si>
    <t>0005SERZ0001</t>
  </si>
  <si>
    <t>0031LIE00615</t>
  </si>
  <si>
    <t>0031LIE00618</t>
  </si>
  <si>
    <t>0031LIE00619</t>
  </si>
  <si>
    <t>0031LIN00625</t>
  </si>
  <si>
    <t>0032STD00615</t>
  </si>
  <si>
    <t>0032STD00617</t>
  </si>
  <si>
    <t>0032STD00618</t>
  </si>
  <si>
    <t>0032STD00619</t>
  </si>
  <si>
    <t>0032STD00625</t>
  </si>
  <si>
    <t>0032STD00628</t>
  </si>
  <si>
    <t>0032STD02615</t>
  </si>
  <si>
    <t>0032STD02618</t>
  </si>
  <si>
    <t>0032STD02619</t>
  </si>
  <si>
    <t>0032STDO0618</t>
  </si>
  <si>
    <t>0032STDO0619</t>
  </si>
  <si>
    <t>0034CON00010</t>
  </si>
  <si>
    <t>0034CON00011</t>
  </si>
  <si>
    <t>0034CON00012</t>
  </si>
  <si>
    <t>0034CON00013</t>
  </si>
  <si>
    <t>0034CON00014</t>
  </si>
  <si>
    <t>0034CON00015</t>
  </si>
  <si>
    <t>0034CON00016</t>
  </si>
  <si>
    <t>0034CON00017</t>
  </si>
  <si>
    <t>0034CON00018</t>
  </si>
  <si>
    <t>0034CON00019</t>
  </si>
  <si>
    <t>0034CON00020</t>
  </si>
  <si>
    <t>0034CON00021</t>
  </si>
  <si>
    <t>0034CON00022</t>
  </si>
  <si>
    <t>0035VAS00120</t>
  </si>
  <si>
    <t>0035VAS00180</t>
  </si>
  <si>
    <t>0035VAS00240</t>
  </si>
  <si>
    <t>0035VAS00300</t>
  </si>
  <si>
    <t>0035VTA00120</t>
  </si>
  <si>
    <t>0035VTA00180</t>
  </si>
  <si>
    <t>0035VTA00240</t>
  </si>
  <si>
    <t>0035VTA00300</t>
  </si>
  <si>
    <t>0041CUE00012</t>
  </si>
  <si>
    <t>0041DAR00001</t>
  </si>
  <si>
    <t>0041DAR00002</t>
  </si>
  <si>
    <t>0041DAR00003</t>
  </si>
  <si>
    <t>DARNEL CUCH. DULCERA BIS. CR.50PX20U</t>
  </si>
  <si>
    <t>0041DAR00004</t>
  </si>
  <si>
    <t>0041DAR00005</t>
  </si>
  <si>
    <t>0041DAR00006</t>
  </si>
  <si>
    <t>0041DAR00007</t>
  </si>
  <si>
    <t>0041DAR00008</t>
  </si>
  <si>
    <t>0041DAR00010</t>
  </si>
  <si>
    <t>0041DAR00022</t>
  </si>
  <si>
    <t>0041DAR00023</t>
  </si>
  <si>
    <t>0041DAR00024</t>
  </si>
  <si>
    <t>0041TAM00010</t>
  </si>
  <si>
    <t>0041TAM00011</t>
  </si>
  <si>
    <t>0041TAM00012</t>
  </si>
  <si>
    <t>0041TAM00013</t>
  </si>
  <si>
    <t>0041TAM00014</t>
  </si>
  <si>
    <t>0041TAM00015</t>
  </si>
  <si>
    <t>0041TAM00016</t>
  </si>
  <si>
    <t>0041TAM00017</t>
  </si>
  <si>
    <t>0041TAM00018</t>
  </si>
  <si>
    <t>0041TAM00019</t>
  </si>
  <si>
    <t>0042DAR00001</t>
  </si>
  <si>
    <t>0042DAR00002</t>
  </si>
  <si>
    <t>0042DAR00003</t>
  </si>
  <si>
    <t>0042DAR00008</t>
  </si>
  <si>
    <t>0042DAR00009</t>
  </si>
  <si>
    <t>0042DAR00019</t>
  </si>
  <si>
    <t>0042DAR00020</t>
  </si>
  <si>
    <t>0042DAR00021</t>
  </si>
  <si>
    <t>0042TAM00004</t>
  </si>
  <si>
    <t>0042TAM00005</t>
  </si>
  <si>
    <t>0042TAM00006</t>
  </si>
  <si>
    <t>0042TAM00007</t>
  </si>
  <si>
    <t>0043DAR00001</t>
  </si>
  <si>
    <t>0043DAR00002</t>
  </si>
  <si>
    <t>0043DAR00003</t>
  </si>
  <si>
    <t>0043DAR00004</t>
  </si>
  <si>
    <t>0043DAR00007</t>
  </si>
  <si>
    <t>0043DAR00010</t>
  </si>
  <si>
    <t>0043DAR00011</t>
  </si>
  <si>
    <t>0043DAR00012</t>
  </si>
  <si>
    <t>DARNEL VASO BICOLOR MIX COLOR 12 OZ 40PX12U</t>
  </si>
  <si>
    <t>0043DAR00015</t>
  </si>
  <si>
    <t>DARNEL COPA CUADRADA PETITE CRIS. 12PX24U</t>
  </si>
  <si>
    <t>0043DAR00016</t>
  </si>
  <si>
    <t>0043DAR00017</t>
  </si>
  <si>
    <t>0043DAR00025</t>
  </si>
  <si>
    <t>0044DAR00005</t>
  </si>
  <si>
    <t>DARNEL COP VENECIA FLEX 5 OZ</t>
  </si>
  <si>
    <t>0044DAR00006</t>
  </si>
  <si>
    <t>DARNEL COP VENECIA FLEX 8 OZ</t>
  </si>
  <si>
    <t>0044DAR00007</t>
  </si>
  <si>
    <t>DARNEL COP VENECIA FLEX 12 OZ</t>
  </si>
  <si>
    <t>0051MICB0250</t>
  </si>
  <si>
    <t>0051MICB0400</t>
  </si>
  <si>
    <t>0051MICB0500</t>
  </si>
  <si>
    <t>0051MICB0750</t>
  </si>
  <si>
    <t>0051MICB1000</t>
  </si>
  <si>
    <t>0051MICB1250</t>
  </si>
  <si>
    <t>0051MICB1500</t>
  </si>
  <si>
    <t>0051MICB1750</t>
  </si>
  <si>
    <t>0051MICB2000</t>
  </si>
  <si>
    <t>0051MICB2250</t>
  </si>
  <si>
    <t>0051MICB2500</t>
  </si>
  <si>
    <t>0052DAR00001</t>
  </si>
  <si>
    <t>DARNEL MINI PACK REDONDO CH C/T</t>
  </si>
  <si>
    <t>0052DAR00005</t>
  </si>
  <si>
    <t>0052DAR00006</t>
  </si>
  <si>
    <t>0052DAR00007</t>
  </si>
  <si>
    <t>DARNEL ROUND MINI PACK HV L</t>
  </si>
  <si>
    <t>0052DAR00008</t>
  </si>
  <si>
    <t>0052DAR00010</t>
  </si>
  <si>
    <t>0052DAR00011</t>
  </si>
  <si>
    <t>0052DAR00012</t>
  </si>
  <si>
    <t>0052DAR00013</t>
  </si>
  <si>
    <t>0052DAR00015</t>
  </si>
  <si>
    <t>DARNEL POTE SOUFFLE 1 OZ NEGRA 25PX100U</t>
  </si>
  <si>
    <t>0052DAR00016</t>
  </si>
  <si>
    <t>DARNEL TAPA POTE SOUFFLE(0.5, 1, 0.75 OZ) 25PX100U</t>
  </si>
  <si>
    <t>0052DAR00017</t>
  </si>
  <si>
    <t>0052DAR00018</t>
  </si>
  <si>
    <t>0052DAR00019</t>
  </si>
  <si>
    <t>0052DAR00100</t>
  </si>
  <si>
    <t>0052DAR00101</t>
  </si>
  <si>
    <t>0052DAR00102</t>
  </si>
  <si>
    <t>0052DAR00103</t>
  </si>
  <si>
    <t>0052DAR00104</t>
  </si>
  <si>
    <t>0053DAR00001</t>
  </si>
  <si>
    <t>DARNEL SELLO PLUS 12 OZ T/PLANA</t>
  </si>
  <si>
    <t>0053DAR00002</t>
  </si>
  <si>
    <t>DARNEL SELLO PLUS 16 OZ T/PLANA</t>
  </si>
  <si>
    <t>0053DAR00003</t>
  </si>
  <si>
    <t>DARNEL SELLO PLUS 32 OZ T/PLANA</t>
  </si>
  <si>
    <t>0053DAR00004</t>
  </si>
  <si>
    <t>DARNEL SELLO PLUS 48 OZ T/PLANA</t>
  </si>
  <si>
    <t>0053DAR00005</t>
  </si>
  <si>
    <t>0053DAR00008</t>
  </si>
  <si>
    <t>DARNEL CONT DOBLE USO 12 OZ C/T CR.</t>
  </si>
  <si>
    <t>0053DAR00009</t>
  </si>
  <si>
    <t>DARNEL CONT DOBLE USO 32 OZ C/T CR.</t>
  </si>
  <si>
    <t>0053DAR00010</t>
  </si>
  <si>
    <t>DARNEL CONT DOBLE USO 48 OZ C/T CR.</t>
  </si>
  <si>
    <t>0053DAR00011</t>
  </si>
  <si>
    <t>DARNEL MULTI ALTA VIS. GDE.</t>
  </si>
  <si>
    <t>0053DAR00012</t>
  </si>
  <si>
    <t>DARNEL MULTI ALTA VIS. CH.</t>
  </si>
  <si>
    <t>0053DAR00015</t>
  </si>
  <si>
    <t>DARNEL TWIST 8 OZ C/TAPA</t>
  </si>
  <si>
    <t>0053DAR00016</t>
  </si>
  <si>
    <t>DARNEL TWIST 24 OZ C/TAPA</t>
  </si>
  <si>
    <t>0053DAR00017</t>
  </si>
  <si>
    <t>DARNEL TWIST 32 OZ C/TAPA</t>
  </si>
  <si>
    <t>0053DAR00018</t>
  </si>
  <si>
    <t>0053DAR00019</t>
  </si>
  <si>
    <t>0053DAR00020</t>
  </si>
  <si>
    <t>DARNEL VISUAL PACK VI-1 C/T ALTA</t>
  </si>
  <si>
    <t>0053DAR00021</t>
  </si>
  <si>
    <t>0053DAR00022</t>
  </si>
  <si>
    <t>0053DAR00023</t>
  </si>
  <si>
    <t>0053DAR00024</t>
  </si>
  <si>
    <t>0053DAR00025</t>
  </si>
  <si>
    <t>0053DAR00026</t>
  </si>
  <si>
    <t>0082ALL00002</t>
  </si>
  <si>
    <t>0082ALL00003</t>
  </si>
  <si>
    <t>0082ALL00004</t>
  </si>
  <si>
    <t>0082ALL00005</t>
  </si>
  <si>
    <t>0082ALL00006</t>
  </si>
  <si>
    <t>0082ALL00009</t>
  </si>
  <si>
    <t>0082ALL00020</t>
  </si>
  <si>
    <t>0082ALL00021</t>
  </si>
  <si>
    <t>0082ALL00022</t>
  </si>
  <si>
    <t>CODIGO PILARICA</t>
  </si>
  <si>
    <t>CODIGO DARNEL</t>
  </si>
  <si>
    <t>U/M</t>
  </si>
  <si>
    <t>C/U</t>
  </si>
  <si>
    <t>DESCRIPCION</t>
  </si>
  <si>
    <t>COMENTARIO</t>
  </si>
  <si>
    <t>Resma 10 KG.</t>
  </si>
  <si>
    <t>DESMOLDANTE 32 X 46</t>
  </si>
  <si>
    <t>Resma 5 KG.</t>
  </si>
  <si>
    <t>DESMOLDANTE 40 X 60</t>
  </si>
  <si>
    <t>DESMOLDANTE 45 X 64</t>
  </si>
  <si>
    <t>DESMOLDANTE 60 X 80</t>
  </si>
  <si>
    <t>DESMOLDANTE 70 X 90</t>
  </si>
  <si>
    <t>PAPEL SEDA 75 x 100 cm.</t>
  </si>
  <si>
    <t>PAPEL ALUMINIO IMPRESO GENERICO 25 x 35 cm</t>
  </si>
  <si>
    <t xml:space="preserve">PAPEL ALUMINIO PERSONALIZADO  </t>
  </si>
  <si>
    <t xml:space="preserve">PAPEL ALUMINIO LISO   25 x 35 cm  </t>
  </si>
  <si>
    <t xml:space="preserve">PAPEL ALUMINIO LISO   34 x 50 cm  </t>
  </si>
  <si>
    <t xml:space="preserve">PAPEL ALUMINIO IMPRESO GENERICO  34 x 50 cm  </t>
  </si>
  <si>
    <t>PAPEL PARAFINADO LISO  40 x 40 cm</t>
  </si>
  <si>
    <t>Resma 1 KG.</t>
  </si>
  <si>
    <t>PAPEL PARAFINADO LISO  35 x 40 cm</t>
  </si>
  <si>
    <t>PAPEL PARAFINADO GENERICO  35 x 40 cm</t>
  </si>
  <si>
    <t>Resma 5  KG.</t>
  </si>
  <si>
    <t xml:space="preserve">PAPEL PARAFINADO PERSONALIZADO  </t>
  </si>
  <si>
    <t>D2001001LBB</t>
  </si>
  <si>
    <t>D2000201LBB</t>
  </si>
  <si>
    <t>D2000401LBB</t>
  </si>
  <si>
    <t>D2000801LBBC</t>
  </si>
  <si>
    <t>D2001001LE</t>
  </si>
  <si>
    <t>D2001101LA</t>
  </si>
  <si>
    <t>D2000201LE</t>
  </si>
  <si>
    <t>D2000401LE</t>
  </si>
  <si>
    <t>D2000801L</t>
  </si>
  <si>
    <t>D20028R01L</t>
  </si>
  <si>
    <t>D00211401L</t>
  </si>
  <si>
    <t>D00231801L</t>
  </si>
  <si>
    <t>D91202000</t>
  </si>
  <si>
    <t>DARNEL TENEDOR BISTROT CR. 50PX20u</t>
  </si>
  <si>
    <t>D92202000</t>
  </si>
  <si>
    <t>DARNEL CUCHILLO BISTROT CR.50PX20U</t>
  </si>
  <si>
    <t>D93202000</t>
  </si>
  <si>
    <t>D94202000</t>
  </si>
  <si>
    <t>DARNEL CUCHARA SOPA BIS.CR.50PX20U</t>
  </si>
  <si>
    <t>D91202001</t>
  </si>
  <si>
    <t>DARNEL TENEDOR BISTROT BCO. 50PX20U</t>
  </si>
  <si>
    <t>D91202099P</t>
  </si>
  <si>
    <t>DARNEL TENEDOR BISTROT NEG. 12PX20U</t>
  </si>
  <si>
    <t>D92202001</t>
  </si>
  <si>
    <t>DARNEL CUCHILLO BISTROT BCO. 50PX20U</t>
  </si>
  <si>
    <t>D92202099P</t>
  </si>
  <si>
    <t>DARNEL CUCHILLO BISTROT NEG. 12PX20U</t>
  </si>
  <si>
    <t>D94202001</t>
  </si>
  <si>
    <t>DARNEL CUCHARA SOPA BIS.BCA.50PX20U</t>
  </si>
  <si>
    <t>D81102001</t>
  </si>
  <si>
    <t>TAMI TENEDOR BLANCO 50PX20U</t>
  </si>
  <si>
    <t>D81110001</t>
  </si>
  <si>
    <t>TAMI TENEDOR BLANCO 10PX100U</t>
  </si>
  <si>
    <t>D82102001</t>
  </si>
  <si>
    <t>TAMI CUCHILLO BLANCO 50PX20U</t>
  </si>
  <si>
    <t>D82110001</t>
  </si>
  <si>
    <t>TAMI CUCHILLO BLANCO 10PX100U</t>
  </si>
  <si>
    <t>D83102001</t>
  </si>
  <si>
    <t>TAMI CUCHARA DULCERA BCA 50PX20U</t>
  </si>
  <si>
    <t>D83110001</t>
  </si>
  <si>
    <t>TAMI CUCHARA DULCERA BCA 10PX100U</t>
  </si>
  <si>
    <t>D84102001</t>
  </si>
  <si>
    <t>TAMI CUCHARA SOPERA BCA 50PX20U</t>
  </si>
  <si>
    <t>D84110001</t>
  </si>
  <si>
    <t>TAMI CUCHARA SOPERA BCA 10PX100U</t>
  </si>
  <si>
    <t>D85110001L</t>
  </si>
  <si>
    <t>Multiplo 8 Cajas</t>
  </si>
  <si>
    <t>D87110001L</t>
  </si>
  <si>
    <t>D550600P</t>
  </si>
  <si>
    <t>DARNEL PLATO 16CM CR. 30PX6U</t>
  </si>
  <si>
    <t>D550700AP</t>
  </si>
  <si>
    <t>DARNEL PLATO 18CM CR. 30PX6U</t>
  </si>
  <si>
    <t>D550900P</t>
  </si>
  <si>
    <t>DARNEL PLATO 23CM CR. 30PX6U</t>
  </si>
  <si>
    <t>D591532</t>
  </si>
  <si>
    <t>DARNEL PLATO 15.5CM ROJO 40PX12U</t>
  </si>
  <si>
    <t>D592332</t>
  </si>
  <si>
    <t>DARNEL PLATO 23CM ROJO 40PX12U</t>
  </si>
  <si>
    <t>D571501</t>
  </si>
  <si>
    <t>TAMI PLATO 15.5CM BLANCO 50PX20U</t>
  </si>
  <si>
    <t>D571801</t>
  </si>
  <si>
    <t>TAMI PLATO 18CM BLANCO 50PX20U</t>
  </si>
  <si>
    <t>D572301</t>
  </si>
  <si>
    <t>TAMI PLATO 23CM BLANCO 25PX20U</t>
  </si>
  <si>
    <t>D572601</t>
  </si>
  <si>
    <t>TAMI PLATO 26CM BLANCO 25PX20P</t>
  </si>
  <si>
    <t>D6401500P</t>
  </si>
  <si>
    <t>DARNEL VASO MURANO 1.5OZ CR.25Px25U</t>
  </si>
  <si>
    <t>D640300P</t>
  </si>
  <si>
    <t>DARNEL VASO MURANO 3OZ CR.25Px12U</t>
  </si>
  <si>
    <t>D640700P</t>
  </si>
  <si>
    <t>DARNEL VASO MURANO 7OZ CR.15Px12U</t>
  </si>
  <si>
    <t>D640900P</t>
  </si>
  <si>
    <t>DARNEL VASO MURANO 9OZ CR.15PX12U</t>
  </si>
  <si>
    <t>D641200P</t>
  </si>
  <si>
    <t>DARNEL VASO MURANO 12OZ CR.15P12U</t>
  </si>
  <si>
    <t>D610788</t>
  </si>
  <si>
    <t>DARNEL VASO BICOLOR MIX COLOR 7 OZ 40PX12U</t>
  </si>
  <si>
    <t>D611232</t>
  </si>
  <si>
    <t>DARNEL VASO BICOLOR ROJOS 12 OZ 40PX12U</t>
  </si>
  <si>
    <t>D611288</t>
  </si>
  <si>
    <t>D631500TN</t>
  </si>
  <si>
    <t>DARNEL TAPA POTE SOUFFLE(1.5,2,2.5 OZ) 25PX100U</t>
  </si>
  <si>
    <t>D631599PN</t>
  </si>
  <si>
    <t>DARNEL POTE SOUFFLE 1.5 OZ NEGRA 25PX100U</t>
  </si>
  <si>
    <t>D632099A</t>
  </si>
  <si>
    <t>DARNEL POTE SOUFFLE 2 OZ NEGRA 25PX100U</t>
  </si>
  <si>
    <t>D632599A</t>
  </si>
  <si>
    <t>DARNEL POTE SOUFFLE 2.5 OZ NEGRA 25PX100U</t>
  </si>
  <si>
    <t>D631099A</t>
  </si>
  <si>
    <t>D630500TN</t>
  </si>
  <si>
    <t>D634099A</t>
  </si>
  <si>
    <t>DARNEL POTE SOUFFLE 4 oz Negro 25Px100U</t>
  </si>
  <si>
    <t>D635599A</t>
  </si>
  <si>
    <t>DARNEL POTE SOUFFLE 5,5 oz Negro 25Px100U</t>
  </si>
  <si>
    <t>D633000TN</t>
  </si>
  <si>
    <t>DC0680300</t>
  </si>
  <si>
    <t>DARNEL CUCHARA DEGUS PETITE CRIS. 12PX24U</t>
  </si>
  <si>
    <t>DC0680301</t>
  </si>
  <si>
    <t>DARNEL CUCHARA DEGUS PETITE BCA. 12PX24U</t>
  </si>
  <si>
    <t>DC0680399</t>
  </si>
  <si>
    <t>DARNEL CUCHARA DEGUS PETITE NEG. 12PX24U</t>
  </si>
  <si>
    <t>DC0680200</t>
  </si>
  <si>
    <t>DARNEL PLATO CUADRADO PETITE CRIS. 12PX24U</t>
  </si>
  <si>
    <t>DC0680201</t>
  </si>
  <si>
    <t>DARNEL PLATO CUADRADO PETITE BCO. 12PX24U</t>
  </si>
  <si>
    <t>DC0680299</t>
  </si>
  <si>
    <t>DARNEL PLATO CUADRADO PETITE NEG. 12PX24U</t>
  </si>
  <si>
    <t>DC0680100</t>
  </si>
  <si>
    <t>DC0680101</t>
  </si>
  <si>
    <t>DARNEL COPA CUADRADA PETITE NEG. 12PX24U</t>
  </si>
  <si>
    <t>DC0680199</t>
  </si>
  <si>
    <t>DARNEL COPA CUADRADA PETITE BCO. 12PX24U</t>
  </si>
  <si>
    <t>DC0680799</t>
  </si>
  <si>
    <t>DARNEL COPA TRIANG. PETITE NEG 6 OZ 12PX12U</t>
  </si>
  <si>
    <t>CONTENEDORES</t>
  </si>
  <si>
    <t>D720500F</t>
  </si>
  <si>
    <t>D720800F</t>
  </si>
  <si>
    <t>D721200F</t>
  </si>
  <si>
    <t>DC07101200R</t>
  </si>
  <si>
    <t>DC07102500V</t>
  </si>
  <si>
    <t>DARNEL ROUND MINI PACK HV S</t>
  </si>
  <si>
    <t>DC07103500V</t>
  </si>
  <si>
    <t>DARNEL ROUND MINI PACK HV M</t>
  </si>
  <si>
    <t>DC07105000V</t>
  </si>
  <si>
    <t>D71181100</t>
  </si>
  <si>
    <t>DARNEL &amp;CONT ROUND PACK PANDO CJx100</t>
  </si>
  <si>
    <t>D751200</t>
  </si>
  <si>
    <t>D751600</t>
  </si>
  <si>
    <t>D753200</t>
  </si>
  <si>
    <t>D754800</t>
  </si>
  <si>
    <t>D756400</t>
  </si>
  <si>
    <t>DARNEL SELLO PLUS 64 OZ T/PLANA</t>
  </si>
  <si>
    <t>D771200S</t>
  </si>
  <si>
    <t>D773200SP</t>
  </si>
  <si>
    <t>D774800SP</t>
  </si>
  <si>
    <t>BV080D00CS</t>
  </si>
  <si>
    <t>BV080S00CS</t>
  </si>
  <si>
    <t>D7710800</t>
  </si>
  <si>
    <t>D7712400</t>
  </si>
  <si>
    <t>D7713200</t>
  </si>
  <si>
    <t>DC072VL100TA</t>
  </si>
  <si>
    <t>DARNEL VISUAL PACK VL-1 C/T ALTA</t>
  </si>
  <si>
    <t>D720VI100TB</t>
  </si>
  <si>
    <t>DARNEL VISUAL PACK VI-1 C/T BAJA</t>
  </si>
  <si>
    <t>D720VI100TA</t>
  </si>
  <si>
    <t>D720VX100</t>
  </si>
  <si>
    <t>DARNEL VISUAL PACK +VX-1</t>
  </si>
  <si>
    <t>D720V060600</t>
  </si>
  <si>
    <t>DARNEL VISUAL PACK MIAMI 6x6in</t>
  </si>
  <si>
    <t>D720V120400</t>
  </si>
  <si>
    <t>DARNEL VISUAL PACK MIAMI 12x4 1/4in</t>
  </si>
  <si>
    <t>D720V050500TB</t>
  </si>
  <si>
    <t>DARNEL VISUAL PACK MIAMI 5x5 C/T BAJA</t>
  </si>
  <si>
    <t>D720VO100TA</t>
  </si>
  <si>
    <t>DARNEL VISUAL PACK VO-1 C/T ALTA</t>
  </si>
  <si>
    <t>D7724300SP</t>
  </si>
  <si>
    <t>caja</t>
  </si>
  <si>
    <t>PORTA COMIDAS DE EXPANDIDO</t>
  </si>
  <si>
    <t>D7416015FY</t>
  </si>
  <si>
    <t>BANDEJA TERMICA DM70 de 500ml  (simil 102)</t>
  </si>
  <si>
    <t>116x162x39mm</t>
  </si>
  <si>
    <t>D7416015LTFY</t>
  </si>
  <si>
    <t>TAPA PARA BAND. TERMICA DM70 de 500ml</t>
  </si>
  <si>
    <t>130x170x10mm</t>
  </si>
  <si>
    <t>D743001RFY</t>
  </si>
  <si>
    <t xml:space="preserve">BANDEJA TERMICA DM90-A3 con 3 DIVIS  900ml  </t>
  </si>
  <si>
    <t>162x220x52mm</t>
  </si>
  <si>
    <t>D743401RFY</t>
  </si>
  <si>
    <t xml:space="preserve">BANDEJA TERMICA DM90-A1 (1000ml) </t>
  </si>
  <si>
    <t>D742001RLTFY</t>
  </si>
  <si>
    <t xml:space="preserve">TAPA PARA BAND. TERMICA DM90 para (900 y 1000ml)  </t>
  </si>
  <si>
    <t>173x225x12mm</t>
  </si>
  <si>
    <t>D744101RFY</t>
  </si>
  <si>
    <t xml:space="preserve">BANDEJA TERMICA con 3 DIVIS DM100 (1200ml)  </t>
  </si>
  <si>
    <t>205x260x40mm</t>
  </si>
  <si>
    <t>D744101RLTFY</t>
  </si>
  <si>
    <t>TAPA PARA BAND TERMICA DM 100 (para 1200ml)</t>
  </si>
  <si>
    <t>216x275x12mm</t>
  </si>
  <si>
    <t>D401101LNWCFY</t>
  </si>
  <si>
    <t>ESTUCHE HAMBURGUESA CHICO   G-1</t>
  </si>
  <si>
    <t>150x150x75mm</t>
  </si>
  <si>
    <t>D402103CFY</t>
  </si>
  <si>
    <t xml:space="preserve">ESTUCHE HAMBURGUESA GRANDE DH-03   </t>
  </si>
  <si>
    <t>170x170x80mm</t>
  </si>
  <si>
    <t>D403101CFY</t>
  </si>
  <si>
    <t>230x160x60mm</t>
  </si>
  <si>
    <t>D742801RLFY</t>
  </si>
  <si>
    <t xml:space="preserve">PLATO TERMICO C/TAPA R102  850ml (base/tapa) </t>
  </si>
  <si>
    <t>diam 190x50mm</t>
  </si>
  <si>
    <t>D741701RY</t>
  </si>
  <si>
    <t xml:space="preserve">PLATO TERMICO C/TAPA R100  500ml (base/tapa) </t>
  </si>
  <si>
    <t>diam 190x35mm</t>
  </si>
  <si>
    <t>D744001RY</t>
  </si>
  <si>
    <t xml:space="preserve">PLATO TERMICO C/TAPA R104 1200ml (base/tapa) </t>
  </si>
  <si>
    <t>diam 190x68mm</t>
  </si>
  <si>
    <t>BANDEJA CON DIVISIONES</t>
  </si>
  <si>
    <t>BOLSAS DE PAPEL  Y  SERVILLETAS ENSOBRADAS</t>
  </si>
  <si>
    <t>400x145 mm</t>
  </si>
  <si>
    <t>CUBIERTOS ENSOBRADOS</t>
  </si>
  <si>
    <t>500 Conjuntos</t>
  </si>
  <si>
    <t>CUCHILLO Y TENEDOR CRISTAL  (Ensobrado)</t>
  </si>
  <si>
    <t>210 Grs (Aprox)</t>
  </si>
  <si>
    <t>LOS PRECIOS SON MAS IVA</t>
  </si>
  <si>
    <t>0053DAR00030</t>
  </si>
  <si>
    <t>DARNEL PORTAHUEVO CODORNIZ CRISTAL p/24 Und.</t>
  </si>
  <si>
    <t>D362400</t>
  </si>
  <si>
    <t>Caja</t>
  </si>
  <si>
    <t>SERVILLETAS PAPEL KRAFT Ensobradas (2 Un x sobre)</t>
  </si>
  <si>
    <t>FILM DE PVC</t>
  </si>
  <si>
    <t>0027EST00012</t>
  </si>
  <si>
    <t>SA1D35-300-1400</t>
  </si>
  <si>
    <t>Rol</t>
  </si>
  <si>
    <t>PVC 12 " (X 1400 MTS.)</t>
  </si>
  <si>
    <t>0027EST00015</t>
  </si>
  <si>
    <t>SA1D35-380-1400</t>
  </si>
  <si>
    <t>PVC 15 " (X 1400 MTS.)</t>
  </si>
  <si>
    <t>0027EST00018</t>
  </si>
  <si>
    <t>SA1D35-450-1400</t>
  </si>
  <si>
    <t>PVC 18 " (X 1400 MTS.)</t>
  </si>
  <si>
    <t>0027LIG00030</t>
  </si>
  <si>
    <t>SA135-300-500L</t>
  </si>
  <si>
    <t>0027LIG00038</t>
  </si>
  <si>
    <t>SA135-380-500L</t>
  </si>
  <si>
    <t>0027LIG00045</t>
  </si>
  <si>
    <t>SA135-450-500L</t>
  </si>
  <si>
    <t>0027LIG01012</t>
  </si>
  <si>
    <t>0027LIG01015</t>
  </si>
  <si>
    <t>0027LIG01018</t>
  </si>
  <si>
    <t>0027REP00015</t>
  </si>
  <si>
    <t>SD135-380-300R</t>
  </si>
  <si>
    <t>PVC REPUESTO 15" X 300 MTS.</t>
  </si>
  <si>
    <t>0027REP00030</t>
  </si>
  <si>
    <t>SD135-380-300D</t>
  </si>
  <si>
    <t>REPUESTO 15" X 300 MTS.C/DISP</t>
  </si>
  <si>
    <t>0027REP00282</t>
  </si>
  <si>
    <t>ST3-280-200</t>
  </si>
  <si>
    <t>PVC REPUESTO 12" X 200 MTS</t>
  </si>
  <si>
    <t>0027REP00382</t>
  </si>
  <si>
    <t>ST3-380-200</t>
  </si>
  <si>
    <t>PVC REPUESTO 15" X 200 MTS</t>
  </si>
  <si>
    <t>0053DAR00028</t>
  </si>
  <si>
    <t>D76110500</t>
  </si>
  <si>
    <t>0053DAR00029</t>
  </si>
  <si>
    <t>D76110700</t>
  </si>
  <si>
    <t>DARNEL TRIANGULO PARA PORCION TORTA 5CM (BAJA)</t>
  </si>
  <si>
    <t>DARNEL TRIANGULO PARA PORCION TORTA 7CM (ALTA)</t>
  </si>
  <si>
    <t>0012COM00052</t>
  </si>
  <si>
    <t>COMPAÑÍA LA PILARICA S. A. - DARNEL            WWW.DARNELGROUP.COM</t>
  </si>
  <si>
    <t>0018ESP00004</t>
  </si>
  <si>
    <t>0053DAR00006</t>
  </si>
  <si>
    <t>D750800</t>
  </si>
  <si>
    <t>DARNEL SELLO PLUS 8 OZ T/PLANA</t>
  </si>
  <si>
    <t>0012COM10016</t>
  </si>
  <si>
    <t>0012COM10017</t>
  </si>
  <si>
    <t>SA1D353001000</t>
  </si>
  <si>
    <t>SA1D353801000</t>
  </si>
  <si>
    <t>SA1D354501000</t>
  </si>
  <si>
    <t>0012COM10012</t>
  </si>
  <si>
    <t>BAND Kraft microcorr. IMPRESA nro 4  (23,3x18x2 cm)</t>
  </si>
  <si>
    <t>BAND Kraft microcorr IMPRESA nro 5  (27x20,5x2,3 cm)</t>
  </si>
  <si>
    <t>BAND Kraft microcorr IMPRESA nro 3  (20,5x18x2 cm)</t>
  </si>
  <si>
    <t>BAND Kraft microcorr IMPRESA nro 2 (17x13,8x1,5 cm)</t>
  </si>
  <si>
    <t>BAND Kraft microcorr IMPRESA nro 6  (19x14x4 cm)</t>
  </si>
  <si>
    <t>BAND. Kraft puro CARTULINA Nro 2 (10 x 6,5 x 3 cm)</t>
  </si>
  <si>
    <t xml:space="preserve">BAND Kraft microcorr IMPRESA nro 7 (23x17x3,5 cm) </t>
  </si>
  <si>
    <t>0012COM10013</t>
  </si>
  <si>
    <t>0012COM10014</t>
  </si>
  <si>
    <t>0012COM10015</t>
  </si>
  <si>
    <t>0018ESV00003</t>
  </si>
  <si>
    <t xml:space="preserve">PORTA VASOS DE CARTULINA </t>
  </si>
  <si>
    <t>PRECIO BULTO $</t>
  </si>
  <si>
    <t xml:space="preserve"> ,. .</t>
  </si>
  <si>
    <t>0051VAR00020</t>
  </si>
  <si>
    <t>0051VAR00021</t>
  </si>
  <si>
    <t>0051VAR00022</t>
  </si>
  <si>
    <t>0051VAR00023</t>
  </si>
  <si>
    <t>0051VAR00024</t>
  </si>
  <si>
    <t>0051VAR00025</t>
  </si>
  <si>
    <t xml:space="preserve">ENVASE REDONDO P180 </t>
  </si>
  <si>
    <t>BAGAZO - BIODEGRADABLE</t>
  </si>
  <si>
    <t>diam 180x65mm</t>
  </si>
  <si>
    <t>TAPA PARA ENVASE REDONDO</t>
  </si>
  <si>
    <t xml:space="preserve">BANDEJA RECTANGULAR </t>
  </si>
  <si>
    <t>235x145x20mm</t>
  </si>
  <si>
    <t>TAPA PARA BANDEJA RECTANGULAR</t>
  </si>
  <si>
    <t>BANDEJA OVALADA</t>
  </si>
  <si>
    <t>245x165x35mm</t>
  </si>
  <si>
    <t>diam 180x30mm</t>
  </si>
  <si>
    <t>245x165x40mm</t>
  </si>
  <si>
    <t>235x145x25mm</t>
  </si>
  <si>
    <t>TAPA BANDEJA OVALADA</t>
  </si>
  <si>
    <t>0063DAR00003</t>
  </si>
  <si>
    <t>0063DAR00004</t>
  </si>
  <si>
    <t>0063DAR00005</t>
  </si>
  <si>
    <t>0063DAR00006</t>
  </si>
  <si>
    <t>0063DAR00007</t>
  </si>
  <si>
    <t>0063DAR00008</t>
  </si>
  <si>
    <t>Rollo</t>
  </si>
  <si>
    <t>Q12300040Y</t>
  </si>
  <si>
    <t>Q12300075Y</t>
  </si>
  <si>
    <t>Q12301000Y</t>
  </si>
  <si>
    <t>Q12450075Y</t>
  </si>
  <si>
    <t>Q12450650Y</t>
  </si>
  <si>
    <t>Q504000RY</t>
  </si>
  <si>
    <t>Q510135RY</t>
  </si>
  <si>
    <t>Q510500RSTY</t>
  </si>
  <si>
    <t>Q510500RY</t>
  </si>
  <si>
    <t>Q510650RY</t>
  </si>
  <si>
    <t>Q510750RSTY</t>
  </si>
  <si>
    <t>Q510750RY</t>
  </si>
  <si>
    <t>Q511000RSTY</t>
  </si>
  <si>
    <t>Q511000RY</t>
  </si>
  <si>
    <t>Q511150RSTY</t>
  </si>
  <si>
    <t>Q511150RY</t>
  </si>
  <si>
    <t>Q511500RSTY</t>
  </si>
  <si>
    <t>Q511500RY</t>
  </si>
  <si>
    <t>Q520220RY</t>
  </si>
  <si>
    <t>Q512000RY</t>
  </si>
  <si>
    <t>Q510220RY</t>
  </si>
  <si>
    <t>Q551150RY</t>
  </si>
  <si>
    <t>Q550500RY</t>
  </si>
  <si>
    <t>Q550700RY</t>
  </si>
  <si>
    <t>Q512000RSTY</t>
  </si>
  <si>
    <t>Q510850CY</t>
  </si>
  <si>
    <t>Q540100CY</t>
  </si>
  <si>
    <t>0061DAR00031</t>
  </si>
  <si>
    <t>0061DAR00029</t>
  </si>
  <si>
    <t>0061DAR00028</t>
  </si>
  <si>
    <t>0061DAR00027</t>
  </si>
  <si>
    <t>0061DAR00026</t>
  </si>
  <si>
    <t>0061DAR00025</t>
  </si>
  <si>
    <t>0061DAR00024</t>
  </si>
  <si>
    <t>0061DAR00012</t>
  </si>
  <si>
    <t>0061DAR00011</t>
  </si>
  <si>
    <t>0061DAR00010</t>
  </si>
  <si>
    <t>0061DAR00009</t>
  </si>
  <si>
    <t>0061DAR00007</t>
  </si>
  <si>
    <t>0061DAR00004</t>
  </si>
  <si>
    <t>0061DAR00002</t>
  </si>
  <si>
    <t>0061DAR00032</t>
  </si>
  <si>
    <t>0061DAR00033</t>
  </si>
  <si>
    <t>0061DAR00041</t>
  </si>
  <si>
    <t>0061DAR00042</t>
  </si>
  <si>
    <t>0061DAR00006</t>
  </si>
  <si>
    <t>0061DAR00013</t>
  </si>
  <si>
    <t>0061DAR00008</t>
  </si>
  <si>
    <t>0061DAR00003</t>
  </si>
  <si>
    <t>Q12450040Y</t>
  </si>
  <si>
    <t>Q504000OY</t>
  </si>
  <si>
    <t>Papel ALUMINIO 30cm x 100mts c/Dispens.</t>
  </si>
  <si>
    <t>Papel ALUMINO 30cm x 4mts</t>
  </si>
  <si>
    <t>Papel ALUMINO 30cm x 7,5mts</t>
  </si>
  <si>
    <t>Papel ALUMINO 45cm x 4mts</t>
  </si>
  <si>
    <t>Papel ALUMINO 45cm x 65mts c/Dispens.</t>
  </si>
  <si>
    <t>Papel ALUMINO 45cm x 7,5mts</t>
  </si>
  <si>
    <t>Bandeja Ovalada Grande 136oz 4000ml - DAY40</t>
  </si>
  <si>
    <t>32,5x26,5x6,6cm</t>
  </si>
  <si>
    <t>Bandeja Rectangular Grande 136oz 4000ml - DA40</t>
  </si>
  <si>
    <t>9,8x7,8x2,8cm</t>
  </si>
  <si>
    <t>16,5x12,4x3,5cm</t>
  </si>
  <si>
    <t>Band. Rectangular Mediana 16oz SinTapa - DA6-F50</t>
  </si>
  <si>
    <t>Band. Rectangular Mediana 16oz ConTapa - DA6-F50</t>
  </si>
  <si>
    <t>Band. Rectang. Budin Ingles 20oz Sin Tapa - DA10</t>
  </si>
  <si>
    <t>21,2x10,2x4,3cm</t>
  </si>
  <si>
    <t>Bandeja Rectangular 24oz Sin Tapa - DA7-F75</t>
  </si>
  <si>
    <t>20,6x13,8x3,3cm</t>
  </si>
  <si>
    <t>Bandeja Rectangular 24oz Con Tapa - DA7-F75</t>
  </si>
  <si>
    <t>Band. Rectangular Grande 32oz Sin Tapa - DA2-F100</t>
  </si>
  <si>
    <t>20,0x15,2x4,9cm</t>
  </si>
  <si>
    <t>Band. Rectangular Grande 32oz Con Tapa - DA2-F100</t>
  </si>
  <si>
    <t>22,1x17,6x4,0cm</t>
  </si>
  <si>
    <t>Band. Rectang. 40oz 1150ml Sin Tapa - DA5-F1150</t>
  </si>
  <si>
    <t>Band. Rectang. 40oz 1150ml Con Tapa - DA5-F1150</t>
  </si>
  <si>
    <t>Fuente Rectang. 48oz 1500ml Sin Tapa - DA8-F1500</t>
  </si>
  <si>
    <t>Fuente Rectang. 48oz 1500ml Con Tapa - DA8-F1500</t>
  </si>
  <si>
    <t>27,5x18,5x4,2cm</t>
  </si>
  <si>
    <t>Fuente Rectang. Grande 68oz 2000ml Sin Tapa - DA9</t>
  </si>
  <si>
    <t>Fuente Rectang. Grande 68oz 2000ml con Tapa - DA9</t>
  </si>
  <si>
    <t>28,9x22,8x4,1cm</t>
  </si>
  <si>
    <t>12,6x9,8x2,6cm</t>
  </si>
  <si>
    <t>Plato Redondo Profundo 28oz-850ml Con Tapa - DR8</t>
  </si>
  <si>
    <t>Flanera Redonda Prof. Chico 9cm (3,5oz)Sin Tapa</t>
  </si>
  <si>
    <t>9,1 x 2,8 cm</t>
  </si>
  <si>
    <t>21.1 x 4,5 cm</t>
  </si>
  <si>
    <t>Pack Bandeja 8oz 220ml 10u x 10p. Base/Tapa - DA12</t>
  </si>
  <si>
    <t>Pack Bandeja 40oz 1150ml 10u x 5p Base/Tapa - DA5</t>
  </si>
  <si>
    <t>Pack Bandeja 16oz 500ml 10u x 5p. Base/Tapa - DA6</t>
  </si>
  <si>
    <t>9 unid x caja</t>
  </si>
  <si>
    <t>25 un. x caja</t>
  </si>
  <si>
    <t>0045DAR00300</t>
  </si>
  <si>
    <t>0045DAR00500</t>
  </si>
  <si>
    <t>0045DAR00750</t>
  </si>
  <si>
    <t>0045DAR01000</t>
  </si>
  <si>
    <t>0045DAR01500</t>
  </si>
  <si>
    <t>0045DARC0750</t>
  </si>
  <si>
    <t>0045DARC1000</t>
  </si>
  <si>
    <t>0045DARC1500</t>
  </si>
  <si>
    <t>0045DARC2000</t>
  </si>
  <si>
    <t>0045DARSET03</t>
  </si>
  <si>
    <t>0045DART0750</t>
  </si>
  <si>
    <t>0045DART0751</t>
  </si>
  <si>
    <t>0045DART0850</t>
  </si>
  <si>
    <t>0045DART1000</t>
  </si>
  <si>
    <t>0045DART1500</t>
  </si>
  <si>
    <t>0045DART1501</t>
  </si>
  <si>
    <t>SET TRES FRASCOS CUADRADOS 1500 ML C/U</t>
  </si>
  <si>
    <t>6 set x 3 unid.</t>
  </si>
  <si>
    <t>VASOS PET</t>
  </si>
  <si>
    <t>0043DAR00029</t>
  </si>
  <si>
    <t>0043DAR00031</t>
  </si>
  <si>
    <t>0043DAR00032</t>
  </si>
  <si>
    <t>0043DART0006</t>
  </si>
  <si>
    <t>0043DART0009</t>
  </si>
  <si>
    <t>0043DART0018</t>
  </si>
  <si>
    <t>0043DART0019</t>
  </si>
  <si>
    <t>D620900N</t>
  </si>
  <si>
    <t>D621200N</t>
  </si>
  <si>
    <t>D621600N</t>
  </si>
  <si>
    <t>D622000N</t>
  </si>
  <si>
    <t>D620900NTX</t>
  </si>
  <si>
    <t>D620900NT</t>
  </si>
  <si>
    <t>0043DAR00030</t>
  </si>
  <si>
    <t>VASO PET CRISTAL 12 OZ (360cc)</t>
  </si>
  <si>
    <t>D620900NTHX</t>
  </si>
  <si>
    <t xml:space="preserve">TAPA NEGRA FRASCO CUAD 750ml /RED 300-500-750ml </t>
  </si>
  <si>
    <t xml:space="preserve">TAPA NEGRA FRASCO CUAD 1000ml /RED 1000-1500ml </t>
  </si>
  <si>
    <t>TAPA NEGRA Frasco CUAD 1500-2000-3000-4000/RED 2000</t>
  </si>
  <si>
    <t>TORTERAS</t>
  </si>
  <si>
    <t>0054DARB0005</t>
  </si>
  <si>
    <t>0054DARB0008</t>
  </si>
  <si>
    <t>0054DARB0010</t>
  </si>
  <si>
    <t>0054DARB0015</t>
  </si>
  <si>
    <t>0054DARB0016</t>
  </si>
  <si>
    <t>0054DARB0018</t>
  </si>
  <si>
    <t>0054DARB0025</t>
  </si>
  <si>
    <t>BASE NEGRA 17 cm /DOMO CIRCULAR 8 cm</t>
  </si>
  <si>
    <t>BASE NEGRA 17 cm /DOMO CIRCULAR 10 cm</t>
  </si>
  <si>
    <t>TORTERA 15,5cm x 8cm ALTA BASE NEGRA (Conjunto)</t>
  </si>
  <si>
    <t>TORTERA 18,5cm x 8cm ALTA BASE NEGRA (Conjunto)</t>
  </si>
  <si>
    <t>D152505499N</t>
  </si>
  <si>
    <t>D15170899V</t>
  </si>
  <si>
    <t>D15171099V</t>
  </si>
  <si>
    <t>D15150899D</t>
  </si>
  <si>
    <t>D15180899VD</t>
  </si>
  <si>
    <t>D15180599VD</t>
  </si>
  <si>
    <t>D16491099V</t>
  </si>
  <si>
    <t>Conjuntos</t>
  </si>
  <si>
    <t>0061DAR00015</t>
  </si>
  <si>
    <t>0061DAR00016</t>
  </si>
  <si>
    <t>0061DAR00017</t>
  </si>
  <si>
    <t>0061DAR00018</t>
  </si>
  <si>
    <t>BANDEJAS CON TAPA CRISTAL</t>
  </si>
  <si>
    <t>BANDEJAS CON TAPA CARTON ALUMINIZADO</t>
  </si>
  <si>
    <t>Q501600</t>
  </si>
  <si>
    <t>Q502400</t>
  </si>
  <si>
    <t>Q502800</t>
  </si>
  <si>
    <t>Q506400</t>
  </si>
  <si>
    <t>0061DAR0005</t>
  </si>
  <si>
    <t>0061DART0001</t>
  </si>
  <si>
    <t>0061DART0002</t>
  </si>
  <si>
    <t>0061DART0004</t>
  </si>
  <si>
    <t>0061DART0005</t>
  </si>
  <si>
    <t>0061DART0006</t>
  </si>
  <si>
    <t>0061DART0007</t>
  </si>
  <si>
    <t>0062DAR0030</t>
  </si>
  <si>
    <t>Q5010400</t>
  </si>
  <si>
    <t>D0010400T</t>
  </si>
  <si>
    <t>D001600T</t>
  </si>
  <si>
    <t>D002300T</t>
  </si>
  <si>
    <t>D102200T</t>
  </si>
  <si>
    <t>D006400T</t>
  </si>
  <si>
    <t>D003200T</t>
  </si>
  <si>
    <t>Q504500</t>
  </si>
  <si>
    <t>BANDEJA ALUMINIO RECTANG 104oz</t>
  </si>
  <si>
    <t>TAPA CRISTAL BANDEJA ALUMINIO 104oz</t>
  </si>
  <si>
    <t>TAPA CRISTAL BANDEJA ALUMINIO DA6-16oz</t>
  </si>
  <si>
    <t>TAPA CRISTAL BANDEJA ALUMINIO DA7-24oz</t>
  </si>
  <si>
    <t>TAPA CRISTAL BANDEJA ALUMINIO D9A-64oz</t>
  </si>
  <si>
    <t>TAPA CRISTAL BANDEJA ALUMINIO DR8-28oz</t>
  </si>
  <si>
    <t>FUENTE REDONDA 23 CM (45oz/1350cc) SIMIL P30</t>
  </si>
  <si>
    <t>0053DAR00051</t>
  </si>
  <si>
    <t>0053DAR00124</t>
  </si>
  <si>
    <t>0053DAR00324</t>
  </si>
  <si>
    <t>0053DAR00424</t>
  </si>
  <si>
    <t>0053DAR00524</t>
  </si>
  <si>
    <t>0053DAR10006</t>
  </si>
  <si>
    <t>0053DAR20002</t>
  </si>
  <si>
    <t>0053DARP0001</t>
  </si>
  <si>
    <t>0053DART0001</t>
  </si>
  <si>
    <t>0053DART0024</t>
  </si>
  <si>
    <t>0053DART0036</t>
  </si>
  <si>
    <t>D751200F</t>
  </si>
  <si>
    <t>D752400</t>
  </si>
  <si>
    <t>D7524200</t>
  </si>
  <si>
    <t>D7524300</t>
  </si>
  <si>
    <t>D7524400</t>
  </si>
  <si>
    <t>D750800F</t>
  </si>
  <si>
    <t>D751600G</t>
  </si>
  <si>
    <t>DC0780100</t>
  </si>
  <si>
    <t>D7113400T</t>
  </si>
  <si>
    <t>D772400T</t>
  </si>
  <si>
    <t>D774800T</t>
  </si>
  <si>
    <t>DARNEL SELLO PLUS 12 OZ TAPA MEDIA</t>
  </si>
  <si>
    <t>SELLO PLUS 24oz TRANSP. TAPA PLANA</t>
  </si>
  <si>
    <t>SELLO PLUS 24oz TRANSP. TAPA PLANA 2 DIV.</t>
  </si>
  <si>
    <t>SELLO PLUS 24oz TRANSP. TAPA PLANA 3 DIV.</t>
  </si>
  <si>
    <t>SELLO PLUS 24oz TRANSP.TAPA PLANA 4 DIV</t>
  </si>
  <si>
    <t>SELLO PLUS 8oz TRANSP. TAPA MEDIA</t>
  </si>
  <si>
    <t>SELLO PLUS 16oz TRANSP. TAPA ALTA</t>
  </si>
  <si>
    <t>PORTA SANDWICH CRISTAL RESQ</t>
  </si>
  <si>
    <t>TAPA CONTENEDOR OVALADO CON Y SIN DIV</t>
  </si>
  <si>
    <t>TAPA CRISTAL P/CONTENEDOR DOBLE 24 Y 32oZ</t>
  </si>
  <si>
    <t>TAPA CRISTAL P/CONTENEDOR DOBLE 36 Y 48oz</t>
  </si>
  <si>
    <t>0052DAR00124</t>
  </si>
  <si>
    <t>0052DAR00136</t>
  </si>
  <si>
    <t>CONTENEDOR DOBLE USO NEGRO 24oz</t>
  </si>
  <si>
    <t>CONTENEDOR DOBLE USO NEGRO 36oz</t>
  </si>
  <si>
    <t>D772499SP</t>
  </si>
  <si>
    <t>D773699</t>
  </si>
  <si>
    <t>0052DAR30003</t>
  </si>
  <si>
    <t>0052DAR30006</t>
  </si>
  <si>
    <t>D7113400D</t>
  </si>
  <si>
    <t>D720VN600V</t>
  </si>
  <si>
    <t>CONTENEDOR OVALADO CRISTAL 3 DIV.</t>
  </si>
  <si>
    <t>CONTENEDOR VISUALPACK P/CUPCAKE 6 UNID.</t>
  </si>
  <si>
    <t>0052DARSAB001</t>
  </si>
  <si>
    <t>0052DARSAB003</t>
  </si>
  <si>
    <t>0052DARSAC08</t>
  </si>
  <si>
    <t>0052DARSAC12</t>
  </si>
  <si>
    <t>0052DARSAC16</t>
  </si>
  <si>
    <t>0052DARSAC24</t>
  </si>
  <si>
    <t>0052DARSAC32</t>
  </si>
  <si>
    <t>0052DARSAF12</t>
  </si>
  <si>
    <t>0052DARSAF32</t>
  </si>
  <si>
    <t>0052DARSAF48</t>
  </si>
  <si>
    <t>SAFETYPLUS BOWL CRISTAL 8 OZ CON TAPA</t>
  </si>
  <si>
    <t>SAFETYPLUS BOWL CRISTAL 16 OZ CON TAPA</t>
  </si>
  <si>
    <t>SAFETYPLUS DELI CUADRADO 8oz C/T EVID. APERT.</t>
  </si>
  <si>
    <t>SAFETYPLUS DELI CUADRADO 12oz C/T EVID. APERT.</t>
  </si>
  <si>
    <t>SAFETYPLUS DELI CUADRADO 16oz C/T EVID. APERT.</t>
  </si>
  <si>
    <t>SAFETYPLUS DELI CUADRADO 24oz C/T EVID. APERT.</t>
  </si>
  <si>
    <t>SAFETYPLUS DELI CUADRADO 32oz C/T EVID. APERT.</t>
  </si>
  <si>
    <t>DC770800S</t>
  </si>
  <si>
    <t>DC771600S</t>
  </si>
  <si>
    <t>DC07150800</t>
  </si>
  <si>
    <t>DC07151200</t>
  </si>
  <si>
    <t>DC07151600</t>
  </si>
  <si>
    <t>DC07152400</t>
  </si>
  <si>
    <t>DC07153200</t>
  </si>
  <si>
    <t>DC771200S</t>
  </si>
  <si>
    <t>DC773200S</t>
  </si>
  <si>
    <t>DC774800S</t>
  </si>
  <si>
    <t>0052DAR00024</t>
  </si>
  <si>
    <t>0052DAR00028</t>
  </si>
  <si>
    <t>0052DAR00048</t>
  </si>
  <si>
    <t>D772400</t>
  </si>
  <si>
    <t>D770800S</t>
  </si>
  <si>
    <t>D774800</t>
  </si>
  <si>
    <t>CONTENEDOR DOBLE USO CRISTAL 24oz</t>
  </si>
  <si>
    <t>CONTENEDOR DOBLE USO CRISTAL 8oz</t>
  </si>
  <si>
    <t>CONTENEDOR DOBLE USO CRISTAL 48oz</t>
  </si>
  <si>
    <t>SAFETYPLUS BOWLS Cristal 12oz T/EVID. APERT (355ml)</t>
  </si>
  <si>
    <t>VASO PET CRISTAL 16 OZ (473cc)</t>
  </si>
  <si>
    <t>VASO PET CRISTAL 9 OZ (266cc)</t>
  </si>
  <si>
    <t>25paq x 12un.</t>
  </si>
  <si>
    <t>25paq x 12 un.</t>
  </si>
  <si>
    <t>VASO PET CRISTAL 20 OZ (590cc)</t>
  </si>
  <si>
    <t>D620900NTH</t>
  </si>
  <si>
    <t>BANDEJA REDONDA NEGRA 4 DIV. CON TAPA CRISTAL</t>
  </si>
  <si>
    <t>BASE NEGRA TORTERA 18,5cm x 5cm Base HONDA</t>
  </si>
  <si>
    <t>DC5003007000</t>
  </si>
  <si>
    <t>DC5005007000</t>
  </si>
  <si>
    <t>0051DARBC0003</t>
  </si>
  <si>
    <t>0051DARBC001</t>
  </si>
  <si>
    <t>0051DARBC002</t>
  </si>
  <si>
    <t>0051DARBC004</t>
  </si>
  <si>
    <t>0051DARBC005</t>
  </si>
  <si>
    <t>0051DARBC014</t>
  </si>
  <si>
    <t>0051DARBN004</t>
  </si>
  <si>
    <t>0051DARBN012</t>
  </si>
  <si>
    <t>0051DARBN024</t>
  </si>
  <si>
    <t>0051DARN0004</t>
  </si>
  <si>
    <t>D20V0200PB</t>
  </si>
  <si>
    <t>D20V0200B</t>
  </si>
  <si>
    <t>D20V0200L</t>
  </si>
  <si>
    <t>D20V0400L</t>
  </si>
  <si>
    <t>D20V0400PL</t>
  </si>
  <si>
    <t>D20V043500</t>
  </si>
  <si>
    <t>D20V0499L</t>
  </si>
  <si>
    <t>D20V0299PB</t>
  </si>
  <si>
    <t>D20V0499PB</t>
  </si>
  <si>
    <t>D20V0499B</t>
  </si>
  <si>
    <t>BANDEJA ENVOLVIBLE DRYPET CRISTAL 2S PROCESADOR</t>
  </si>
  <si>
    <t>BANDEJA ENVOLVIBLE DRYPET 2S CRISTAL PANAL</t>
  </si>
  <si>
    <t>BANDEJA ENVOLVIBLE LISA PET 2S CRISTAL</t>
  </si>
  <si>
    <t>BANDEJA ENVOLVIBLE PET LISA 4S CRISTAL</t>
  </si>
  <si>
    <t>BANDEJA ENVOLVIBLE 4S CRISTAL PROCESADOR</t>
  </si>
  <si>
    <t>BANDEJA LISA PET 4S CRISTAL</t>
  </si>
  <si>
    <t>BANDEJA ENVOLVIBLE LISA PET 4S NEGRA</t>
  </si>
  <si>
    <t>BANDEJA ENVOLVIBLE DRYPET 2S NEGRA PROCESADOR</t>
  </si>
  <si>
    <t>BANDEJA ENVOLVIBLE DRYPET 4S NEGRA PROCESADOR</t>
  </si>
  <si>
    <t>BANDEJA DRYPET 4S NEGRA</t>
  </si>
  <si>
    <t>DC5007507000</t>
  </si>
  <si>
    <t>DC5010008900</t>
  </si>
  <si>
    <t>DC5015008900</t>
  </si>
  <si>
    <t>DC5107507000</t>
  </si>
  <si>
    <t>DC5110008900</t>
  </si>
  <si>
    <t>DC5115011000</t>
  </si>
  <si>
    <t>DC5120011000</t>
  </si>
  <si>
    <t>DC5115011000S</t>
  </si>
  <si>
    <t>DC590701999TC1</t>
  </si>
  <si>
    <t>DC59891595TC1</t>
  </si>
  <si>
    <t>DC591101799TC1</t>
  </si>
  <si>
    <t>&lt;</t>
  </si>
  <si>
    <t>BANDEJAS KRAFT MICROCORRUGADAS</t>
  </si>
  <si>
    <t>SAFETYPLUS BOWLS Cristal 32oz T/EVID. APERT (473ml)</t>
  </si>
  <si>
    <t>SAFETYPLUS BOWLS Cristal 48oz T/EVID. APERT. (945ml)</t>
  </si>
  <si>
    <t>7,6cm x 8,6cm</t>
  </si>
  <si>
    <t>7,8cm x 12,9cm</t>
  </si>
  <si>
    <t>8,8cm x 14,7cm</t>
  </si>
  <si>
    <t>11,4cm x 18,2cm</t>
  </si>
  <si>
    <t>9,9cm x 16,0cm</t>
  </si>
  <si>
    <t>9,1x9,1x12,4cm</t>
  </si>
  <si>
    <t>9,9x9,9x14,0cm</t>
  </si>
  <si>
    <t>11,4x11,4x15,7cm</t>
  </si>
  <si>
    <t>12,4x12,2x18,0cm</t>
  </si>
  <si>
    <t>7,0cm x 1,9cm</t>
  </si>
  <si>
    <t>8,9cm x 1,5cm</t>
  </si>
  <si>
    <t>11,0cm x 1,7cm</t>
  </si>
  <si>
    <t>BANDEJA BASE NEGRA REDONDA C/Tapa Cristal 5 DIVIS.</t>
  </si>
  <si>
    <t>250mm diam.</t>
  </si>
  <si>
    <t>12,7x15,2x5,1cm</t>
  </si>
  <si>
    <t>14,0x19,1x5,1cm</t>
  </si>
  <si>
    <t>16,2x22,2x5,1cm</t>
  </si>
  <si>
    <t>26,6x32,5x5,7cm</t>
  </si>
  <si>
    <t>31,6 x 25,8 cm</t>
  </si>
  <si>
    <t>14,0 x 11,5 cm</t>
  </si>
  <si>
    <t>17,9 x 12,8 cm</t>
  </si>
  <si>
    <t>30,7 x 20,8 cm</t>
  </si>
  <si>
    <t>21,5 x 15,0 cm</t>
  </si>
  <si>
    <t>23,0 x 4,9 cm</t>
  </si>
  <si>
    <t>TAPA CRISTAL FUENTE REDONDA 23CM (45oz)</t>
  </si>
  <si>
    <t>22,6 cm diam</t>
  </si>
  <si>
    <r>
      <t>TAPA PLANA CRISTAL</t>
    </r>
    <r>
      <rPr>
        <b/>
        <sz val="11"/>
        <color theme="1"/>
        <rFont val="Calibri"/>
        <family val="2"/>
        <scheme val="minor"/>
      </rPr>
      <t xml:space="preserve"> CON PERF</t>
    </r>
    <r>
      <rPr>
        <sz val="11"/>
        <color theme="1"/>
        <rFont val="Calibri"/>
        <family val="2"/>
        <scheme val="minor"/>
      </rPr>
      <t xml:space="preserve"> para VASO 9-12-16-20oz</t>
    </r>
  </si>
  <si>
    <r>
      <t>TAPA PLANA CRISTAL</t>
    </r>
    <r>
      <rPr>
        <b/>
        <sz val="11"/>
        <color theme="1"/>
        <rFont val="Calibri"/>
        <family val="2"/>
        <scheme val="minor"/>
      </rPr>
      <t xml:space="preserve"> SIN PERF</t>
    </r>
    <r>
      <rPr>
        <sz val="11"/>
        <color theme="1"/>
        <rFont val="Calibri"/>
        <family val="2"/>
        <scheme val="minor"/>
      </rPr>
      <t xml:space="preserve"> para VASO 9-12-16-20oz</t>
    </r>
  </si>
  <si>
    <r>
      <t>TAPA DOMO CRISTAL</t>
    </r>
    <r>
      <rPr>
        <b/>
        <sz val="11"/>
        <color theme="1"/>
        <rFont val="Calibri"/>
        <family val="2"/>
        <scheme val="minor"/>
      </rPr>
      <t xml:space="preserve"> SIN PERF </t>
    </r>
    <r>
      <rPr>
        <sz val="11"/>
        <color theme="1"/>
        <rFont val="Calibri"/>
        <family val="2"/>
        <scheme val="minor"/>
      </rPr>
      <t>para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VASO 9-12-16-20oz</t>
    </r>
  </si>
  <si>
    <r>
      <t>TAPA DOMO CRISTAL</t>
    </r>
    <r>
      <rPr>
        <b/>
        <sz val="11"/>
        <color theme="1"/>
        <rFont val="Calibri"/>
        <family val="2"/>
        <scheme val="minor"/>
      </rPr>
      <t xml:space="preserve"> CON PERF</t>
    </r>
    <r>
      <rPr>
        <sz val="11"/>
        <color theme="1"/>
        <rFont val="Calibri"/>
        <family val="2"/>
        <scheme val="minor"/>
      </rPr>
      <t xml:space="preserve"> para VASO 9-12-16-20oz</t>
    </r>
  </si>
  <si>
    <t>BANDEJAS DE EXPANDIDO ECONOMICAS</t>
  </si>
  <si>
    <t>0032BIO00615</t>
  </si>
  <si>
    <t>0032BIO00617</t>
  </si>
  <si>
    <t>0032BIO00618</t>
  </si>
  <si>
    <t>0032BIO00619</t>
  </si>
  <si>
    <t>0032ECO00615</t>
  </si>
  <si>
    <t>0032ECO00617</t>
  </si>
  <si>
    <t>0032ECO00618</t>
  </si>
  <si>
    <t>0032ECO00619</t>
  </si>
  <si>
    <t>0032ECO00625</t>
  </si>
  <si>
    <t>0032ECO00628</t>
  </si>
  <si>
    <t>BANDEJA 617 ECO BLANCA</t>
  </si>
  <si>
    <t>BANDEJA 618 ECO BLANCA</t>
  </si>
  <si>
    <t>BANDEJA 619 ECO BLANCA</t>
  </si>
  <si>
    <t>BANDEJA 625 ECO BLANCA</t>
  </si>
  <si>
    <t>BANDEJA 628 ECO BLANCA PIZZERA</t>
  </si>
  <si>
    <t>BAND N° 10 STD Blanca BIO (615 BIO)</t>
  </si>
  <si>
    <t>BAND N° 11 STD Blanca BIO (617 BIO)</t>
  </si>
  <si>
    <t>BAND. N° 2 STD Blanca BIO (618 BIO)</t>
  </si>
  <si>
    <t>BAND. N° 4 STD Blanca BIO (619 BIO)</t>
  </si>
  <si>
    <t>D2000203LE</t>
  </si>
  <si>
    <t>D2000403LE</t>
  </si>
  <si>
    <t>D2001003LE</t>
  </si>
  <si>
    <t>D2001103LA</t>
  </si>
  <si>
    <t>D2000201LEE</t>
  </si>
  <si>
    <t>D2000401LEE</t>
  </si>
  <si>
    <t>D2001101L</t>
  </si>
  <si>
    <t>D2000801LE</t>
  </si>
  <si>
    <t>BANDEJAS DE EXPANDIDO REGULARES BIODEGRADABLES</t>
  </si>
  <si>
    <t>BANDEJAS DE EXPANDIDO AUTOABSORBENTES BIODEGRADABLES</t>
  </si>
  <si>
    <t>0032BIO00628</t>
  </si>
  <si>
    <t>BAND. N° 28 STD Blanca BIO (628 BIO)</t>
  </si>
  <si>
    <t>D20028R03L</t>
  </si>
  <si>
    <t>D2000203LBB</t>
  </si>
  <si>
    <t>D2000403LBB</t>
  </si>
  <si>
    <t>D2001003LBB</t>
  </si>
  <si>
    <t>D2100803LBBA</t>
  </si>
  <si>
    <t>BAND 10SL Absorb. BIO (615 Abs.)</t>
  </si>
  <si>
    <t>BAND 2SL Absorb. BIO (618 Abs.)</t>
  </si>
  <si>
    <t>BAND 4SL Absorb. BIO (619 Abs.)</t>
  </si>
  <si>
    <t>BAND 8SL Absorb. BIO (625 Abs.)</t>
  </si>
  <si>
    <t>BANDEJA 615 ECO BLANCA</t>
  </si>
  <si>
    <t>BAND N° 10BB Bca (10SLE BCA) Absorbentes</t>
  </si>
  <si>
    <t>BAND N° 2BB  Bca  (2SLE BCA) Absorbentes</t>
  </si>
  <si>
    <t>BAND N° 4BB  Bca  (4SLE BCA) Absorbentes</t>
  </si>
  <si>
    <t>BAND N° 8BBC  Bca (8SL BCA) Absorbentes</t>
  </si>
  <si>
    <t>BANDEJA 615 BLANCA Standard</t>
  </si>
  <si>
    <t>BANDEJA 617 BLANCA Standard</t>
  </si>
  <si>
    <t>BANDEJA 618 BLANCA Standard</t>
  </si>
  <si>
    <t>BANDEJA 619 BLANCA Standard</t>
  </si>
  <si>
    <t>BANDEJA 625 BLANCA Standard</t>
  </si>
  <si>
    <t>BANDEJA 628 BLANCA PIZZERA Standard</t>
  </si>
  <si>
    <t>OBLEA 618 BLANCA Standard</t>
  </si>
  <si>
    <t>OBLEA 619 BLANCA Standard</t>
  </si>
  <si>
    <t>BANDEJA 615 COLOR (AMA, ROSA, NEGRA) Std.</t>
  </si>
  <si>
    <t>BANDEJA 618 COLOR (AMA, ROSA, NEGRA) Std.</t>
  </si>
  <si>
    <t>BANDEJA 619 COLOR (AMA, ROSA, NEGRA) Std.</t>
  </si>
  <si>
    <t>0053DARV0001</t>
  </si>
  <si>
    <t>TORTERA RECTANG 26x20x10cm Base Negra-Tapa Cristal</t>
  </si>
  <si>
    <t>0045DARC3000</t>
  </si>
  <si>
    <t>0045DARC4000</t>
  </si>
  <si>
    <t>DC5130011000</t>
  </si>
  <si>
    <t>DC5140011000</t>
  </si>
  <si>
    <t>14,2x14,2x20,3cm</t>
  </si>
  <si>
    <t>15,5x15,5x22,3cm</t>
  </si>
  <si>
    <t>FRASCO CUADRADO 2000 ML CRISTAL (64oz)</t>
  </si>
  <si>
    <t>FRASCO CUADRADO 3000 ML CRISTAL  (96oz)</t>
  </si>
  <si>
    <t>FRASCO CUADRADO 4000 ML CRISTAL  (128oz)</t>
  </si>
  <si>
    <t>FRASCO CUADRADO 1000 ML CRISTAL (32oz)</t>
  </si>
  <si>
    <t>FRASCO CUADRADO 1500 ML CRISTAL (48oz)</t>
  </si>
  <si>
    <t>FRASCO CUADRADO 750 ML CRISTAL (24oz)</t>
  </si>
  <si>
    <t>FRASCO REDONDO 300 ML CRISTAL (10oz)</t>
  </si>
  <si>
    <t>FRASCO REDONDO 500 ML CRISTAL (16oz)</t>
  </si>
  <si>
    <t>FRASCO REDONDO 750 ML CRISTAL (24oz)</t>
  </si>
  <si>
    <t>FRASCO REDONDO 1000 ML CRISTAL (32oz)</t>
  </si>
  <si>
    <t>FRASCO REDONDO 1500 ML CRISTAL (48oz)</t>
  </si>
  <si>
    <t>0027BIO28100</t>
  </si>
  <si>
    <t>SA4B31-280-100DR</t>
  </si>
  <si>
    <t>0027BIO28300</t>
  </si>
  <si>
    <t>SA4B31-280-300D</t>
  </si>
  <si>
    <t>0027BIO38100</t>
  </si>
  <si>
    <t>SA4B35-380-1000</t>
  </si>
  <si>
    <t>0027REP00018</t>
  </si>
  <si>
    <t>SD135-450-300DRB</t>
  </si>
  <si>
    <t>0027REP00036</t>
  </si>
  <si>
    <t>SD135-450-300D</t>
  </si>
  <si>
    <t>0027TAM28050</t>
  </si>
  <si>
    <t>ST2-280-50R</t>
  </si>
  <si>
    <t>0027TAM28100</t>
  </si>
  <si>
    <t>ST2-280-100R</t>
  </si>
  <si>
    <t>PVC BIO DARNEL WRAP 31X28X100MTS</t>
  </si>
  <si>
    <t>PVC BIO DARNEL WRAP 31X28X300 MTS</t>
  </si>
  <si>
    <t>PVC BIO DARNEL WRAP 35X38X1000 MTS</t>
  </si>
  <si>
    <t>PVC REPUESTO 18¨¨ X300 MTS</t>
  </si>
  <si>
    <t>PVC REPUESTO 18¨¨ X300 MTS C/DISP</t>
  </si>
  <si>
    <t>PVC TAMI WRAP 28X50 MTS</t>
  </si>
  <si>
    <t>PVC TAMI WRAP 28X100 MTS</t>
  </si>
  <si>
    <t>Nuevo</t>
  </si>
  <si>
    <t>0042DAR50015</t>
  </si>
  <si>
    <t>D591588</t>
  </si>
  <si>
    <t>PLATO PLASTICO COLOR 15.5CM SURTIDO PQX12 CJX480</t>
  </si>
  <si>
    <t>0052DARR0012</t>
  </si>
  <si>
    <t>DC07151299</t>
  </si>
  <si>
    <t>0052DARR0024</t>
  </si>
  <si>
    <t>DC07152499</t>
  </si>
  <si>
    <t>0052DARRB0016</t>
  </si>
  <si>
    <t>DC07151699B</t>
  </si>
  <si>
    <t>0052DARW00024</t>
  </si>
  <si>
    <t>DC772400S</t>
  </si>
  <si>
    <t>SAFETYPLUS CUADRADO RESQ 12 Oz NEGRO CON TAPA PAQX100 CAJ X200 UNID</t>
  </si>
  <si>
    <t>SAFETYPLUS CUADRADO RESQ 24 Oz NEGRO CON TAPA PAQX100 CAJ X200 UNID</t>
  </si>
  <si>
    <t>SAFETYPLUS BAJO RESQ 16 OzNEGRO CON TAPA CAJ X200 UNID</t>
  </si>
  <si>
    <t>SAFETYUPLUS BOWL RESQ 24 Oz CRISTAL CON TAPA PAQX100 CAJ X200 UNID</t>
  </si>
  <si>
    <t>0054DARB1008</t>
  </si>
  <si>
    <t>D16350899V</t>
  </si>
  <si>
    <t>0054DARB1010</t>
  </si>
  <si>
    <t>D16351099V</t>
  </si>
  <si>
    <t>0054DARB2012</t>
  </si>
  <si>
    <t>D16491299V</t>
  </si>
  <si>
    <t>&amp;BASE 20.5 CM X 12 CM ALTURA 8CM VISUALDOMO RECT RESQ NEGRA X50</t>
  </si>
  <si>
    <t>&amp;BASE 20.5CM X 12CM ALTURA 10CM VISUALDOMO RECT RESQ NEGRO X50</t>
  </si>
  <si>
    <t>&amp;BASE RECT 21/16CM NEGRA C/DOMO 12 CRISTAL ALTA VISIBILIDAD X50</t>
  </si>
  <si>
    <t>0052DARPC0012</t>
  </si>
  <si>
    <t>DP470551299S</t>
  </si>
  <si>
    <t>CONTENEDOR REUTILIZABLE CIRCULAR PROTOGO 5.5 12 Oz NEGROC/T CJX100</t>
  </si>
  <si>
    <t>0052DARB0001</t>
  </si>
  <si>
    <t>0052DARBT0001</t>
  </si>
  <si>
    <t>D770800Y</t>
  </si>
  <si>
    <t>D771600T</t>
  </si>
  <si>
    <t>BOWL TOKYO S CRISTAL PAQ X100 CJ X200</t>
  </si>
  <si>
    <t>TAPA CRISTAL 15.5 CM TOKYO/DOBLEUSO PAQ X50 CAJ X500 UNID</t>
  </si>
  <si>
    <t>0052DAR80004</t>
  </si>
  <si>
    <t>D152505400N</t>
  </si>
  <si>
    <t>CONTENEDOR 4 DIV RESQ CRISTAL CON TAPA X50</t>
  </si>
  <si>
    <t>0034DARC0004</t>
  </si>
  <si>
    <t>D700401N</t>
  </si>
  <si>
    <t>0035DAR00006</t>
  </si>
  <si>
    <t>D690601NLA</t>
  </si>
  <si>
    <t>0035DARB0008</t>
  </si>
  <si>
    <t>D690803N</t>
  </si>
  <si>
    <t>0035DART0008</t>
  </si>
  <si>
    <t>D690802TNL</t>
  </si>
  <si>
    <t>+CONTENEDOR ESPUMADO 4 Oz BLANCO PAQX20 CAJ X1000 UND</t>
  </si>
  <si>
    <t>#VASO ESPUMADO 6 OzBLANCO PQX40 CAJ X2000</t>
  </si>
  <si>
    <t>VASO TERMICO BIODEGRADABLE 8 Oz DARNEL BIO PAQX20 CAJ X1000</t>
  </si>
  <si>
    <t>+TAPA RIGIDA SIN PERFORACION PARA VASO 8 Oz OPAL PQX100 CAJ 1000UNID</t>
  </si>
  <si>
    <t>0018DARBB0026</t>
  </si>
  <si>
    <t>RPN02026101XC</t>
  </si>
  <si>
    <t>0018DARBB0045</t>
  </si>
  <si>
    <t>RPN02045101XC</t>
  </si>
  <si>
    <t>0018DARBB0066</t>
  </si>
  <si>
    <t>RPN02066101XC</t>
  </si>
  <si>
    <t>0018DARBBF0001</t>
  </si>
  <si>
    <t>RPN02P08201X</t>
  </si>
  <si>
    <t>0018DARBBF0005</t>
  </si>
  <si>
    <t>RPN02P08701X</t>
  </si>
  <si>
    <t>0018DARBBF0010</t>
  </si>
  <si>
    <t>RPN02P12801X</t>
  </si>
  <si>
    <t>0018DARBK0026</t>
  </si>
  <si>
    <t>RPN02026102XC</t>
  </si>
  <si>
    <t>0018DARBK0045</t>
  </si>
  <si>
    <t>RPN02045102XC</t>
  </si>
  <si>
    <t>0018DARBK0049</t>
  </si>
  <si>
    <t>RPN02049102XC</t>
  </si>
  <si>
    <t>0018DARBK0066</t>
  </si>
  <si>
    <t>RPN02066102XC</t>
  </si>
  <si>
    <t>0018DARBKF0001</t>
  </si>
  <si>
    <t>0018DARBKS0049</t>
  </si>
  <si>
    <t>RPN02049102XTE</t>
  </si>
  <si>
    <t>0018DARBKS0066</t>
  </si>
  <si>
    <t>RPN02066102XTE</t>
  </si>
  <si>
    <t>0018DARBKS026</t>
  </si>
  <si>
    <t>RPN02026102XTE</t>
  </si>
  <si>
    <t>0018DARKH0001</t>
  </si>
  <si>
    <t>RPN0209302X</t>
  </si>
  <si>
    <t>0018DARKH0005</t>
  </si>
  <si>
    <t>RPN0209502X</t>
  </si>
  <si>
    <t>0018DARKH0010</t>
  </si>
  <si>
    <t>RPN02011402X</t>
  </si>
  <si>
    <t>CAJA PARA ALIMENTOS DARNEL NATURAL 26 Oz BLANCA PAQX50 CAJ X200 UNI</t>
  </si>
  <si>
    <t>CAJA PARA ALIMENTOS DARNEL NATURAL 45 Oz BLANCO PQX50 CJX200</t>
  </si>
  <si>
    <t>CAJA PARA ALIMENTOS DARNEL NATURAL 66 Oz BLANCO PQX50 CJX200</t>
  </si>
  <si>
    <t>CAJA PEQUEÑA PARA PAPAS FRITAS DARNEL NATURAL BLANCA PQX100 CJX600</t>
  </si>
  <si>
    <t>CAJA MEDIANA PARA PAPAS FRITAS DARNEL NATURAL BLANCO PQX100 CJX600</t>
  </si>
  <si>
    <t>CAJA GRANDE PARA PAPAS FRITAS DARNEL NATURAL BLANCO PQX100 CJX600</t>
  </si>
  <si>
    <t>CAJA PARA ALIMENTOS DARNEL NATURAL 26 Oz MOCA PAQX50 CAJ X200UNID</t>
  </si>
  <si>
    <t>CAJA PARA ALIMENTOS DARNEL NATURAL 45 Oz MOCA PQX50 CJX200</t>
  </si>
  <si>
    <t>CAJA PARA ALIMENTOS DARNEL NATURAL 49 Oz MOCA PQX50 CJX200</t>
  </si>
  <si>
    <t>CAJA PARA ALIMENTOS DARNEL NATURAL 66 Oz MOCA PQX50 CJX200</t>
  </si>
  <si>
    <t>CAJA PEQUEÑA PARA PAPAS FRITAS DARNEL NATURAL MOCA PQX100 CJX600</t>
  </si>
  <si>
    <t>CAJA PARA ALIMENTOS SAFETYPLUS DARNEL NATURAL 49 Oz MOCA PQX50CJX200</t>
  </si>
  <si>
    <t>CAJA PARA ALIMENTOS SAFETYPLUS DARNEL NAT 66oz MOCA PQX50 CJX200</t>
  </si>
  <si>
    <t>CAJA PARA ALIMENTOS SAFETYPLUS DARNEL NATURAL 26 Oz MOCA PQX50 CAJX200</t>
  </si>
  <si>
    <t>CAJA PEQUEÑA PARA HAMBURGUESA DARNEL NATURAL MOCA PAQX50 CAJ X300UNI</t>
  </si>
  <si>
    <t>CAJA MEDIANA PARA HAMBURGUESA DARNEL NATURAL MOCA PAQX50 CAJ X300 UNI</t>
  </si>
  <si>
    <t>CAJA GRANDE PARA HAMBURGUESA DARNEL NATURAL MOCA PAQX50 CAJX300</t>
  </si>
  <si>
    <t>U.M.</t>
  </si>
  <si>
    <t>0001BCO00002</t>
  </si>
  <si>
    <t>BLANCO SEIN 40 X 50</t>
  </si>
  <si>
    <t>RES</t>
  </si>
  <si>
    <t>0001BCO00003</t>
  </si>
  <si>
    <t>BLANCO SEIN 64 X 90</t>
  </si>
  <si>
    <t>0001BCO00004</t>
  </si>
  <si>
    <t>BLANCO SEIN 64 X 45</t>
  </si>
  <si>
    <t>0001BCO00005</t>
  </si>
  <si>
    <t>BLANCO SEIN 32 X 45</t>
  </si>
  <si>
    <t>0001BCO00006</t>
  </si>
  <si>
    <t>BLANCO SEIN 52 X 72</t>
  </si>
  <si>
    <t>0001BCO00007</t>
  </si>
  <si>
    <t>BLANCO SEIN 52 X 36</t>
  </si>
  <si>
    <t>0001BCO00008</t>
  </si>
  <si>
    <t>BLANCO SEIN 26 X 36</t>
  </si>
  <si>
    <t>0001BCO00009</t>
  </si>
  <si>
    <t>BLANCO SEIN 26 X 18</t>
  </si>
  <si>
    <t>0001BCO00010</t>
  </si>
  <si>
    <t>BLANCO SEIN 58 X 81</t>
  </si>
  <si>
    <t>0001BCO00011</t>
  </si>
  <si>
    <t>BLANCO SEIN 58 X 40</t>
  </si>
  <si>
    <t>0001BCO00014</t>
  </si>
  <si>
    <t>BLANCO SEIN 9 X 13 PIZZERO</t>
  </si>
  <si>
    <t>0001BCO00015</t>
  </si>
  <si>
    <t>BLANCO SEIN 30 X 40</t>
  </si>
  <si>
    <t>0001BCP00002</t>
  </si>
  <si>
    <t>SULFITO PRIMERA 40 X 50</t>
  </si>
  <si>
    <t>0001BCP00003</t>
  </si>
  <si>
    <t>SULFITO PRIMERA 64 X 90</t>
  </si>
  <si>
    <t>0001BCP00004</t>
  </si>
  <si>
    <t>SULFITO PRIMERA 64 X 45</t>
  </si>
  <si>
    <t>0001BCP00005</t>
  </si>
  <si>
    <t>SULFITO PRIMERA 32 X 45</t>
  </si>
  <si>
    <t>0001BCP00006</t>
  </si>
  <si>
    <t>SULFITO PRIMERA 52 X 72</t>
  </si>
  <si>
    <t>0001BCP00007</t>
  </si>
  <si>
    <t>SULFITO PRIMERA 52 X 36</t>
  </si>
  <si>
    <t>0001BCP00011</t>
  </si>
  <si>
    <t>SULFITO PRIMERA 58 X 40</t>
  </si>
  <si>
    <t>0001BIO00001</t>
  </si>
  <si>
    <t>BIOXIDO 75 X 100</t>
  </si>
  <si>
    <t>0001KPU00080</t>
  </si>
  <si>
    <t>KRAFT PURO 80 GRS.</t>
  </si>
  <si>
    <t>KG</t>
  </si>
  <si>
    <t>0001KPU00125</t>
  </si>
  <si>
    <t>KRAFT PURO 125 GRS.</t>
  </si>
  <si>
    <t>0001KSE00001</t>
  </si>
  <si>
    <t>KRAFT SEIN EN HOJAS 50 GRS.</t>
  </si>
  <si>
    <t>0001KSE00002</t>
  </si>
  <si>
    <t>KRAFT SEIN EN HOJAS 80 GRS.</t>
  </si>
  <si>
    <t>0002DES03040</t>
  </si>
  <si>
    <t>DESMOLDANTE 30 X 40</t>
  </si>
  <si>
    <t>DESMOLDANTE 45 X 70</t>
  </si>
  <si>
    <t>UN</t>
  </si>
  <si>
    <t>SEDA BLANCO 75 X 100 (400 H)</t>
  </si>
  <si>
    <t>0003BCO00040</t>
  </si>
  <si>
    <t>BOBINA BLANCO SEIN 40 CM.</t>
  </si>
  <si>
    <t>0003BCO00060</t>
  </si>
  <si>
    <t>BOBINA BLANCO SEIN 60 CM.</t>
  </si>
  <si>
    <t>0003BCP00040</t>
  </si>
  <si>
    <t>BOBINA SULFITO PRIMERA 40 CM.</t>
  </si>
  <si>
    <t>0003BCP00060</t>
  </si>
  <si>
    <t>BOBINA SULFITO PRIMERA 60 CM.</t>
  </si>
  <si>
    <t>0003KRA00040</t>
  </si>
  <si>
    <t>BOBINA KRAFT 50 SEIN 40 CM.</t>
  </si>
  <si>
    <t>0003KRA00041</t>
  </si>
  <si>
    <t>BOBINA KRAFT 80 SEIN 40 CM.</t>
  </si>
  <si>
    <t>0003KRA00060</t>
  </si>
  <si>
    <t>BOBINA KRAFT 50 SEIN 60 CM.</t>
  </si>
  <si>
    <t>0003KRA00061</t>
  </si>
  <si>
    <t>BOBINA KRAFT 80 SEIN 60 CM.</t>
  </si>
  <si>
    <t>0003KRA00081</t>
  </si>
  <si>
    <t>BOBINA KRAFT 80 SEIN 80 CM.</t>
  </si>
  <si>
    <t>0004KRA0002L</t>
  </si>
  <si>
    <t>BSAS KRAFT Nº 2L</t>
  </si>
  <si>
    <t>PAQ</t>
  </si>
  <si>
    <t>0004KRA0003C</t>
  </si>
  <si>
    <t>BSAS KRAFT Nº 3</t>
  </si>
  <si>
    <t>0004KRA0003L</t>
  </si>
  <si>
    <t>BSAS KRAFT Nº 3L</t>
  </si>
  <si>
    <t>0004KRA0004A</t>
  </si>
  <si>
    <t>BSAS KRAFT Nº 4A</t>
  </si>
  <si>
    <t>0004KRA0004C</t>
  </si>
  <si>
    <t>BSAS KRAFT Nº 4</t>
  </si>
  <si>
    <t>0004KRA0005C</t>
  </si>
  <si>
    <t>BSAS KRAFT Nº 5</t>
  </si>
  <si>
    <t>0004KRA0006C</t>
  </si>
  <si>
    <t>BSAS KRAFT Nº 6</t>
  </si>
  <si>
    <t>0004KRA0006L</t>
  </si>
  <si>
    <t>BSAS KRAFT Nº 6L</t>
  </si>
  <si>
    <t>0004KRA0007C</t>
  </si>
  <si>
    <t>BSAS KRAFT Nº 7</t>
  </si>
  <si>
    <t>0004KRA0008C</t>
  </si>
  <si>
    <t>BSAS KRAFT Nº 8</t>
  </si>
  <si>
    <t>BOLSA DELIVERY CHICA 37 x 20 x 12 cm ( X 250)</t>
  </si>
  <si>
    <t>BOLSA DELIVERY GRANDE 47 x 20 x 12 cm ( X 250)</t>
  </si>
  <si>
    <t>0004SEG0002L</t>
  </si>
  <si>
    <t>BSAS. BLANCAS Nº 2L</t>
  </si>
  <si>
    <t>0004SEG0003C</t>
  </si>
  <si>
    <t>BSAS. BLANCAS Nº 3</t>
  </si>
  <si>
    <t>0004SEG0003L</t>
  </si>
  <si>
    <t>BSAS. BLANCAS Nº 3L</t>
  </si>
  <si>
    <t>0004SEG0004A</t>
  </si>
  <si>
    <t>BSAS. BLANCAS Nº 4A</t>
  </si>
  <si>
    <t>0004SEG0004C</t>
  </si>
  <si>
    <t>BSAS. BLANCAS Nº 4</t>
  </si>
  <si>
    <t>0004SEG0005C</t>
  </si>
  <si>
    <t>BSAS. BLANCAS Nº 5</t>
  </si>
  <si>
    <t>0004SEG0006C</t>
  </si>
  <si>
    <t>BSAS. BLANCAS Nº 6</t>
  </si>
  <si>
    <t>0004SEG0006L</t>
  </si>
  <si>
    <t>BSAS. BLANCAS Nº 6L</t>
  </si>
  <si>
    <t>0004SEG0007C</t>
  </si>
  <si>
    <t>BSAS. BLANCAS Nº 7</t>
  </si>
  <si>
    <t>0004SEG0008C</t>
  </si>
  <si>
    <t>BSAS. BLANCAS Nº 8</t>
  </si>
  <si>
    <t>0005SER01818</t>
  </si>
  <si>
    <t>SERVILLETA 18 X 18</t>
  </si>
  <si>
    <t>CAJ</t>
  </si>
  <si>
    <t>0005SER03333</t>
  </si>
  <si>
    <t>SERVILLETA 33 X 33</t>
  </si>
  <si>
    <t>0005SER10000</t>
  </si>
  <si>
    <t>SERVILLETA (X 10.000)</t>
  </si>
  <si>
    <t>SERVILLETAS DELIVERY ENSOBRADO x 2 (X 500)</t>
  </si>
  <si>
    <t>0006BOR03441</t>
  </si>
  <si>
    <t>CARPETA BORDADA 34X41</t>
  </si>
  <si>
    <t>0008MBI00016</t>
  </si>
  <si>
    <t>MOLDE BIZCOCHUELO Nº 16</t>
  </si>
  <si>
    <t>0008MBI00020</t>
  </si>
  <si>
    <t>MOLDE BIZCOCHUELO Nº 20</t>
  </si>
  <si>
    <t>0008MBI00022</t>
  </si>
  <si>
    <t>MOLDE BIZCOCHUELO Nº 22</t>
  </si>
  <si>
    <t>0008MRO00020</t>
  </si>
  <si>
    <t>MOLDE ROSCA Nº 20</t>
  </si>
  <si>
    <t>0008MRO00022</t>
  </si>
  <si>
    <t>MOLDE ROSCA Nº 22</t>
  </si>
  <si>
    <t>0008PIR00005</t>
  </si>
  <si>
    <t>PIROTINES Nº 5</t>
  </si>
  <si>
    <t>0008PIR00010</t>
  </si>
  <si>
    <t>PIROTINES Nº 10</t>
  </si>
  <si>
    <t>0011PRI00003</t>
  </si>
  <si>
    <t>CARTON BLANCO CIFIVE</t>
  </si>
  <si>
    <t>0011SEG00030</t>
  </si>
  <si>
    <t>CARTON GRIS Nº 30</t>
  </si>
  <si>
    <t>0011SEG00040</t>
  </si>
  <si>
    <t>CARTON GRIS Nº 40</t>
  </si>
  <si>
    <t>0012COM00001</t>
  </si>
  <si>
    <t>BANDEJA DE CARTON Nº 1 12X15</t>
  </si>
  <si>
    <t>0012COM00002</t>
  </si>
  <si>
    <t>BANDEJA DE CARTON Nº 2 15X17</t>
  </si>
  <si>
    <t>0012COM00003</t>
  </si>
  <si>
    <t>BANDEJA DE CARTON Nº 3 17X21</t>
  </si>
  <si>
    <t>0012COM00004</t>
  </si>
  <si>
    <t>BANDEJA DE CARTON Nº 4 18X23</t>
  </si>
  <si>
    <t>0012COM00005</t>
  </si>
  <si>
    <t>BANDEJA DE CARTON Nº 5 20X26</t>
  </si>
  <si>
    <t>0012COM00006</t>
  </si>
  <si>
    <t>BANDEJA DE CARTON Nº 6 21X29</t>
  </si>
  <si>
    <t>0012COM00051</t>
  </si>
  <si>
    <t>BANDEJA KRAFT PURO N°1 (6PX100U)</t>
  </si>
  <si>
    <t>BANDEJA KRAFT PURO N°2 (6PX100U)</t>
  </si>
  <si>
    <t>0012COM00053</t>
  </si>
  <si>
    <t>BANDEJA KRAFT PURO N°3 (4PX100U)</t>
  </si>
  <si>
    <t>0012COM00054</t>
  </si>
  <si>
    <t>BANDEJA KRAFT PURO N°4 (2PX100U)</t>
  </si>
  <si>
    <t>0012COM10002</t>
  </si>
  <si>
    <t>BANDEJA MICRO CORRUGADO N° 2 (4PX100U)</t>
  </si>
  <si>
    <t>0012COM10003</t>
  </si>
  <si>
    <t>BANDEJA MICRO CORRUGADO N° 3 (4PX100U)</t>
  </si>
  <si>
    <t>0012COM10004</t>
  </si>
  <si>
    <t>BANDEJA MICRO CORRUGADO N° 4 (4PX100U)</t>
  </si>
  <si>
    <t>0012COM10005</t>
  </si>
  <si>
    <t>BANDEJA MICRO CORRUGADO N° 5 (2PX100U)</t>
  </si>
  <si>
    <t>0012COM10006</t>
  </si>
  <si>
    <t>BANDEJA MICRO CORRUGADO N° 6 (4P X 50U)</t>
  </si>
  <si>
    <t>BANDEJA MICRO CORRUGADO N°2 IMPRESA</t>
  </si>
  <si>
    <t>BANDEJA MICRO CORRUGADO N°3 IMPRESA</t>
  </si>
  <si>
    <t>BANDEJA MICRO CORRUGADO N°4 IMPRESA</t>
  </si>
  <si>
    <t>BANDEJA MICRO CORRUGADO N°5 IMPRESA</t>
  </si>
  <si>
    <t>BANDEJA MICRO CORRUGADO N°6 IMPRESA</t>
  </si>
  <si>
    <t>BANDEJA MICRO CORRUGADO N°7 IMPRESA</t>
  </si>
  <si>
    <t>0013COM00016</t>
  </si>
  <si>
    <t>DISCO DE CARTON 16 CM (X 5KG)</t>
  </si>
  <si>
    <t>0013COM00022</t>
  </si>
  <si>
    <t>DISCO DE CARTON 22 CM (X 5KG)</t>
  </si>
  <si>
    <t>0013COM00024</t>
  </si>
  <si>
    <t>DISCO DE CARTON 24 CM (X 5KG)</t>
  </si>
  <si>
    <t>0014FAJ00070</t>
  </si>
  <si>
    <t>TIRA DE CARTON 70 CM (X 10KG)</t>
  </si>
  <si>
    <t>0015PLA00002</t>
  </si>
  <si>
    <t>PLATO DORADO N2 24 CM.</t>
  </si>
  <si>
    <t>0015PLA00003</t>
  </si>
  <si>
    <t>PLATO DORADO N3 26 CM.</t>
  </si>
  <si>
    <t>0015PLA00005</t>
  </si>
  <si>
    <t>PLATO DORADO N5 31 CM.</t>
  </si>
  <si>
    <t>0015PLA00010</t>
  </si>
  <si>
    <t>PLATO DOR. N10 14X19 1/4KG</t>
  </si>
  <si>
    <t>0015PLA00011</t>
  </si>
  <si>
    <t>PLATO DOR. N11 17X23 1/2KG</t>
  </si>
  <si>
    <t>0015PLA00013</t>
  </si>
  <si>
    <t>PLATO DOR. N13 20X27 1KG</t>
  </si>
  <si>
    <t>0015PLA00014</t>
  </si>
  <si>
    <t>PLATO DOR. N14 22X30 1 1/2KG</t>
  </si>
  <si>
    <t>0015PLA00015</t>
  </si>
  <si>
    <t>PLATO DOR. N15 24X32 2KG</t>
  </si>
  <si>
    <t>0015PLA00017</t>
  </si>
  <si>
    <t>PLATO DOR. N17 31X41 3KG</t>
  </si>
  <si>
    <t>0016PIZ00001</t>
  </si>
  <si>
    <t>CAJAS PIZZA GRIS CHICA</t>
  </si>
  <si>
    <t>0016PIZ00002</t>
  </si>
  <si>
    <t>CAJAS PIZZA GRIS GRANDE</t>
  </si>
  <si>
    <t>0016PIZ00005</t>
  </si>
  <si>
    <t>CAJAS PIZZA BLANCA CHICA</t>
  </si>
  <si>
    <t>0016PIZ00006</t>
  </si>
  <si>
    <t>CAJAS PIZZA BLANCA GRANDE</t>
  </si>
  <si>
    <t>0016RAV00001</t>
  </si>
  <si>
    <t>CAJAS RAVIOLES</t>
  </si>
  <si>
    <t>0017COR00070</t>
  </si>
  <si>
    <t>CARTON CORRUGADO 70 CM.</t>
  </si>
  <si>
    <t>ROL</t>
  </si>
  <si>
    <t>0017COR00090</t>
  </si>
  <si>
    <t>CARTON CORRUGADO 90 CM.</t>
  </si>
  <si>
    <t>0017COR00100</t>
  </si>
  <si>
    <t>CARTON CORRUGADO 100 CM.</t>
  </si>
  <si>
    <t>0017COR00120</t>
  </si>
  <si>
    <t>CARTON CORRUGADO 120 CM.</t>
  </si>
  <si>
    <t>0018ESP00003</t>
  </si>
  <si>
    <t>ESTUCHES PAPAS FRITAS GDE.</t>
  </si>
  <si>
    <t>ESTUCHES PAPAS FRITAS KRAFT X 1000</t>
  </si>
  <si>
    <t>PORTAVASO DE CARTULINA</t>
  </si>
  <si>
    <t>0021ARR02026</t>
  </si>
  <si>
    <t>ARRANQUE A.D. 20X25 (750 GR.)</t>
  </si>
  <si>
    <t>0021ARR02030</t>
  </si>
  <si>
    <t>ARRANQUE A.D. 20X30 (1.5 KG.)</t>
  </si>
  <si>
    <t>0021ARR02535</t>
  </si>
  <si>
    <t>ARRANQUE A.D. 25X35 (1.5 KG.)</t>
  </si>
  <si>
    <t>0021ARR03040</t>
  </si>
  <si>
    <t>ARRANQUE A.D. 30X40 (1.5 KG.)</t>
  </si>
  <si>
    <t>0021ARR03545</t>
  </si>
  <si>
    <t>ARRANQUE A.D. 35X45 (1.5 KG.)</t>
  </si>
  <si>
    <t>0021ARR04050</t>
  </si>
  <si>
    <t>ARRANQUE A.D.40X50 (1.5kG)</t>
  </si>
  <si>
    <t>0021ARR04060</t>
  </si>
  <si>
    <t>ARRANQUE A.D. 40X60 (1.5 KG.)</t>
  </si>
  <si>
    <t>0021CAM03040</t>
  </si>
  <si>
    <t>BOLSAS CAMISETA 30X40</t>
  </si>
  <si>
    <t>0021CAM04050</t>
  </si>
  <si>
    <t>BOLSAS CAMISETA 40X50</t>
  </si>
  <si>
    <t>0021CAM05060</t>
  </si>
  <si>
    <t>BOLSAS CAMISETA 50X60</t>
  </si>
  <si>
    <t>0021LAM00008</t>
  </si>
  <si>
    <t>LAMINA SINTETICO 25X35 (X 1KG)</t>
  </si>
  <si>
    <t>0021LAM00016</t>
  </si>
  <si>
    <t>LAMINA SINTETICO 20X25 (X 1KG)</t>
  </si>
  <si>
    <t>0027AUT00001</t>
  </si>
  <si>
    <t>PVC AUTOMATICO 18" FP 56</t>
  </si>
  <si>
    <t>0027AUT00012</t>
  </si>
  <si>
    <t>PVC AUTOMATICO 12" FV 50</t>
  </si>
  <si>
    <t>0027AUT00015</t>
  </si>
  <si>
    <t>PVC AUTOMATICO 15" FV 50</t>
  </si>
  <si>
    <t>0027AUT00045</t>
  </si>
  <si>
    <t>PVC AUTOMATICO 18" FV 50</t>
  </si>
  <si>
    <t>0027EST00022</t>
  </si>
  <si>
    <t>PVC 400 MM (X 1400 MTS.)</t>
  </si>
  <si>
    <t>PVC X 500 MTS. 12"</t>
  </si>
  <si>
    <t>PVC X 500 MTS. 15"</t>
  </si>
  <si>
    <t>PVC X 500 MTS. 18"</t>
  </si>
  <si>
    <t>0027LIG00138</t>
  </si>
  <si>
    <t>PVC 762 MTS. 15"</t>
  </si>
  <si>
    <t>0027LIG00145</t>
  </si>
  <si>
    <t>PVC 752 MTS. X 18"</t>
  </si>
  <si>
    <t>0027LIG00238</t>
  </si>
  <si>
    <t>PVC 677 MTS. X 15"</t>
  </si>
  <si>
    <t>PVC ECONO FILM 12"</t>
  </si>
  <si>
    <t>PVC ECONO FILM 15"</t>
  </si>
  <si>
    <t>PVC ECONO FILM 18"</t>
  </si>
  <si>
    <t>0027REB00305</t>
  </si>
  <si>
    <t>FILM GP38 300 X 5000 MTS</t>
  </si>
  <si>
    <t>0027REB00384</t>
  </si>
  <si>
    <t>FILM GP38 380 X 5000 MTS</t>
  </si>
  <si>
    <t>0027REB00453</t>
  </si>
  <si>
    <t>FILM GP38 450 X 5000 MTS</t>
  </si>
  <si>
    <t>0027REB30012</t>
  </si>
  <si>
    <t>FILM GP38 300 X 12000 MTS</t>
  </si>
  <si>
    <t>0027REB30013</t>
  </si>
  <si>
    <t>FILM GP38 300 X 13500 MTS</t>
  </si>
  <si>
    <t>0027REB38013</t>
  </si>
  <si>
    <t>FILM GP38 380 X 13500 MTS</t>
  </si>
  <si>
    <t>0027REB38512</t>
  </si>
  <si>
    <t>FILM GP38 385 X 12000 MTS</t>
  </si>
  <si>
    <t>0027REB45012</t>
  </si>
  <si>
    <t>FILM GP38 450 X 12000 MTS</t>
  </si>
  <si>
    <t>0027REB45013</t>
  </si>
  <si>
    <t>FILM GP38 450 X 13500 MTS</t>
  </si>
  <si>
    <t>0028FPE00001</t>
  </si>
  <si>
    <t>FILM POLIETILENO APTO ALIMENTO 380 x 1000 MTS</t>
  </si>
  <si>
    <t>0028FPE00002</t>
  </si>
  <si>
    <t>FILM POLIETILENO APTO ALIMENTO 450 x 1000 MTS</t>
  </si>
  <si>
    <t>0029STR00001</t>
  </si>
  <si>
    <t>FILM STREECH</t>
  </si>
  <si>
    <t>0031BIO00618</t>
  </si>
  <si>
    <t>BANDEJA BIO 2P ABSOR X400</t>
  </si>
  <si>
    <t>0031BIO00619</t>
  </si>
  <si>
    <t>BANDEJA BIO 4P ABSOR X400</t>
  </si>
  <si>
    <t>0031BIO10618</t>
  </si>
  <si>
    <t>BANDEJA BIO PROF 2S ABSOR X400</t>
  </si>
  <si>
    <t>0031LID05619</t>
  </si>
  <si>
    <t>BAND N°4-1.2 BBCR NEGRA (4DL)</t>
  </si>
  <si>
    <t>BAND N° 10BB Bca (10SLE BCA)</t>
  </si>
  <si>
    <t>BAND N° 2BB Bca (2SLE BCA)</t>
  </si>
  <si>
    <t>BAND N° 4BB Bca (4SLE BCA)</t>
  </si>
  <si>
    <t>0031LIE01615</t>
  </si>
  <si>
    <t>BAND N° 10BB Ama (10SLE AMA)</t>
  </si>
  <si>
    <t>0031LIE01618</t>
  </si>
  <si>
    <t>BAND N° 2BB Ama (2SLE AMA)</t>
  </si>
  <si>
    <t>0031LIE01619</t>
  </si>
  <si>
    <t>BAND N° 4BB Ama (4SLE AMA)</t>
  </si>
  <si>
    <t>0031LIE02615</t>
  </si>
  <si>
    <t>BAND N° 10BB Rosa (10SLE ROSA)</t>
  </si>
  <si>
    <t>0031LIE02618</t>
  </si>
  <si>
    <t>BAND N° 2BB Rosa (2SLE ROSA)</t>
  </si>
  <si>
    <t>0031LIE02619</t>
  </si>
  <si>
    <t>BAND N° 4BB Rosa (4SLE ROSA)</t>
  </si>
  <si>
    <t>0031LIE05615</t>
  </si>
  <si>
    <t>BAND N° 10BB Negra (10SLE NEGRA)</t>
  </si>
  <si>
    <t>0031LIE05618</t>
  </si>
  <si>
    <t>BAND N° 2BB Negra (2SLE NEGRA)</t>
  </si>
  <si>
    <t>0031LIE05619</t>
  </si>
  <si>
    <t>BAND N° 4BB Negra (4SLE NEGRA)</t>
  </si>
  <si>
    <t>BAND N° 8BBC Bca (8SL BCA)</t>
  </si>
  <si>
    <t>0031LIN01618</t>
  </si>
  <si>
    <t>BAND N° 2BBC Ama (2SL AMA)</t>
  </si>
  <si>
    <t>0031LIN01619</t>
  </si>
  <si>
    <t>BAND N° 4LBBC AMA(4SL AMA)</t>
  </si>
  <si>
    <t>0031LIN01625</t>
  </si>
  <si>
    <t>BAND N° 8BBC Ama (8SL AMA)</t>
  </si>
  <si>
    <t>0031LIN02625</t>
  </si>
  <si>
    <t>BAND N° 8BBA Rosa (8SL ROSA)</t>
  </si>
  <si>
    <t>0031LIN05625</t>
  </si>
  <si>
    <t>BAND N° 8BBC Negra(8SL NEGRA)</t>
  </si>
  <si>
    <t>0031LIND0004</t>
  </si>
  <si>
    <t>BAND N°4-1.2 BBCR BLANCA (4DL)</t>
  </si>
  <si>
    <t>0031LINF0618</t>
  </si>
  <si>
    <t>BAND N° 2-1.5BB Bca (2FLE BCA)</t>
  </si>
  <si>
    <t>0031LINP0009</t>
  </si>
  <si>
    <t>BAND N° T9-1BB Bca (APT9 BCA)</t>
  </si>
  <si>
    <t>0031LINP0618</t>
  </si>
  <si>
    <t>BAND N° 2-1BBC Bca (2PL BCA)</t>
  </si>
  <si>
    <t>0031LINP0619</t>
  </si>
  <si>
    <t>BAND N° 4-1BBC Bca (4PL BCA)</t>
  </si>
  <si>
    <t>0031LINP0625</t>
  </si>
  <si>
    <t>BAND N° 8-1BBAAC Bca (8PL BCA)</t>
  </si>
  <si>
    <t>0031LINP1625</t>
  </si>
  <si>
    <t>BAND N°8 LBBC Ama NA (8SLE AMA)</t>
  </si>
  <si>
    <t>0031LINP2618</t>
  </si>
  <si>
    <t>BAND N° 2-1BBA Rosa (2PL ROSA)</t>
  </si>
  <si>
    <t>0031LINP2619</t>
  </si>
  <si>
    <t>BAND N° 4-1BBA Rosa (4PL ROSA)</t>
  </si>
  <si>
    <t>0031LINP5618</t>
  </si>
  <si>
    <t>BAND N° 2-1BBAC Negra (2PL NEGRA)</t>
  </si>
  <si>
    <t>0031LINP5619</t>
  </si>
  <si>
    <t>BAND N° 4-1BBAC Negra (4PL NEGRA)</t>
  </si>
  <si>
    <t>0032BAN00618</t>
  </si>
  <si>
    <t>BANDEJA 618 BLANCA</t>
  </si>
  <si>
    <t>BANDEJA BIO 615 X400</t>
  </si>
  <si>
    <t>BANDEJA BIO 617 X400</t>
  </si>
  <si>
    <t>BANDEJA BIO 618 X400</t>
  </si>
  <si>
    <t>BANDEJA BIO 619 X400</t>
  </si>
  <si>
    <t>BANDEJA 615 E STD BLANCA X400</t>
  </si>
  <si>
    <t>BANDEJA 617 E STD BLANCA X400</t>
  </si>
  <si>
    <t>BANDEJA 618 E STD BLANCA X400</t>
  </si>
  <si>
    <t>BANDEJA 619 E STD BLANCA X400</t>
  </si>
  <si>
    <t>BANDEJA 625 E STD BLANCA (X200)</t>
  </si>
  <si>
    <t>BANDEJA 628 E STD BCA LIVIANA</t>
  </si>
  <si>
    <t>BANDEJA 615 BLANCA</t>
  </si>
  <si>
    <t>BANDEJA 617 BLANCA</t>
  </si>
  <si>
    <t>BANDEJA 619 BLANCA</t>
  </si>
  <si>
    <t>BANDEJA 625 BLANCA</t>
  </si>
  <si>
    <t>BANDEJA 628 BLANCA PIZZERA</t>
  </si>
  <si>
    <t>0032STD01615</t>
  </si>
  <si>
    <t>BANDEJA 615 AMARILLA</t>
  </si>
  <si>
    <t>0032STD01618</t>
  </si>
  <si>
    <t>BANDEJA 618 AMARILLA</t>
  </si>
  <si>
    <t>0032STD01619</t>
  </si>
  <si>
    <t>BANDEJA 619 AMARILLA</t>
  </si>
  <si>
    <t>0032STD01625</t>
  </si>
  <si>
    <t>BANDEJA 625 AMARILLA</t>
  </si>
  <si>
    <t>BANDEJA 615 ROSA</t>
  </si>
  <si>
    <t>BANDEJA 618 ROSA</t>
  </si>
  <si>
    <t>BANDEJA 619 ROSA</t>
  </si>
  <si>
    <t>0032STD04618</t>
  </si>
  <si>
    <t>BANDEJA 618 VERDE</t>
  </si>
  <si>
    <t>0032STD05615</t>
  </si>
  <si>
    <t>BANDEJA 615 NEGRA</t>
  </si>
  <si>
    <t>0032STD05617</t>
  </si>
  <si>
    <t>BANDEJA 617 NEGRA</t>
  </si>
  <si>
    <t>0032STD05618</t>
  </si>
  <si>
    <t>BANDEJA 618 NEGRA</t>
  </si>
  <si>
    <t>0032STD05619</t>
  </si>
  <si>
    <t>BANDEJA 619 NEGRA</t>
  </si>
  <si>
    <t>0032STDD0004</t>
  </si>
  <si>
    <t>BANDEJA 4D STD BCA</t>
  </si>
  <si>
    <t>0032STDD0054</t>
  </si>
  <si>
    <t>BANDEJA 4D STD NEG</t>
  </si>
  <si>
    <t>0032STDD0515</t>
  </si>
  <si>
    <t>BANDEJA N° 15-1.2 NEGRA</t>
  </si>
  <si>
    <t>0032STDO0400</t>
  </si>
  <si>
    <t>DISCO 18 BLANCO</t>
  </si>
  <si>
    <t>OBLEA 618 BLANCA</t>
  </si>
  <si>
    <t>OBLEA 619 BCA X 400</t>
  </si>
  <si>
    <t>0032STDO0623</t>
  </si>
  <si>
    <t>OBLEA REDONDA BCA 23</t>
  </si>
  <si>
    <t>0032STDO0625</t>
  </si>
  <si>
    <t>OBLEA 25 BLANCA</t>
  </si>
  <si>
    <t>0032STDO0630</t>
  </si>
  <si>
    <t>OBLEA 30 BLANCA</t>
  </si>
  <si>
    <t>BANDEJA TERMICA DM 70 (500ML)</t>
  </si>
  <si>
    <t>TAPA BAND TERMICA DM 70 (500ML)</t>
  </si>
  <si>
    <t>BANDEJA TERMICA C/3 DIV DM 90-A3 (900ML)</t>
  </si>
  <si>
    <t>BANDEJA TERMICA DM 90-A1 (1000ML)</t>
  </si>
  <si>
    <t>TAPA BAND. TERMICA DM 90 (900/1000 ML)</t>
  </si>
  <si>
    <t>BANDEJA TERMICA C/3 DIV DM 100(1200ML)</t>
  </si>
  <si>
    <t>TAPA BAND. TERMICA DM 100 (1200ML)</t>
  </si>
  <si>
    <t>ESTUCHE HAMBURGUESA CHICO G-1</t>
  </si>
  <si>
    <t>ESTUCHE HAMBURGUESA GRANDE DH-03</t>
  </si>
  <si>
    <t>ESTUCHE RECTANGULAR J-1 (500ML)</t>
  </si>
  <si>
    <t>PLATO TERMICO C/TAPA R-102 (850ML)</t>
  </si>
  <si>
    <t>PLATO TERMICO C/TAPA (500ML) X100U</t>
  </si>
  <si>
    <t>PLATO TERMICO C/TAPA (1200ML) X100U</t>
  </si>
  <si>
    <t>VASO TERMICO 120 CC.</t>
  </si>
  <si>
    <t>VASO TERMICO 180 CC.</t>
  </si>
  <si>
    <t>VASO TERMICO 240 CC.</t>
  </si>
  <si>
    <t>VASO TERMICO 300 CC.</t>
  </si>
  <si>
    <t>TAPA VASO TERMICO 120 CC. 4JL</t>
  </si>
  <si>
    <t>TAPA VASO TERMICO 180 CC. 6JL</t>
  </si>
  <si>
    <t>TAPA VASO TERMICO 240 CC. 8JL</t>
  </si>
  <si>
    <t>TAPA VASO TERMICO 300 CC. 10JL</t>
  </si>
  <si>
    <t>0041CUB00001</t>
  </si>
  <si>
    <t>TENEDORES</t>
  </si>
  <si>
    <t>0041CUB00003</t>
  </si>
  <si>
    <t>CUCHILLOS</t>
  </si>
  <si>
    <t>0041CUB00005</t>
  </si>
  <si>
    <t>CUCHARAS CAFE</t>
  </si>
  <si>
    <t>0041CUB00008</t>
  </si>
  <si>
    <t>CUCHARAS SUNDAE GRANEL BK</t>
  </si>
  <si>
    <t>0041CUB00010</t>
  </si>
  <si>
    <t>AGITADORES</t>
  </si>
  <si>
    <t>0041CUB00014</t>
  </si>
  <si>
    <t>SORBETES DE PAPEL</t>
  </si>
  <si>
    <t>0041CUB00015</t>
  </si>
  <si>
    <t>SORBETES CON FUNDA</t>
  </si>
  <si>
    <t>0041CUB00016</t>
  </si>
  <si>
    <t>SORBETES SIN FUNDA</t>
  </si>
  <si>
    <t>0041CUB00017</t>
  </si>
  <si>
    <t>CUCHARITAS HELADO (X 1 KG.)</t>
  </si>
  <si>
    <t>0041CUB00020</t>
  </si>
  <si>
    <t>TENEDOR NEGRO</t>
  </si>
  <si>
    <t>0041CUB00021</t>
  </si>
  <si>
    <t>CUCHILLO NEGRO</t>
  </si>
  <si>
    <t>0041CUB00030</t>
  </si>
  <si>
    <t>TENEDOR CRISTAL</t>
  </si>
  <si>
    <t>0041CUB00031</t>
  </si>
  <si>
    <t>CUCHILLO CRISTAL</t>
  </si>
  <si>
    <t>0041CUE00008</t>
  </si>
  <si>
    <t>CUCHARAS SUNDAE ENSOBRADAS</t>
  </si>
  <si>
    <t>0041CUE00011</t>
  </si>
  <si>
    <t>CUCHILLO/TENEDOR ENSOBRADOS</t>
  </si>
  <si>
    <t>CUCHILLO/TENEDOR ENSOB. CRISTAL</t>
  </si>
  <si>
    <t>0041CUE00013</t>
  </si>
  <si>
    <t>CUCHILLO/TENEDOR/SERV. ENSOB.</t>
  </si>
  <si>
    <t>0041DAR00110</t>
  </si>
  <si>
    <t>TENEDOR DE MADERA 16CM DARNEL NAT 10PAQX100</t>
  </si>
  <si>
    <t>0041DAR00111</t>
  </si>
  <si>
    <t>CUCHILLO DE MADERA 16CM DARNEL NAT 10PQX100</t>
  </si>
  <si>
    <t>0041DAR00140</t>
  </si>
  <si>
    <t>CUCHARA DE MADERA 14CM DARNEL NAT10PQX100</t>
  </si>
  <si>
    <t>TAMI CUCHARITA 11CM BCA 10PX100U CMX8</t>
  </si>
  <si>
    <t>TAMI TENEDOR 11CM BCO. 10PX100U CMX8</t>
  </si>
  <si>
    <t>0042PLA00010</t>
  </si>
  <si>
    <t>PLATO 17 CAÑA DE AZUCAR</t>
  </si>
  <si>
    <t>0042PLA00017</t>
  </si>
  <si>
    <t>PLATOS CHICOS 17 CM.</t>
  </si>
  <si>
    <t>0042PLA00022</t>
  </si>
  <si>
    <t>PLATOS GRANDES 22 CM.</t>
  </si>
  <si>
    <t>0042PLA00030</t>
  </si>
  <si>
    <t>PLATOS CHICOS 17CM ROJO</t>
  </si>
  <si>
    <t>0042PLA00031</t>
  </si>
  <si>
    <t>PLATOS CHICOS 17CM VIOLETA</t>
  </si>
  <si>
    <t>0042PLA00032</t>
  </si>
  <si>
    <t>PLATOS CHICOS 17CM NARANJA</t>
  </si>
  <si>
    <t>0042PLA00033</t>
  </si>
  <si>
    <t>PLATOS CHICOS 17CM CELESTE</t>
  </si>
  <si>
    <t>0042PLA00034</t>
  </si>
  <si>
    <t>PLATOS CHICOS 17CM AZUL</t>
  </si>
  <si>
    <t>0042PLA00035</t>
  </si>
  <si>
    <t>PLATOS CHICOS 17CM VERDE</t>
  </si>
  <si>
    <t>0042PLA00036</t>
  </si>
  <si>
    <t>PLATOS CHICOS 17CM AMARILLO</t>
  </si>
  <si>
    <t>0042PLA00037</t>
  </si>
  <si>
    <t>PLATOS CHICOS 17CM GRIS</t>
  </si>
  <si>
    <t>0042PLA00038</t>
  </si>
  <si>
    <t>PLATOS CHICOS 17CM ROSA</t>
  </si>
  <si>
    <t>0042PLA00039</t>
  </si>
  <si>
    <t>PLATOS CHICOS 17CM NEGRO</t>
  </si>
  <si>
    <t>0042PLAC0022</t>
  </si>
  <si>
    <t>PLATO COMIDA OCTOG. 22 BCO</t>
  </si>
  <si>
    <t>0043BLA00110</t>
  </si>
  <si>
    <t>VASO BLANCO 110 CC.</t>
  </si>
  <si>
    <t>0043BLA01180</t>
  </si>
  <si>
    <t>VASO LIV. BLANCO 180 CC.</t>
  </si>
  <si>
    <t>0043BLA01220</t>
  </si>
  <si>
    <t>VASO LIV. BLANCO 220 CC</t>
  </si>
  <si>
    <t>0043BLA01330</t>
  </si>
  <si>
    <t>VASO LIV. BLANCO 330 CC</t>
  </si>
  <si>
    <t>VASO PET 9oz</t>
  </si>
  <si>
    <t>VASO PET CRISTAL 12 OZ (360CC)</t>
  </si>
  <si>
    <t>VASO PET CRISTAL 16 OZ (480CC)</t>
  </si>
  <si>
    <t>VASO PET CRISTAL 20 OZ (600CC)</t>
  </si>
  <si>
    <t>TAPA CRISTAL SIN/PERFOR PARA VASO RESQ 9-10-12-16 Y 20 OZ</t>
  </si>
  <si>
    <t>TAPA CRISTAL PLANA CON/PERFOR PARA VASO 9 - 10 - 12 -19 y 20oz</t>
  </si>
  <si>
    <t>DOMO CRISTAL SIN/PERFOR PARA VASO RESQ 9-10-12-16 Y 20 OZ</t>
  </si>
  <si>
    <t>TAPA CRISTAL DOMO PERFORADA P/VASO 9oz</t>
  </si>
  <si>
    <t>0043POL00008</t>
  </si>
  <si>
    <t>VASO POLIP IMP 8oZ (X2000)</t>
  </si>
  <si>
    <t>0043POL00012</t>
  </si>
  <si>
    <t>VASO POLIP IMP 12oZ (X1800)</t>
  </si>
  <si>
    <t>0043POL10012</t>
  </si>
  <si>
    <t>TAPA VASO POLIPAP 12oz X2000</t>
  </si>
  <si>
    <t>0043TAM00001</t>
  </si>
  <si>
    <t>TAMI VASO TRASLUCIDO 9 OZ 24PX25U</t>
  </si>
  <si>
    <t>0045BOT00250</t>
  </si>
  <si>
    <t>BOTELLA JUGO 1/4 CUAD C/T X200</t>
  </si>
  <si>
    <t>0045BOT00500</t>
  </si>
  <si>
    <t>BOTELLA JUGO 1/2 LITRO C/T</t>
  </si>
  <si>
    <t>0045BOT01000</t>
  </si>
  <si>
    <t>BOTELLA JUGO 1 LITRO C/T</t>
  </si>
  <si>
    <t>FRASCO REDONDO 300 ML CRISTAL X96</t>
  </si>
  <si>
    <t>FRASCO REDONDO 500 ML CRISTAL X96</t>
  </si>
  <si>
    <t>FRASCO REDONDO 750 ML CRISTAL X96</t>
  </si>
  <si>
    <t>FRASCO REDONDO 1000 ML CRISTAL</t>
  </si>
  <si>
    <t>FRASCO REDONDO 1500 ML CRISTAL</t>
  </si>
  <si>
    <t>FRASCO CUADRADO 750 ML CRISTAL X96</t>
  </si>
  <si>
    <t>FRASCO CUADRADO 1000 ML CRISTAL</t>
  </si>
  <si>
    <t>FRASCO CUADRADO 1500 ML CRISTAL</t>
  </si>
  <si>
    <t>FRASCO CUADRADO 2000 ML CRISTAL</t>
  </si>
  <si>
    <t>FRASCO CUADRADO 3000 ML CRISTAL X24</t>
  </si>
  <si>
    <t>FRASCO CUADRADO 4000 ML CRISTAL X24</t>
  </si>
  <si>
    <t>SET 3 FRASCO CUADRADO 1500 ML C/U CRISTAL X18</t>
  </si>
  <si>
    <t>TAPA NEGRA FRASCO CUADRADO 750ML Y REDONDO 300-500-700 ML X96</t>
  </si>
  <si>
    <t>TAPA AZUL FRASCO CUADRADO 750ML Y REDONDO 300-500-700ML</t>
  </si>
  <si>
    <t>TAPA ROJA FRASCO CUADRADO 750 ML Y REDONDO 300-500-750 ML</t>
  </si>
  <si>
    <t>TAPA NEGRA FRASCO CUADRADO 1000 ML Y REDONDO 1000-1500 ML X48</t>
  </si>
  <si>
    <t>TAPA AZUL FRASCO CUADRADO 1500-2000-3000-4000 Y RED 2000 ML</t>
  </si>
  <si>
    <t>TAPA NEGRA POTE CUADRADO 1500-2000-3000-4000 Y REDONDO 2000</t>
  </si>
  <si>
    <t>0051CAT00002</t>
  </si>
  <si>
    <t>BANDEJA CAT 2 BASE</t>
  </si>
  <si>
    <t>0051CAT00022</t>
  </si>
  <si>
    <t>TAPA BANDEJA CAT 2</t>
  </si>
  <si>
    <t>0051COM00101</t>
  </si>
  <si>
    <t>BANDEJA PLASTICA PS 101</t>
  </si>
  <si>
    <t>0051COM00102</t>
  </si>
  <si>
    <t>BANDEJA PLASTICA PS 102</t>
  </si>
  <si>
    <t>0051COM00103</t>
  </si>
  <si>
    <t>BANDEJA PLASTICA PS 103</t>
  </si>
  <si>
    <t>0051COM00105</t>
  </si>
  <si>
    <t>BANDEJA PLASTICA PS 105</t>
  </si>
  <si>
    <t>0051COM00107</t>
  </si>
  <si>
    <t>BANDEJA PLASTICA PS 107</t>
  </si>
  <si>
    <t>0051DARBC002PR</t>
  </si>
  <si>
    <t>BANDEJA ENVOLVIBLE LISA PET 2S CRISTAL PROCESADOR</t>
  </si>
  <si>
    <t>0051DARBN002PR</t>
  </si>
  <si>
    <t>BANDEJA ENVOLVIBLE LISA PET 2S NEGRA PROCESADOR</t>
  </si>
  <si>
    <t>0051DARBN004PR</t>
  </si>
  <si>
    <t>BANDEJA ENVOLVIBLE LISA PET 4S NEGRA PROCESADOR</t>
  </si>
  <si>
    <t>0051MIC00101</t>
  </si>
  <si>
    <t>BANDEJA MICROONDA 101 PP</t>
  </si>
  <si>
    <t>0051MIC00102</t>
  </si>
  <si>
    <t>BANDEJA MICROONDA 102 PP</t>
  </si>
  <si>
    <t>0051MIC00103</t>
  </si>
  <si>
    <t>BANDEJA MICROONDA 103 PP</t>
  </si>
  <si>
    <t>0051MIC00105</t>
  </si>
  <si>
    <t>BANDEJA MICROONDA 105 PP RECT</t>
  </si>
  <si>
    <t>0051MIC00106</t>
  </si>
  <si>
    <t>BANDEJA MICROONDA 105 PP OVAL</t>
  </si>
  <si>
    <t>0051MIC00107</t>
  </si>
  <si>
    <t>BANDEJA MICROONDA 107 PP</t>
  </si>
  <si>
    <t>0051MIC00122</t>
  </si>
  <si>
    <t>TAPAS / MICROONDA 102 PP</t>
  </si>
  <si>
    <t>0051MIC00123</t>
  </si>
  <si>
    <t>TAPAS / MICROONDA 103 PP</t>
  </si>
  <si>
    <t>0051MIC00125</t>
  </si>
  <si>
    <t>TAPAS / MICROONDA 105 PP RECT</t>
  </si>
  <si>
    <t>0051MIC00127</t>
  </si>
  <si>
    <t>TAPAS / MICROONDA 107 PP</t>
  </si>
  <si>
    <t>0051MIC00475</t>
  </si>
  <si>
    <t>POTE SUSHI OVALADO</t>
  </si>
  <si>
    <t>0051MIC0B1T1</t>
  </si>
  <si>
    <t>ENVASE B1 500 GRS B/T</t>
  </si>
  <si>
    <t>0051MIC2326A</t>
  </si>
  <si>
    <t>POLLLERA BASE PP/TAPA BOPS</t>
  </si>
  <si>
    <t>BANDEJA MICRO 250CC PP TAPA BISAGRA</t>
  </si>
  <si>
    <t>BANDEJA MICRO 400CC PP TAPA BISAGRA</t>
  </si>
  <si>
    <t>BANDEJA MICRO 500CC PP TAPA BISAGRA</t>
  </si>
  <si>
    <t>BANDEJA MICRO 750CC PP TAPA BISAGRA</t>
  </si>
  <si>
    <t>BANDEJA MICRO 1000CC PP TAPA BISAGRA</t>
  </si>
  <si>
    <t>BANDEJA MICRO 1250CC PP TAPA BISAGRA</t>
  </si>
  <si>
    <t>BANDEJA MICRO 1500CC PP TAPA BISAGRA</t>
  </si>
  <si>
    <t>BANDEJA MICRO 1750CC PP TAPA BISAGRA</t>
  </si>
  <si>
    <t>BANDEJA MICRO 2000CC PP TAPA BISAGRA</t>
  </si>
  <si>
    <t>BANDEJA MICRO 2250CC PP TAPA BISAGRA</t>
  </si>
  <si>
    <t>BANDEJA MICRO 2500CC PP TAPA BISAGRA</t>
  </si>
  <si>
    <t>0051MIE00102</t>
  </si>
  <si>
    <t>BANDEJA MICROONDA 102 ECO PPF</t>
  </si>
  <si>
    <t>0051MIE00103</t>
  </si>
  <si>
    <t>BANDEJA MICROONDA 103 ECO PPF</t>
  </si>
  <si>
    <t>0051PES00041</t>
  </si>
  <si>
    <t>BANDEJA PET CRISTAL ZV-40</t>
  </si>
  <si>
    <t>0051PES00059</t>
  </si>
  <si>
    <t>BANDEJA PET CRISTAL ZV-60</t>
  </si>
  <si>
    <t>0051PES00501</t>
  </si>
  <si>
    <t>BANDEJA PET CRISTAL ZW-500</t>
  </si>
  <si>
    <t>0051VAR00002</t>
  </si>
  <si>
    <t>BANDEJA BURGER NEGRA</t>
  </si>
  <si>
    <t>0051VAR00005</t>
  </si>
  <si>
    <t>BANDEJA P/ALFAJORES C/TAPA</t>
  </si>
  <si>
    <t>0051VAR00006</t>
  </si>
  <si>
    <t>BANDEJA 4 QUESOS</t>
  </si>
  <si>
    <t>0051VAR00007</t>
  </si>
  <si>
    <t>BANDEJA 1/2 COSTILLA PP/BOPS -500</t>
  </si>
  <si>
    <t>0051VAR00008</t>
  </si>
  <si>
    <t>TRIANGULITOS</t>
  </si>
  <si>
    <t>0051VAR00010</t>
  </si>
  <si>
    <t>BANDEJA PICADAS NEGRA 6 COMP.</t>
  </si>
  <si>
    <t>0051VAR00013</t>
  </si>
  <si>
    <t>BASE NEGRA TAPA REDONDA C/DIV</t>
  </si>
  <si>
    <t>0051VAR00015</t>
  </si>
  <si>
    <t>ENSALADERA C/TAPA CP</t>
  </si>
  <si>
    <t>0051VAR00016</t>
  </si>
  <si>
    <t>ENSALADERA 20P CAÑA DE AZUCAR</t>
  </si>
  <si>
    <t>ENVASE REDONDO P180</t>
  </si>
  <si>
    <t>ENVASE RECTANGULAR P235*145</t>
  </si>
  <si>
    <t>ENVASE OVAL P 245*165</t>
  </si>
  <si>
    <t>TAPA ENVASE RED P180</t>
  </si>
  <si>
    <t>TAPA ENVASE RECT 235*145</t>
  </si>
  <si>
    <t>TAPA ENVASE OVAL P245*165</t>
  </si>
  <si>
    <t>0051VAR00075</t>
  </si>
  <si>
    <t>CUNA ALFAJOR 75 GRS BLANCA</t>
  </si>
  <si>
    <t>0051VAR00101</t>
  </si>
  <si>
    <t>CUNAS MANTECADO</t>
  </si>
  <si>
    <t>0051VAR00102</t>
  </si>
  <si>
    <t>CUNA PARA GALLETITAS NEGRA</t>
  </si>
  <si>
    <t>0052COM03143</t>
  </si>
  <si>
    <t>POTE 3142 NEGRO</t>
  </si>
  <si>
    <t>0052COM03185</t>
  </si>
  <si>
    <t>POTE 3185 ALTO</t>
  </si>
  <si>
    <t>0052COM03186</t>
  </si>
  <si>
    <t>TAPA 3110 (POTES 3142/3185)</t>
  </si>
  <si>
    <t>0052COM13185</t>
  </si>
  <si>
    <t>POTE 3185 B/T ALTO X150</t>
  </si>
  <si>
    <t>0052COMC3042</t>
  </si>
  <si>
    <t>POTE PET BISAGRA 1135 (250 CC)</t>
  </si>
  <si>
    <t>0052COMC3050</t>
  </si>
  <si>
    <t>POTE PET BISAGRA 1145 (390 CC)</t>
  </si>
  <si>
    <t>0052COMC3071</t>
  </si>
  <si>
    <t>POTE PET BISAGRA 1165 (575 CC)</t>
  </si>
  <si>
    <t>0052COMP0025</t>
  </si>
  <si>
    <t>POTE BLACK DAG 25 NEGRO DEGUSTACION</t>
  </si>
  <si>
    <t>0052COMP0040</t>
  </si>
  <si>
    <t>POTE 40 NEGRO DEGUSTACION</t>
  </si>
  <si>
    <t>0052COMP0055</t>
  </si>
  <si>
    <t>POTE 55 NEGRO DEGUSTACION</t>
  </si>
  <si>
    <t>0052COMP0125</t>
  </si>
  <si>
    <t>TAPA 55 POTE BLACK DAG DEGUSTACION</t>
  </si>
  <si>
    <t>0052COMP0163</t>
  </si>
  <si>
    <t>TAPA 63 POTE DEGUSTACION</t>
  </si>
  <si>
    <t>DARNEL &amp;CONT ROUND PACK PANDO</t>
  </si>
  <si>
    <t>0052DAR00009</t>
  </si>
  <si>
    <t>DARNEL POTE SOUFFLE 1 OZ OPAL 25PX100U</t>
  </si>
  <si>
    <t>DARNEL POTE SOUFFLE 4 OZ NEGRA 25PX100U</t>
  </si>
  <si>
    <t>DARNEL POTE SOUFFLE 5.5 OZ NEGRA 25PX100U</t>
  </si>
  <si>
    <t>DARNEL TAPA POTE SOUFFLE(3, 4, 5.5 OZ) 25PX100U</t>
  </si>
  <si>
    <t>0052DAR00020</t>
  </si>
  <si>
    <t>DARNEL POTE SOUFFLE 2 OZ. NATURAL</t>
  </si>
  <si>
    <t>0052DAR00021</t>
  </si>
  <si>
    <t>TAPA SOUFFLE 2 OZ NATURAL</t>
  </si>
  <si>
    <t>POTE DARNEL SAFETYPLUS 240 ML</t>
  </si>
  <si>
    <t>POTE DARNEL SAFETYPLUS 360 ML</t>
  </si>
  <si>
    <t>POTE DARNEL SAFETYPLUS 480 ML</t>
  </si>
  <si>
    <t>POTE DARNEL SAFETYPLUS 720 ML</t>
  </si>
  <si>
    <t>TAPA POTE DARNEL SAFETYPLUS</t>
  </si>
  <si>
    <t>CONTENEDOR DOBLE USO NEGRO 24oz C/T</t>
  </si>
  <si>
    <t>0052DAR00137</t>
  </si>
  <si>
    <t>CONTENEDOR DOBLE USO NEGRO 36oz CON TAPA</t>
  </si>
  <si>
    <t>SAFETYPLUS BOWLS CRISTAL 12oz TAPA EVID. APERT</t>
  </si>
  <si>
    <t>SAFETYPLUS BOWLS CRISTAL 32oz TAPA EVID. APERT.</t>
  </si>
  <si>
    <t>SAFETYPLUS BOWLS CRISTAL 48oz TAPA EVID. APERT.</t>
  </si>
  <si>
    <t>0052ECO03042</t>
  </si>
  <si>
    <t>POTE C/TAPA 3042</t>
  </si>
  <si>
    <t>0052ECO03050</t>
  </si>
  <si>
    <t>POTE C/TAPA 3050</t>
  </si>
  <si>
    <t>0052ECO03071</t>
  </si>
  <si>
    <t>POTE C/TAPA 3071</t>
  </si>
  <si>
    <t>0052ECO05040</t>
  </si>
  <si>
    <t>POTE C/TAPA 3040 (X500)</t>
  </si>
  <si>
    <t>0052ECO05050</t>
  </si>
  <si>
    <t>POTE C/TAPA 3050 (X500)</t>
  </si>
  <si>
    <t>0052ECO05070</t>
  </si>
  <si>
    <t>POTE C/TAPA 3070 (X500)</t>
  </si>
  <si>
    <t>0052MICC0200</t>
  </si>
  <si>
    <t>POTE DESCART PPP. 200</t>
  </si>
  <si>
    <t>0052MICC0250</t>
  </si>
  <si>
    <t>POTE DESCART PPP. 250</t>
  </si>
  <si>
    <t>0052MICC0500</t>
  </si>
  <si>
    <t>POTE DESCART PPP. 500</t>
  </si>
  <si>
    <t>0052MICC0501</t>
  </si>
  <si>
    <t>TAPA POTE PPP 250/500</t>
  </si>
  <si>
    <t>0052MICC0800</t>
  </si>
  <si>
    <t>POTE PP800 C/T 120</t>
  </si>
  <si>
    <t>DARNEL CONTENEDOR 3 DIV. 24 OZ C/T X100U</t>
  </si>
  <si>
    <t>0053DAR00027</t>
  </si>
  <si>
    <t>CONTENEDOR VISUAL PACK VE-1</t>
  </si>
  <si>
    <t>CONTENEDOR TRIANGULAR 5CM ALTURA</t>
  </si>
  <si>
    <t>CONTENEDOR TRIANGULAR 7CM ALTURA</t>
  </si>
  <si>
    <t>DARNEL PORTAHUEVO CODORNIZ CR. 24U X 500</t>
  </si>
  <si>
    <t>0053DAR00031</t>
  </si>
  <si>
    <t>CONTENEDOR VISUAL PACK VC-1</t>
  </si>
  <si>
    <t>DARNEL VISUAL PACK CUPCAKE MUFFINS INDIVIDUAL</t>
  </si>
  <si>
    <t>0053ROT02940</t>
  </si>
  <si>
    <t>BLISTER 2941 S/FUROS</t>
  </si>
  <si>
    <t>0053ZAP00002</t>
  </si>
  <si>
    <t>BLISTER PORCION CH.TRIANGULO</t>
  </si>
  <si>
    <t>0053ZAP00007</t>
  </si>
  <si>
    <t>BLISTER ZT-7 50 SANDWICHES</t>
  </si>
  <si>
    <t>0053ZAP00008</t>
  </si>
  <si>
    <t>BLISTER ZT-8 24 SANDWICHS</t>
  </si>
  <si>
    <t>0053ZAP01000</t>
  </si>
  <si>
    <t>BLISTER ZF1000</t>
  </si>
  <si>
    <t>0053ZAP01560</t>
  </si>
  <si>
    <t>BLISTER OPS 1560</t>
  </si>
  <si>
    <t>0053ZAP01561</t>
  </si>
  <si>
    <t>BLISTER OPS 1560 (X300)</t>
  </si>
  <si>
    <t>0053ZAP01570</t>
  </si>
  <si>
    <t>BLISTER OPS 1570</t>
  </si>
  <si>
    <t>0053ZAP02050</t>
  </si>
  <si>
    <t>BLISTER OPS 2050 SIMP X 6</t>
  </si>
  <si>
    <t>0053ZAP02051</t>
  </si>
  <si>
    <t>BLISTER OPS 2050 SIMPX6 (X300)</t>
  </si>
  <si>
    <t>0053ZAP02060</t>
  </si>
  <si>
    <t>BLISTER OPS 2060 TRIP X 6</t>
  </si>
  <si>
    <t>0053ZAP02062</t>
  </si>
  <si>
    <t>BLISTER OPS 2060 TRIP X6 (X300)</t>
  </si>
  <si>
    <t>0053ZAP02095</t>
  </si>
  <si>
    <t>BLISTER OPS 2095</t>
  </si>
  <si>
    <t>0053ZAP02450</t>
  </si>
  <si>
    <t>BLISTER OPS 2450 SIMP X 12</t>
  </si>
  <si>
    <t>0053ZAP02475</t>
  </si>
  <si>
    <t>BLISTER OPS 2475 TRIP X 12</t>
  </si>
  <si>
    <t>0053ZAP02508</t>
  </si>
  <si>
    <t>BLISTER OPS 2508</t>
  </si>
  <si>
    <t>0053ZAP03208</t>
  </si>
  <si>
    <t>BLISTER OPS 3208</t>
  </si>
  <si>
    <t>0054BAS00009</t>
  </si>
  <si>
    <t>BASE ZT 9 NEGRA</t>
  </si>
  <si>
    <t>0054BAS00014</t>
  </si>
  <si>
    <t>BASE ZT-14 28 X 15 CM.</t>
  </si>
  <si>
    <t>0054BAS00020</t>
  </si>
  <si>
    <t>BASE BR 20</t>
  </si>
  <si>
    <t>0054BAS00024</t>
  </si>
  <si>
    <t>BASE BR 24</t>
  </si>
  <si>
    <t>0054BAS00026</t>
  </si>
  <si>
    <t>BASE BR 26</t>
  </si>
  <si>
    <t>0054BAS00029</t>
  </si>
  <si>
    <t>BASE BR 29</t>
  </si>
  <si>
    <t>BANDEJA REDONDA NEGRA 4 DIV CON TAPA CRISTAL</t>
  </si>
  <si>
    <t>BASE TORTERA NEGRA 17 CM / DOMO CIRCULAR 8 CMCAJ X50</t>
  </si>
  <si>
    <t>BASE TORTERA NEGRA 17CM / DOMO CIRCULAR 10 CM CAJ X50</t>
  </si>
  <si>
    <t>TORTERA 15.5 CM X 8CM ALT. BASE NEGRA CONJUNTO</t>
  </si>
  <si>
    <t>TORTERA 18.5 CM X 8 CM ALT BASE NEGRA CONJUNTO</t>
  </si>
  <si>
    <t>BASE TORTERA NEGRA 18.5 CM / HONDA 5 CIRCULAR CAJ X50</t>
  </si>
  <si>
    <t>TORTERA RECTANGULAR BASE NEGRA Y TAPA CRISTAL 10 CM VISUALDOMO</t>
  </si>
  <si>
    <t>0054TAP00009</t>
  </si>
  <si>
    <t>TAPA ZT 9 MINI</t>
  </si>
  <si>
    <t>0054TAP00014</t>
  </si>
  <si>
    <t>TAPA ZT-14 12 CM</t>
  </si>
  <si>
    <t>0054TAP0020A</t>
  </si>
  <si>
    <t>TAPA TR 20 FAC.</t>
  </si>
  <si>
    <t>0054TAP0024A</t>
  </si>
  <si>
    <t>TAPA TR 24 ALTA</t>
  </si>
  <si>
    <t>0054TAP0024B</t>
  </si>
  <si>
    <t>TAPA TR 24 BAJA</t>
  </si>
  <si>
    <t>0054TAP0024M</t>
  </si>
  <si>
    <t>TAPA TR 24 MEDIA</t>
  </si>
  <si>
    <t>0054TAP0026A</t>
  </si>
  <si>
    <t>TAPA TR 26 ALTA</t>
  </si>
  <si>
    <t>0054TAP0026B</t>
  </si>
  <si>
    <t>TAPA TR 26 BAJA</t>
  </si>
  <si>
    <t>0054TAP0029B</t>
  </si>
  <si>
    <t>TAPA TR 29 BAJA</t>
  </si>
  <si>
    <t>0054TAP0030A</t>
  </si>
  <si>
    <t>TAPA TR 29 ALTA</t>
  </si>
  <si>
    <t>0054TOR00016</t>
  </si>
  <si>
    <t>TORTERA RECT. ZT-16 T/B</t>
  </si>
  <si>
    <t>0054TOR00019</t>
  </si>
  <si>
    <t>TORTERA PORCION. ZT-19 T/B</t>
  </si>
  <si>
    <t>0054TOR0022A</t>
  </si>
  <si>
    <t>TORTERA ALTA CP-T 26</t>
  </si>
  <si>
    <t>0054TOR0022B</t>
  </si>
  <si>
    <t>TORTERA BAJA CP-T 26</t>
  </si>
  <si>
    <t>0061BANA0050</t>
  </si>
  <si>
    <t>BANDEJA ALPAC F50</t>
  </si>
  <si>
    <t>0061BANA0100</t>
  </si>
  <si>
    <t>BANDEJA ALPAC F100</t>
  </si>
  <si>
    <t>0061BANA1050</t>
  </si>
  <si>
    <t>TAPA ALPAC F50</t>
  </si>
  <si>
    <t>0061BANA1100</t>
  </si>
  <si>
    <t>TAPA ALPAC F100</t>
  </si>
  <si>
    <t>0061BANF0075</t>
  </si>
  <si>
    <t>BANDEJA ALPAC F75</t>
  </si>
  <si>
    <t>0061BANF1075</t>
  </si>
  <si>
    <t>TAPA ALPAC F75</t>
  </si>
  <si>
    <t>0061BANR0007</t>
  </si>
  <si>
    <t>BUDINERA ALUMINIO REF 470</t>
  </si>
  <si>
    <t>0061BANR0008</t>
  </si>
  <si>
    <t>BUDINERA ALUMINIO R8</t>
  </si>
  <si>
    <t>0061DAR00001</t>
  </si>
  <si>
    <t>PACK BANDEJAS DA5-40oz 1150 ML X 10 UNID B/T</t>
  </si>
  <si>
    <t>BANDEJA RECTANG BUDIN INGLES 20oz SIN/TAP</t>
  </si>
  <si>
    <t>BANDEJA RECTANG CHICA DA12-8oz 220 ML C/TAPA</t>
  </si>
  <si>
    <t>BANDEJA RECTANG GRANDE DA7-24oz C/TAPA</t>
  </si>
  <si>
    <t>BANDEJA OVALADA GRANDE DAY40-136oz 4000 ML</t>
  </si>
  <si>
    <t>BANDEJA RECTANG DA7-20oz S/TAPA</t>
  </si>
  <si>
    <t>BANDEJA RECTANG CHICA DSM-4.5oz C/TAPA</t>
  </si>
  <si>
    <t>BANDEJA RECTANG GRANDE DA2-32oz 1000 ML C/TAPA</t>
  </si>
  <si>
    <t>BANDEJA RECTANG GRANDE DA2-32oz 1000ML S/TAPA</t>
  </si>
  <si>
    <t>BANDEJA RECTANG MEDIANA DA6-16oz C/TAPA</t>
  </si>
  <si>
    <t>BANDEJA RECTANG MEDIANA DA6-16oz S/TAPA</t>
  </si>
  <si>
    <t>BANDEJA RECTANG GRANDE DA40-136oz 4000 ML</t>
  </si>
  <si>
    <t>BANDEJA ALUMINIO 16 OZ (480CC) F50</t>
  </si>
  <si>
    <t>BANDEJA ALUMINIO 24 OZ (720CC) F75</t>
  </si>
  <si>
    <t>BANDEJA DE ALUMINIO 28 OZ (840CC) F100</t>
  </si>
  <si>
    <t>BANDEJA DE ALUMINIO REC 64 OZ (1920CC) F200</t>
  </si>
  <si>
    <t>FUENTE RECTANG DA5-40oz 1150 ML S/TAPA</t>
  </si>
  <si>
    <t>FUENTE RECTANG DA5-40oz 1150 ML C/TAPA</t>
  </si>
  <si>
    <t>FUENTE RECTANG DA8-48oz 1500 ML S/TAPA</t>
  </si>
  <si>
    <t>FUENTE RECTANG GRANDE DA9-68oz 2000 ML C/TAPA</t>
  </si>
  <si>
    <t>FUENTE RECTANG GRANDE DA9-68oz S/TAPA</t>
  </si>
  <si>
    <t>FUENTE RECTANG DA8-48oz 1500 ML C/TAPA</t>
  </si>
  <si>
    <t>PACK BANDEJA DA12-8oz 220 ML X10 UNI BASEY TAPA</t>
  </si>
  <si>
    <t>PACK BANDEJA DA6-16oz 500 ML X10 UNI BASE Y TAPA</t>
  </si>
  <si>
    <t>PACK BANDEJA DA7-24oz 700 ML X10 UNI BASE Y TAPA</t>
  </si>
  <si>
    <t>PLATO REDONDO PROFUNDO 21 CM DR8-28oz C/TAPA</t>
  </si>
  <si>
    <t>PLATO REDONDO PROFUNDO CHICO 9CM-3.5oz S/TAPA</t>
  </si>
  <si>
    <t>TAPA CRISTAL BANDEJA ALUMINIO DA9-45oz</t>
  </si>
  <si>
    <t>0062PAL00012</t>
  </si>
  <si>
    <t>PLATO ALUMINIO 12</t>
  </si>
  <si>
    <t>0062PAL00014</t>
  </si>
  <si>
    <t>PLATO ALUMINIO 14</t>
  </si>
  <si>
    <t>0062PAL00017</t>
  </si>
  <si>
    <t>PLATO ALUMINIO 15</t>
  </si>
  <si>
    <t>0062PAL00021</t>
  </si>
  <si>
    <t>PLATO ALUMINIO 21</t>
  </si>
  <si>
    <t>0062PAL00023</t>
  </si>
  <si>
    <t>PLATO ALUMINIO 23</t>
  </si>
  <si>
    <t>0062PAL00023BAJA</t>
  </si>
  <si>
    <t>ARTICULO DADO DE BAJA POR ESTAR DUPLICADO</t>
  </si>
  <si>
    <t>0062PAL00026</t>
  </si>
  <si>
    <t>PLATO ALUMINIO 26</t>
  </si>
  <si>
    <t>0063CEN00001</t>
  </si>
  <si>
    <t>CENICERO DE ALUMINO</t>
  </si>
  <si>
    <t>ROLLO ALUMINIO 30CM X100 MTS C/DISP.</t>
  </si>
  <si>
    <t>ROLLO ALUMINIO 30 CM X 4MTS</t>
  </si>
  <si>
    <t>ROLLO ALUMINIO 30 CM X 7.5 MTS</t>
  </si>
  <si>
    <t>ROLLO ALUMINIO 45 CM Y 4 MTS</t>
  </si>
  <si>
    <t>ROLLO ALUMINIO 45 CM Y 65MTS C/DISP.</t>
  </si>
  <si>
    <t>ROLLO ALUMINIO 45 CM X 7.5 MTS</t>
  </si>
  <si>
    <t>0063ROL00001</t>
  </si>
  <si>
    <t>ROLLOS ALUMINIO X 1KG.</t>
  </si>
  <si>
    <t>0076GUA00002</t>
  </si>
  <si>
    <t>GUANTES PLASTICOS</t>
  </si>
  <si>
    <t>0076GUA00006</t>
  </si>
  <si>
    <t>GUANTES DE LATEX</t>
  </si>
  <si>
    <t>0076TOA00050</t>
  </si>
  <si>
    <t>TOALLA ABSORB. AC-40</t>
  </si>
  <si>
    <t>0077CIA00024</t>
  </si>
  <si>
    <t>CINTA PLAST. ADHE 24 MM.</t>
  </si>
  <si>
    <t>0077CIA00048</t>
  </si>
  <si>
    <t>CINTA PLAST. ADHE 48 MM.</t>
  </si>
  <si>
    <t>0077HIA00003</t>
  </si>
  <si>
    <t>HILO ALGODON 3 HEBRAS</t>
  </si>
  <si>
    <t>0077HIA00610</t>
  </si>
  <si>
    <t>HILO ARTICULO 610</t>
  </si>
  <si>
    <t>0077HIP00002</t>
  </si>
  <si>
    <t>HILO CINTA C-140 ECONOMICA</t>
  </si>
  <si>
    <t>0078PAL00004</t>
  </si>
  <si>
    <t>ESCARBADIENTES ENSOBRADOS X 1</t>
  </si>
  <si>
    <t>0078VAR00001</t>
  </si>
  <si>
    <t>GANCHITOS PLASTICOS</t>
  </si>
  <si>
    <t>0078VAR00033</t>
  </si>
  <si>
    <t>LAMINA DE TEFLON PARA HORNO</t>
  </si>
  <si>
    <t>0079BOIPVC30</t>
  </si>
  <si>
    <t>PPHA/36 Bob 235 Tapa Bandeja MAP</t>
  </si>
  <si>
    <t>0079BOIPVC31</t>
  </si>
  <si>
    <t>PPHA/36 Bob 310 Tapa Bandeja MAP</t>
  </si>
  <si>
    <t>0079BOIPVC32</t>
  </si>
  <si>
    <t>PPHA/36 Bob 360 Tapa Bandeja MAP</t>
  </si>
  <si>
    <t>0079BOISB003</t>
  </si>
  <si>
    <t>SEDA CORTADO EN HOJAS</t>
  </si>
  <si>
    <t>0080GENKRA01</t>
  </si>
  <si>
    <t>BOBINA IMP. KRAFT</t>
  </si>
  <si>
    <t>0080GENPRI02</t>
  </si>
  <si>
    <t>BOBINA IMP. PRIMERA 2 COLORES</t>
  </si>
  <si>
    <t>0081NOR00004</t>
  </si>
  <si>
    <t>BOLSA BAGUETTE VARIAS</t>
  </si>
  <si>
    <t>0081NOR00005</t>
  </si>
  <si>
    <t>BOLSA BAGUETTE C/V VARIAS</t>
  </si>
  <si>
    <t>0081NOR00006</t>
  </si>
  <si>
    <t>BOLSA PAN DE CAMPO C/V VARIAS</t>
  </si>
  <si>
    <t>0081NOR00007</t>
  </si>
  <si>
    <t>BOLSA PAN DE CAMPO VARIAS</t>
  </si>
  <si>
    <t>0082ALL00001</t>
  </si>
  <si>
    <t>PAPEL IMPRESO EN HOJAS</t>
  </si>
  <si>
    <t>PAPEL ALUMINIO IMP GEN 25 x 35 cm (x 5 KG)</t>
  </si>
  <si>
    <t>PAPEL ALUMINIO PERSONALIZADO (x 5 KG)</t>
  </si>
  <si>
    <t>PAPEL ALUMINO LISO 25 x 35cm (x 5 KG)</t>
  </si>
  <si>
    <t>PAPEL ALUMINO LISO 34 x 50cm (x 5 KG)</t>
  </si>
  <si>
    <t>PAPEL ALUMINO IMP GEN 34 x 50cm (x 5 KG)</t>
  </si>
  <si>
    <t>PAPEL PARAFINADO LISO 40 X 40 cm (x 1 KG)</t>
  </si>
  <si>
    <t>PAPEL PARAFINADO LISO 35 x 40 cm (x 5 KG)</t>
  </si>
  <si>
    <t>PAPEL PARAFINADO GEN 35 x 40 cm (x 5 KG)</t>
  </si>
  <si>
    <t>PAPEL PARAFINADO PERSONALIZADO (x 5 KG)</t>
  </si>
  <si>
    <t>0083CAR00010</t>
  </si>
  <si>
    <t>CAJA POTE 1KG 49 Oz</t>
  </si>
  <si>
    <t>52DAR00048</t>
  </si>
  <si>
    <t>0018DARBB0115</t>
  </si>
  <si>
    <t>RPN02011501X</t>
  </si>
  <si>
    <t>0018DARBBK115</t>
  </si>
  <si>
    <t>RPN02011502X</t>
  </si>
  <si>
    <t>0018DARBKS045</t>
  </si>
  <si>
    <t>RPN02045102XTE</t>
  </si>
  <si>
    <t>0018DARBB0049</t>
  </si>
  <si>
    <t>RPN02049101XC</t>
  </si>
  <si>
    <t>0018DARBB0072</t>
  </si>
  <si>
    <t>RPN0207201X</t>
  </si>
  <si>
    <t>0018DARBBK072</t>
  </si>
  <si>
    <t>RPN0207202X</t>
  </si>
  <si>
    <t>PORTA COMIDAS DE EXPANDIDO BIO</t>
  </si>
  <si>
    <t>D403103LNW</t>
  </si>
  <si>
    <t>D403103NW</t>
  </si>
  <si>
    <t>D405103NW</t>
  </si>
  <si>
    <t>D405303NW</t>
  </si>
  <si>
    <t>0034DARPB001</t>
  </si>
  <si>
    <t>0034DARPB002</t>
  </si>
  <si>
    <t>0034DARPB003</t>
  </si>
  <si>
    <t>0034DARPB004</t>
  </si>
  <si>
    <t>VEN2140-Cons. Precios de venta</t>
  </si>
  <si>
    <t>Articulo</t>
  </si>
  <si>
    <t>Nombre</t>
  </si>
  <si>
    <t>Lista</t>
  </si>
  <si>
    <t>Vigencia hasta</t>
  </si>
  <si>
    <t>Conimpuesto</t>
  </si>
  <si>
    <t>Fecha act.</t>
  </si>
  <si>
    <t>Moneda</t>
  </si>
  <si>
    <t>Precio Actual</t>
  </si>
  <si>
    <t>MonedaAnterior</t>
  </si>
  <si>
    <t>PrecioAnterior</t>
  </si>
  <si>
    <t>Variación Absoluta</t>
  </si>
  <si>
    <t>Variación Porcentual</t>
  </si>
  <si>
    <t>LINEA</t>
  </si>
  <si>
    <t>MATERIAL DE PRODUCTOS</t>
  </si>
  <si>
    <t>TIPO DE MANUFACTURA</t>
  </si>
  <si>
    <t>FAMILIA DE PRODUCTOS</t>
  </si>
  <si>
    <t>CANTIDAD X UM</t>
  </si>
  <si>
    <t>POSICION ARANCELARIA</t>
  </si>
  <si>
    <t>1, LISTA GENERAL</t>
  </si>
  <si>
    <t>PS</t>
  </si>
  <si>
    <t>007, Papeles</t>
  </si>
  <si>
    <t>001, Papel</t>
  </si>
  <si>
    <t>001, Manufactured Group Locall</t>
  </si>
  <si>
    <t>001, Bolsas de Papel</t>
  </si>
  <si>
    <t>1, 1</t>
  </si>
  <si>
    <t>P01, 480256</t>
  </si>
  <si>
    <t>P02, 480530</t>
  </si>
  <si>
    <t>P03, 480620</t>
  </si>
  <si>
    <t>P04, 480257</t>
  </si>
  <si>
    <t>059, Papel en Hojas</t>
  </si>
  <si>
    <t>P05, 480429</t>
  </si>
  <si>
    <t>1000, 1000</t>
  </si>
  <si>
    <t>P06, 481940</t>
  </si>
  <si>
    <t>250, 250</t>
  </si>
  <si>
    <t>003, Purchased from 3rd Party</t>
  </si>
  <si>
    <t>002, Servilletas/Papel Cocina</t>
  </si>
  <si>
    <t>2000, 2000</t>
  </si>
  <si>
    <t>P07, 481830</t>
  </si>
  <si>
    <t xml:space="preserve"> </t>
  </si>
  <si>
    <t>10000, 10000</t>
  </si>
  <si>
    <t>500, 500</t>
  </si>
  <si>
    <t>003, Moldes de Papel</t>
  </si>
  <si>
    <t>100, 100</t>
  </si>
  <si>
    <t>P08, 482390</t>
  </si>
  <si>
    <t>200, 200</t>
  </si>
  <si>
    <t>P09, 482360</t>
  </si>
  <si>
    <t>008, Cartón</t>
  </si>
  <si>
    <t>004, Carton en Hojas</t>
  </si>
  <si>
    <t>P10, 480442</t>
  </si>
  <si>
    <t>005, Bandejas de Papel / Carto</t>
  </si>
  <si>
    <t>P11, 482370</t>
  </si>
  <si>
    <t>600, 600</t>
  </si>
  <si>
    <t>400, 400</t>
  </si>
  <si>
    <t>008, Bases de Carton</t>
  </si>
  <si>
    <t>010, Platos de Carton</t>
  </si>
  <si>
    <t>50, 50</t>
  </si>
  <si>
    <t>011, Cajas Carton</t>
  </si>
  <si>
    <t>P12, 481920</t>
  </si>
  <si>
    <t>012, Rollos Carton</t>
  </si>
  <si>
    <t>P13, 480810</t>
  </si>
  <si>
    <t>002, Manufactured Group</t>
  </si>
  <si>
    <t>013, Estuches de cartulina</t>
  </si>
  <si>
    <t>P14, 481820</t>
  </si>
  <si>
    <t>CAJA PARA ALIMENTOS DARNEL NATURALS 49 Oz BLANCO PQX50 CAJX200</t>
  </si>
  <si>
    <t>CAJA PARA ALIMENTOS DARNEL NATURALS 72 Oz BLANCO BLX100</t>
  </si>
  <si>
    <t>CAJA PARA ALIMENTOS DARNEL NATURALS 115 Oz BLANCO BLX100 UNID</t>
  </si>
  <si>
    <t>CAJA PARA ALIMENTOS DARNEL NATURALS 72 Oz MOCA BLX100</t>
  </si>
  <si>
    <t>CAJA PARA ALIMENTOS DARNEL NATURALS 115 Oz MOCA BLX100</t>
  </si>
  <si>
    <t>CAJA ALIMENTOS SAFETYPLUS DARNEL NATURALS 45 Oz MOCA PQX50 CAJX200</t>
  </si>
  <si>
    <t>300, 300</t>
  </si>
  <si>
    <t>450, 450</t>
  </si>
  <si>
    <t>011, Otros</t>
  </si>
  <si>
    <t>002, Polietileno</t>
  </si>
  <si>
    <t>014, Bolsas</t>
  </si>
  <si>
    <t>P15, 392321</t>
  </si>
  <si>
    <t>80, 80</t>
  </si>
  <si>
    <t>015, Lamina</t>
  </si>
  <si>
    <t>P16, 392190</t>
  </si>
  <si>
    <t>004, PVC Automatico</t>
  </si>
  <si>
    <t>003, PVCF</t>
  </si>
  <si>
    <t>016, Wrap Alimentos</t>
  </si>
  <si>
    <t>P17, 392043</t>
  </si>
  <si>
    <t>016, PVC 1400</t>
  </si>
  <si>
    <t>014, PVC 500</t>
  </si>
  <si>
    <t>015, PVC 1000</t>
  </si>
  <si>
    <t>018, PVC 12000</t>
  </si>
  <si>
    <t>P18, 392010</t>
  </si>
  <si>
    <t>013, PVC 300</t>
  </si>
  <si>
    <t>004, PE</t>
  </si>
  <si>
    <t>017, Film</t>
  </si>
  <si>
    <t>002, XPS Regulares</t>
  </si>
  <si>
    <t>005, GPPST</t>
  </si>
  <si>
    <t>019, Bandejas Espumadas Standa</t>
  </si>
  <si>
    <t>P19, 392390</t>
  </si>
  <si>
    <t>001, XPS Absorvente</t>
  </si>
  <si>
    <t>018, Bandejas Espumadas Drysta</t>
  </si>
  <si>
    <t>020, Bases Espumadas</t>
  </si>
  <si>
    <t>P21, 392410</t>
  </si>
  <si>
    <t>P22, 392391</t>
  </si>
  <si>
    <t>003, XPS Portacomidas</t>
  </si>
  <si>
    <t>021, Portacomidas Espumados</t>
  </si>
  <si>
    <t>0034DARC0006</t>
  </si>
  <si>
    <t>+CONTENEDOR ESPUMADO 6 Oz BLANCO PQX20 CJ X1000</t>
  </si>
  <si>
    <t>0034DARC0016</t>
  </si>
  <si>
    <t>+CONTENEDOR ESPUMADO 16 Oz BLANCO PQX20 CAJX500</t>
  </si>
  <si>
    <t>PORTACOMIDA WAVE BIODEGRADABLE JL-1 DARNEL BIO BLX200</t>
  </si>
  <si>
    <t>PORTACOMIDAS WAVE BIODEGRADABLE J-1M DARNEL BIO BLX200</t>
  </si>
  <si>
    <t>PORTACOMIDAS WAVE BIODEGRADABLE P-1 DARNEL BIO BLX200</t>
  </si>
  <si>
    <t>PORTACOMIDAS WAVE BIODEGRADABLE P-3 CON 3 DIVISIONES DARNEL BIO BLX200</t>
  </si>
  <si>
    <t>0034DARPBE006</t>
  </si>
  <si>
    <t>BOWL ESPUMADO 6 Oz BLANCO PQX20 CAJ X1000</t>
  </si>
  <si>
    <t>0034DARPBE012</t>
  </si>
  <si>
    <t>BOWL ESPUMADO 12 Oz BLANCO PQX20 CAJX1000</t>
  </si>
  <si>
    <t>0034DARPBE108</t>
  </si>
  <si>
    <t>BOWL ESPUMADO BAJO 8 Oz PQX20 CAJX1000</t>
  </si>
  <si>
    <t>0034DARPW0015</t>
  </si>
  <si>
    <t>PLATO MWAVE 15.5 CM BLANCO PQX20 CAJ 480</t>
  </si>
  <si>
    <t>480, 480</t>
  </si>
  <si>
    <t>0034DARPW0023</t>
  </si>
  <si>
    <t>PLATO WAVE 23 CM BLANCO PQX20 CAJ 480</t>
  </si>
  <si>
    <t>0034DARPWH05</t>
  </si>
  <si>
    <t>PLATO WAVE 5 Oz HONDO BLANCO PQX20 CAJX480</t>
  </si>
  <si>
    <t>0035DAR00008</t>
  </si>
  <si>
    <t>VASO ESPUMADO 8 Oz BLANCO PQX20 CAJX1000</t>
  </si>
  <si>
    <t>0035DARB0006</t>
  </si>
  <si>
    <t>VASO ESPUMADO 6 Oz BIO PAQ X20 UNI CAJ X1000</t>
  </si>
  <si>
    <t>0035DARBT0006</t>
  </si>
  <si>
    <t>TAPA RIGIDA SIN PERFORACION PARA VASO 6 Oz Y CONTENEDOR 4 Oz OPAL PQX1</t>
  </si>
  <si>
    <t>008, HIPST</t>
  </si>
  <si>
    <t>033, Vasos</t>
  </si>
  <si>
    <t>022, Vaso Espumado</t>
  </si>
  <si>
    <t>006, PP</t>
  </si>
  <si>
    <t>023, Tapa Vaso</t>
  </si>
  <si>
    <t>P23, 342910</t>
  </si>
  <si>
    <t>010, Plasticos</t>
  </si>
  <si>
    <t>007, GPPSI</t>
  </si>
  <si>
    <t>024, Cubiertos</t>
  </si>
  <si>
    <t>3000, 3000</t>
  </si>
  <si>
    <t>5000, 5000</t>
  </si>
  <si>
    <t>025, Pitillos</t>
  </si>
  <si>
    <t>P24, 391732</t>
  </si>
  <si>
    <t>026, Cubiertos Ensobrados</t>
  </si>
  <si>
    <t>027, Cubiertos Darnel Bistro</t>
  </si>
  <si>
    <t>240, 240</t>
  </si>
  <si>
    <t>028, Petites Murano</t>
  </si>
  <si>
    <t>288, 288</t>
  </si>
  <si>
    <t>016, Madera</t>
  </si>
  <si>
    <t>029, Cubiertos Tami</t>
  </si>
  <si>
    <t>0041TAMB0001</t>
  </si>
  <si>
    <t>TENEDOR TAMI BIO CLEAN TOUCH NATURAL PQX20 CAJ X1000</t>
  </si>
  <si>
    <t>0041TAMB0002</t>
  </si>
  <si>
    <t>CUCHILLO TAMI BIO CLEAN TOUCH NATURAL PQX20 CAJX1000</t>
  </si>
  <si>
    <t>0041TAMB0003</t>
  </si>
  <si>
    <t>CUCHARA DULCERA TAMI BIO CLEAN TOUCH NATURAL PQX20 CAJX1000</t>
  </si>
  <si>
    <t>180, 180</t>
  </si>
  <si>
    <t>030, Platos</t>
  </si>
  <si>
    <t>009, Bagazo</t>
  </si>
  <si>
    <t>800, 800</t>
  </si>
  <si>
    <t>P25, 392400</t>
  </si>
  <si>
    <t>010, HIPST</t>
  </si>
  <si>
    <t>009, Colombia</t>
  </si>
  <si>
    <t>032, Platos Tami</t>
  </si>
  <si>
    <t>2400, 2400</t>
  </si>
  <si>
    <t>034, Vasos Murano</t>
  </si>
  <si>
    <t>625, 625</t>
  </si>
  <si>
    <t>035, Vasos Plásticos Color</t>
  </si>
  <si>
    <t>144, 144</t>
  </si>
  <si>
    <t>011, PET</t>
  </si>
  <si>
    <t>P26, 392310</t>
  </si>
  <si>
    <t>0043DAR70007</t>
  </si>
  <si>
    <t>VASO PLASTICO COLOR 7 Oz AMARILLO VIVO PQX12 CAJ X480</t>
  </si>
  <si>
    <t>0043DAR70008</t>
  </si>
  <si>
    <t>VASO PLASTICO 7 Oz ROJO VIVO 40PQ X12 CAJ X480</t>
  </si>
  <si>
    <t>0043DAR70009</t>
  </si>
  <si>
    <t>VASO PLASTICO COLOR 7 Oz AZUL VIVO PQX12 CAJX480</t>
  </si>
  <si>
    <t>0043DAR70010</t>
  </si>
  <si>
    <t>VASO PLASTICO COLOR 7 Oz VERDE VIVO PQX12 CAJX480</t>
  </si>
  <si>
    <t>0043DARRC010</t>
  </si>
  <si>
    <t>VASO RESQ 10 Oz CRISTAL PQX12 CAJ X300</t>
  </si>
  <si>
    <t>040, Contenedores y tapas</t>
  </si>
  <si>
    <t>036, Vasos Tami</t>
  </si>
  <si>
    <t>037, Copas Venecianas Pet</t>
  </si>
  <si>
    <t>038, Botellas</t>
  </si>
  <si>
    <t>150, 150</t>
  </si>
  <si>
    <t>110, 110</t>
  </si>
  <si>
    <t>96, 96</t>
  </si>
  <si>
    <t>48, 48</t>
  </si>
  <si>
    <t>90, 90</t>
  </si>
  <si>
    <t>24, 24</t>
  </si>
  <si>
    <t>18, 18</t>
  </si>
  <si>
    <t>039, Bandejas y Tapas</t>
  </si>
  <si>
    <t>041, Bandejas</t>
  </si>
  <si>
    <t>012, BOPS</t>
  </si>
  <si>
    <t>540, 540</t>
  </si>
  <si>
    <t>320, 320</t>
  </si>
  <si>
    <t>140, 140</t>
  </si>
  <si>
    <t>120, 120</t>
  </si>
  <si>
    <t>360, 360</t>
  </si>
  <si>
    <t>700, 700</t>
  </si>
  <si>
    <t>25, 25</t>
  </si>
  <si>
    <t>330, 330</t>
  </si>
  <si>
    <t>375, 375</t>
  </si>
  <si>
    <t>4900, 4900</t>
  </si>
  <si>
    <t>3500, 3500</t>
  </si>
  <si>
    <t>4000, 4000</t>
  </si>
  <si>
    <t>720, 720</t>
  </si>
  <si>
    <t>044, Copas Souffle</t>
  </si>
  <si>
    <t>1300, 1300</t>
  </si>
  <si>
    <t>043, Roundpack Pet</t>
  </si>
  <si>
    <t>042, Contenedor Pet Minipack</t>
  </si>
  <si>
    <t>2500, 2500</t>
  </si>
  <si>
    <t>045, Copas Souffle Tapas</t>
  </si>
  <si>
    <t>048, Contenedores Doble Uso</t>
  </si>
  <si>
    <t>046, Contenedores Safetyplus</t>
  </si>
  <si>
    <t>0052DARBN100</t>
  </si>
  <si>
    <t>BOWL TOKYO S NEGRO PQX100 CAJX200</t>
  </si>
  <si>
    <t>0052DARC0001</t>
  </si>
  <si>
    <t>CLEAR 4.2 X 3.1 RESQ HEART CONTAINER WITH SEPARATE LIQ PQX50 CAJX1000</t>
  </si>
  <si>
    <t>0052DARC0002</t>
  </si>
  <si>
    <t>&amp;CLEAR 5.1 X 4.3 RESQ HEART CONTAINER WITH SEPARATE LID PQX50 CAJX750</t>
  </si>
  <si>
    <t>750, 750</t>
  </si>
  <si>
    <t>0052DARPC0032</t>
  </si>
  <si>
    <t>CONTENEDOR REUTILIZABLE CIRCULAR PROTOGO 7 - 32 Oz NEGRO C/T X100</t>
  </si>
  <si>
    <t>0052DARPC0064</t>
  </si>
  <si>
    <t>CONTENEDOR REUTILIZABLE CIRCULAR PROTOGO 8.5 - 64 Oz NEGRO X100</t>
  </si>
  <si>
    <t>0052DARPR008</t>
  </si>
  <si>
    <t>CONTENEDOR REUTILIZABLE RECTANGULAR PROTOGO 5X4 8Oz NEGRO C/T X100</t>
  </si>
  <si>
    <t>0052DARPR012</t>
  </si>
  <si>
    <t>PROTOGO REUSABLE CONTAINER 6X5 12 Oz RECT BLACK W/CLEAR TID 100</t>
  </si>
  <si>
    <t>0052DARPR024</t>
  </si>
  <si>
    <t>PROTOGO REUSABLE CONTAINER 8X6 24 Oz RECT BLACK W/CLEAR LID 100</t>
  </si>
  <si>
    <t>0052DARPR130</t>
  </si>
  <si>
    <t>CONTENEDOR REUTILIZABLE RECTANGULAR PROTOGO 12X10 130 Oz NEGRO C/T 50</t>
  </si>
  <si>
    <t>0052DARPR200</t>
  </si>
  <si>
    <t>PROTOGO REUSABLE RECT CONTAINER 10X7 2/C SHALLOW BLACK W/CLEAR LID 100</t>
  </si>
  <si>
    <t>047, Selloplus Pet</t>
  </si>
  <si>
    <t>049, Contenedores Pet Misc</t>
  </si>
  <si>
    <t>050, Contenedor Pet Twist</t>
  </si>
  <si>
    <t>052, Portahuevos Pet</t>
  </si>
  <si>
    <t>051, Visualpack Pet</t>
  </si>
  <si>
    <t>520, 520</t>
  </si>
  <si>
    <t>350, 350</t>
  </si>
  <si>
    <t>054, Base Tortera</t>
  </si>
  <si>
    <t>055, Torteras</t>
  </si>
  <si>
    <t>60, 60</t>
  </si>
  <si>
    <t>014, Aluminio</t>
  </si>
  <si>
    <t>P27, 760110</t>
  </si>
  <si>
    <t>056, budinera</t>
  </si>
  <si>
    <t>020, BRASIL</t>
  </si>
  <si>
    <t>12, 12</t>
  </si>
  <si>
    <t>P31, 391910</t>
  </si>
  <si>
    <t>P20, 7616</t>
  </si>
  <si>
    <t>058, Rollo</t>
  </si>
  <si>
    <t>9, 9</t>
  </si>
  <si>
    <t>057, Varios</t>
  </si>
  <si>
    <t>P28, 392620</t>
  </si>
  <si>
    <t>P29, 401519</t>
  </si>
  <si>
    <t>P30, 481890</t>
  </si>
  <si>
    <t>015, Otros</t>
  </si>
  <si>
    <t>P33, 520710</t>
  </si>
  <si>
    <t>P34, 442190</t>
  </si>
  <si>
    <t>P35, 392690</t>
  </si>
  <si>
    <t>018, PELICULAS BARRERA</t>
  </si>
  <si>
    <t>P37, 392062</t>
  </si>
  <si>
    <t>P38, 760711</t>
  </si>
  <si>
    <t>VAJILLA DESCARTABLE BIO</t>
  </si>
  <si>
    <t>DB81102003</t>
  </si>
  <si>
    <t>DB82102003</t>
  </si>
  <si>
    <t>DB83102003</t>
  </si>
  <si>
    <t>CAJA PARA ALIMENTOS DARNEL NATURAL 115oz MOCA</t>
  </si>
  <si>
    <t>PORTACOMIDA JL-1  BIO</t>
  </si>
  <si>
    <t>PORTACOMIDA J-1  BIO</t>
  </si>
  <si>
    <t>PORTACOMIDA  P-1  BIO</t>
  </si>
  <si>
    <t>PORTACOMIDA P-3 (3 Div.)  BIO</t>
  </si>
  <si>
    <t>TAMI TENEDOR NATURAL  BIO  50P x 20u.</t>
  </si>
  <si>
    <t>TAMI CUCHILLO NATURAL  BIO  50P x 20u.</t>
  </si>
  <si>
    <t>TAMI CUCHARA DULCERA NATURAL  BIO  50P x 20u.</t>
  </si>
  <si>
    <t>VASO ESPUMADO 6 oz - BIO  paq x 20u CAJ x1000</t>
  </si>
  <si>
    <t>VASO ESPUMADO 8 oz - BIO  paq x 20u CAJ x1001</t>
  </si>
  <si>
    <t>D690603N</t>
  </si>
  <si>
    <t>BOWLS ESPUMADO 6oz BLANCO x 20u.</t>
  </si>
  <si>
    <t>BOWLS ESPUMADO BAJO 8oz BLANCO x 20u.</t>
  </si>
  <si>
    <t>BOWLS ESPUMADO 12oz BLANCO x 20u.</t>
  </si>
  <si>
    <t>CONTENEDOR ESPUMADO 6oz BLANCO x 20u</t>
  </si>
  <si>
    <t>D700601B</t>
  </si>
  <si>
    <t>D700801LB</t>
  </si>
  <si>
    <t>D701201B</t>
  </si>
  <si>
    <t>D700601N</t>
  </si>
  <si>
    <t>D701601NL</t>
  </si>
  <si>
    <t>CONTENEDOR ESPUMADO 16oz BLANCO x 20u</t>
  </si>
  <si>
    <t>CONTENEDOR ESPUMADO 4oz BLANCO x 20u</t>
  </si>
  <si>
    <t>VASO ESPUMADO 6 Oz BLANCO PQX40 CAJ X2000</t>
  </si>
  <si>
    <t>D690801N</t>
  </si>
  <si>
    <t>VASO ESPUMADO 8 Oz BLANCO PQX40 CAJ X2001</t>
  </si>
  <si>
    <t>VASO PET CRISTAL 10 OZ (300cc)</t>
  </si>
  <si>
    <t>D621000N</t>
  </si>
  <si>
    <t>D5105101NW</t>
  </si>
  <si>
    <t>D690602TNL</t>
  </si>
  <si>
    <t>DARNEL PLATO HONDO BLANCO 5oz x 20u.</t>
  </si>
  <si>
    <t>DARNEL PLATO BLANCO 15,5oz x 20u.</t>
  </si>
  <si>
    <t>D510601NW</t>
  </si>
  <si>
    <t xml:space="preserve">CONTENEDOR Reutiliz. Rectang. Negro  25,4 x 17,8cm CON TAPA </t>
  </si>
  <si>
    <t xml:space="preserve">CONTENEDOR Reutiliz. Rectang. Negro  30,5 x 25,4cm CON TAPA </t>
  </si>
  <si>
    <t xml:space="preserve">CONTENEDOR Reutiliz. Circular Negro  17,8 diam (32oz) CON TAPA </t>
  </si>
  <si>
    <t xml:space="preserve">CONTENEDOR Reutiliz. Circular Negro  21,6 diam (64)oz) CON TAPA </t>
  </si>
  <si>
    <t>DP4505040899S</t>
  </si>
  <si>
    <t>DP4506051299S</t>
  </si>
  <si>
    <t>DP4508062499S</t>
  </si>
  <si>
    <t>DP45100732299S</t>
  </si>
  <si>
    <t>DP45121013099S</t>
  </si>
  <si>
    <t>DP47073299S</t>
  </si>
  <si>
    <t>DP470856499S</t>
  </si>
  <si>
    <t xml:space="preserve">CONTENEDOR CORAZON 10,7 X 7,8 CM CON TAPA </t>
  </si>
  <si>
    <t>CONTENEDOR CORAZON 12,9 X 10,9 CM CON TAPA</t>
  </si>
  <si>
    <t>D76080400Q</t>
  </si>
  <si>
    <t>D76131100Q</t>
  </si>
  <si>
    <t>VASO PLASTICO COLOR 7oz AMARILLO  Paq. 12u.</t>
  </si>
  <si>
    <t>VASO PLASTICO COLOR 7oz AZUL  Paq. 12u.</t>
  </si>
  <si>
    <t>VASO PLASTICO COLOR 7oz VERDE  Paq. 12u.</t>
  </si>
  <si>
    <t>D610712</t>
  </si>
  <si>
    <t>D610732</t>
  </si>
  <si>
    <t>D610752</t>
  </si>
  <si>
    <t>D610762</t>
  </si>
  <si>
    <t>VASO PLASTICO COLOR 7oz ROJO  Paq. 12u.</t>
  </si>
  <si>
    <t xml:space="preserve">SAFETYPLUS BAJO RESQ 16oz NEGRO CON TAPA </t>
  </si>
  <si>
    <t>3 paq x 200 Un.</t>
  </si>
  <si>
    <t>4 paq x 100 Un.</t>
  </si>
  <si>
    <t>2 paq x 100 Un.</t>
  </si>
  <si>
    <t>370x200x120mm</t>
  </si>
  <si>
    <t>470x200x120mm</t>
  </si>
  <si>
    <t>CAJA PARA ALIMENTOS DARNEL NATURAL 26 Oz BLANCA PAQX50 Un.</t>
  </si>
  <si>
    <t>CAJA PARA ALIMENTOS DARNEL NATURAL 45 Oz MOCA PQX50 Un.</t>
  </si>
  <si>
    <t>CAJA P/ALIMENTOS SAFETYPLUS DARNEL NAT 66oz MOCA PQX50 Un.</t>
  </si>
  <si>
    <t>CAJA PEQUEÑA P/HAMBURGUESA DARNEL NATURAL MOCA PAQX50 Un.</t>
  </si>
  <si>
    <t>CAJA MEDIANA P/HAMBURGUESA DARNEL NATURAL MOCA PAQX50 Un.</t>
  </si>
  <si>
    <t>CAJA GRANDE P/HAMBURGUESA DARNEL NATURAL MOCA PAQX50 Un.</t>
  </si>
  <si>
    <t>CAJA P/ALIMENTOS SAFETYPLUS DARNEL NAT. 26oz MOCA PQX50 Un.</t>
  </si>
  <si>
    <t>CAJA P/ALIMENTOS SAFETYPLUS DARNEL NAT. 49oz MOCA PQX50 Un.</t>
  </si>
  <si>
    <t>TAPA CRISTAL 15.5 CM TOKYO/DOBLEUSO PAQ X50 Un.</t>
  </si>
  <si>
    <t>NUEVO</t>
  </si>
  <si>
    <t>TAPA SIN PERF.. p/VASO 6oz y CONTENEDOR 4oz OPAL x 100u</t>
  </si>
  <si>
    <t>TAPA SIN PERF. p/VASO 8oz y CONTENEDOR 4oz OPAL x 100u</t>
  </si>
  <si>
    <t>BASE 20.5cm x 12cm ALTURA 10cm Visualdomo RECT Resq NEGRO X50</t>
  </si>
  <si>
    <t>BASE 20.5cm X 12cm ALTURA 8cm Visualdomo RECT Resq NEGRA X50</t>
  </si>
  <si>
    <t>BASE RECT 21/16cm NEGRA C/DOMO 12 CRISTAL ALTA Visibilidad X50</t>
  </si>
  <si>
    <t xml:space="preserve">CONTENEDOR Reutiliz. Rectang. Negro (8oz) 12,7 x 10,2cm C/TAPA </t>
  </si>
  <si>
    <t xml:space="preserve">CONTENEDOR Reutiliz Rectang. Negro (12oz) 15,2 x 12,7cm C/TAPA </t>
  </si>
  <si>
    <t xml:space="preserve">CONTENEDOR Reutiliz. Rectang. Negro (24oz) 20,3 x 15,2cm C/TAPA </t>
  </si>
  <si>
    <t>CONTENEDOR REUTILIZABLE CIRCULAR 5.5 12oz NEGRO C/Tapa</t>
  </si>
  <si>
    <t>LINEA PROTOGO (POLIPROPILENO)</t>
  </si>
  <si>
    <t>PAPEL PARAFINADO</t>
  </si>
  <si>
    <t>PAPEL ALUMINIZADO</t>
  </si>
  <si>
    <t>CARTON - CARTULINA ANTIGRASA</t>
  </si>
  <si>
    <t>PAPEL BIOXIDO Y DESMOLDANTE</t>
  </si>
  <si>
    <t>PAPEL SEDA</t>
  </si>
  <si>
    <t>PVC LINEA TAMI</t>
  </si>
  <si>
    <t>PVC DARNEL 500 Mts.</t>
  </si>
  <si>
    <t>PVC DARNEL 1000 Mts.</t>
  </si>
  <si>
    <t>PVC DARNEL 1400 Mts.</t>
  </si>
  <si>
    <t>PVC LINEA DOMESTICA</t>
  </si>
  <si>
    <t>PVC LINEA BIODEGRADABLE</t>
  </si>
  <si>
    <t>CUBIERTOS DARNEL BISTROT</t>
  </si>
  <si>
    <t>CUBIERTOS TAMI</t>
  </si>
  <si>
    <t>VASOS MURANO</t>
  </si>
  <si>
    <t>PACK VASOS BICOLOR</t>
  </si>
  <si>
    <t>FILM PVC BIO</t>
  </si>
  <si>
    <t>BANDEJAS DE EXPANDIDO STANDARD</t>
  </si>
  <si>
    <t xml:space="preserve">COPAS </t>
  </si>
  <si>
    <t>DARNEL COPA VENECIA FLEX 12 OZ (Copia y Pie)</t>
  </si>
  <si>
    <t xml:space="preserve">POTES TAPA BISAGRA DARNEL </t>
  </si>
  <si>
    <t>DARNEL ROUND MINI PACK HV S (240CC)</t>
  </si>
  <si>
    <t>DARNEL ROUND MINI PACK HV M (390CC)</t>
  </si>
  <si>
    <t>DARNEL ROUND MINI PACK HV L (500CC)</t>
  </si>
  <si>
    <t>CONTENEDORES DOBLE USO BASE Y TAPA</t>
  </si>
  <si>
    <t>CONTENEDORES FORMA CORAZON</t>
  </si>
  <si>
    <t>CONTENEDORES PARA PORCION DE TORTA</t>
  </si>
  <si>
    <t>CONTENEDORES PARA SANDWICH</t>
  </si>
  <si>
    <t>CONTENEDORES VISUAL PACK (Blister)</t>
  </si>
  <si>
    <t>DARNEL SELLO PLUS 12 OZ TAPA PLANA</t>
  </si>
  <si>
    <t>DARNEL SELLO PLUS 16 OZ TAPA PLANA</t>
  </si>
  <si>
    <t>DARNEL SELLO PLUS 32 OZ TAPA PLANA</t>
  </si>
  <si>
    <t>DARNEL SELLO PLUS 48 OZ TAPA PLANA</t>
  </si>
  <si>
    <t>DARNEL SELLO PLUS 64 OZ TAPA PLANA</t>
  </si>
  <si>
    <t>DARNEL SELLO PLUS 8 OZ TAPA PLANA</t>
  </si>
  <si>
    <t xml:space="preserve">DARNEL SELLO PLUS 24 OZ TAPA PLANA </t>
  </si>
  <si>
    <t>CONTENEDOR SELLO PLUS (Tapa Bisagra PLANA) PET</t>
  </si>
  <si>
    <t>CONTENEDOR SELLO PLUS (Tapa Bisagra MEDIA) PET</t>
  </si>
  <si>
    <t>CONTENEDOR SELLO PLUS (Tapa Bisagra) CON DIVISIONES en  PET</t>
  </si>
  <si>
    <t>CONTENEDOR DOBLE USO (CONJUNTO BASE Y TAPA) en PET</t>
  </si>
  <si>
    <t>DARNEL SELLO PLUS 8oz TAPA MEDIA</t>
  </si>
  <si>
    <t>CONTENEDOR SELLO PLUS (Tapa Bisagra ALTA) PET</t>
  </si>
  <si>
    <t>DARNEL SELLO PLUS 16oz TAPA ALTA</t>
  </si>
  <si>
    <t>PORTA VASO CARTULINA</t>
  </si>
  <si>
    <t>CAJAS y ESTUCHES PARA PAPAS FRITAS</t>
  </si>
  <si>
    <t>CAJAS PARA ALIMENTOS SAFETYPLUS</t>
  </si>
  <si>
    <t>CAJAS PARA HAMBURGUESAS</t>
  </si>
  <si>
    <t>BOLSA CHICA PAPEL KRAFT Impresa "Delivery"</t>
  </si>
  <si>
    <t>BOLSA GRANDE PAPEL KRAFT Impresa "Delivery"</t>
  </si>
  <si>
    <t>ESTUCHES HAMBURGUESA DE EXPANDIDO</t>
  </si>
  <si>
    <t>ESTUCHES RECTANGULAR DE EXPANDIDO</t>
  </si>
  <si>
    <t>OBLEAS DE EXPANDIDO STANDARD</t>
  </si>
  <si>
    <t>BANDEJAS DE EXPANDIDO AUTOABSORBENTES BLANCAS</t>
  </si>
  <si>
    <t>BANDEJAS DE EXPANDIDO STANDARD COLOR</t>
  </si>
  <si>
    <t>ROLLOS LINEA ALUMINIO</t>
  </si>
  <si>
    <t>Pack Bandeja 24oz 700ml 10u x 5p Base/Tapa - DA7</t>
  </si>
  <si>
    <t>LINEA PACK BANDEJAS EN TERMOCONTRAIBLE</t>
  </si>
  <si>
    <t>Bandeja Rectang. Chica 8oz (220ml) Con Tapa - DA12</t>
  </si>
  <si>
    <t>Bandeja Rectangular Chica 4,5oz (135ml) Con Tapa - DSM</t>
  </si>
  <si>
    <t>LINEA BANDEJAS ALUMINIO TAMAÑO FAMILIAR</t>
  </si>
  <si>
    <t>FLANERA ALUMINIO</t>
  </si>
  <si>
    <t>PLATOS ALUMINIO</t>
  </si>
  <si>
    <t>BANDEJA ALUMINIO DA6-16oz   (480CC) simil F50</t>
  </si>
  <si>
    <t>TAPA CRISTAL PARA BANDEJA ALUMINIO DA6-16oz</t>
  </si>
  <si>
    <t>TAPA CRISTAL PARA BANDEJA ALUMINIO DA7-24oz</t>
  </si>
  <si>
    <t>BANDEJA ALUMINIO DA7-24oz (720CC) simil F75</t>
  </si>
  <si>
    <t>TAPA CRISTAL PARA BANDEJA ALUMINIO DA8-28oz</t>
  </si>
  <si>
    <t>BANDEJA ALUMINIO DA8-28oz (840CC) simil F100</t>
  </si>
  <si>
    <t>FUENTE DE ALUMINIO Y TAPA CRISTAL</t>
  </si>
  <si>
    <t>BANDEJA ALUMINIO DA9-64oz (1900CC) simil F200</t>
  </si>
  <si>
    <t>21,8x31,5x4,7 cm</t>
  </si>
  <si>
    <t>BANDEJA ALUMINIO RECTANGULAR 104oz</t>
  </si>
  <si>
    <t>TAPA CRISTAL P/BANDEJA ALUMINIO RECTANG. 104oz</t>
  </si>
  <si>
    <t>DARNEL TENEDOR BISTROT CRISTAL 50PX20u</t>
  </si>
  <si>
    <t>DARNEL TENEDOR BISTROT NEGRO 12PX20U</t>
  </si>
  <si>
    <t>DARNEL TENEDOR BISTROT BLANCO 50PX20U</t>
  </si>
  <si>
    <t>DARNEL CUCHILLO BISTROT CRISTAL 50PX20U</t>
  </si>
  <si>
    <t>DARNEL CUCHILLO BISTROT BLANCO 50PX20U</t>
  </si>
  <si>
    <t>DARNEL CUCHILLO BISTROT NEGRO 12PX20U</t>
  </si>
  <si>
    <t>DARNEL CUCHARA DULCERA BIS. CRISTAL 50PX20U</t>
  </si>
  <si>
    <t>DARNEL CUCHARA SOPERA BIS.CRISTAL 50PX20U</t>
  </si>
  <si>
    <t>DARNEL CUCHARA SOPERA BIS BLANCA 50PX20U</t>
  </si>
  <si>
    <t>TAMI CUCHARA DULCERA BLANCA 50PX20U</t>
  </si>
  <si>
    <t>TAMI CUCHARA DULCERA BLANCA 10PX100U</t>
  </si>
  <si>
    <t>TAMI CUCHARA SOPERA BLANCA 50PX20U</t>
  </si>
  <si>
    <t>TAMI CUCHARA SOPERA BLANCA 10PX100U</t>
  </si>
  <si>
    <t>TAMI CUCHARITA  11CM BLANCA 10PX100U CMX8</t>
  </si>
  <si>
    <t>TAMI TENEDOR 11CM  BLANCO 10PX100U CMX8</t>
  </si>
  <si>
    <t>DARNEL PLATO 16CM CRISTAL 30PX6U</t>
  </si>
  <si>
    <t>DARNEL PLATO 18CM CRISTAL 30PX6U</t>
  </si>
  <si>
    <t>DARNEL PLATO 23CM CRISTAL 30PX6U</t>
  </si>
  <si>
    <t>PLATOS DARNEL CRISTAL Y ROJO</t>
  </si>
  <si>
    <t>PLATOS TAMI BLANCO</t>
  </si>
  <si>
    <t>PLATO TAMI COLOR 15.5CM SURTIDO PQX12 CJX480</t>
  </si>
  <si>
    <t>PLATOS TAMI COLORES EN PACK</t>
  </si>
  <si>
    <t>VASOS BICOLOR ROJO Y MIX COLORES (AZUL-ROJO-VERDE-AMARILLO)</t>
  </si>
  <si>
    <t>VAJILLA DESCARTABLE BIODEGRADABLE</t>
  </si>
  <si>
    <t>TAPA CRISTAL PARA POTE SOUFFLE DE 1 OZ  25PX100U</t>
  </si>
  <si>
    <t>TAPA CRISTAL PARA POTE SOUFFLE DE 4,0 y 5,5oz  25Px100U</t>
  </si>
  <si>
    <t>TAPA CRISTAL P/POTE SOUFFLE 1.5oz-2oz-2.5oz) 25PX100U</t>
  </si>
  <si>
    <t>LINEA PETITE - DEGUSTACION PARA CATERING</t>
  </si>
  <si>
    <t>DARNEL CUCHARA DEGUS PETITE CRISTAL 12PX24U</t>
  </si>
  <si>
    <t>DARNEL CUCHARA DEGUS PETITE BLANCA 12PX24U</t>
  </si>
  <si>
    <t>DARNEL CUCHARA DEGUS PETITE NEGRA 12PX24U</t>
  </si>
  <si>
    <t>DARNEL PLATO CUADRADO PETITE CRISTAL 12PX24U</t>
  </si>
  <si>
    <t>DARNEL PLATO CUADRADO PETITE BLANCO 12PX24U</t>
  </si>
  <si>
    <t>DARNEL PLATO CUADRADO PETITE NEGRO 12PX24U</t>
  </si>
  <si>
    <t>DARNEL COPA CUADRADA PETITE CRISTAL 12PX24U</t>
  </si>
  <si>
    <t>DARNEL COPA CUADRADA PETITE NEGRA 12PX24U</t>
  </si>
  <si>
    <t>DARNEL COPA CUADRADA PETITE BLANCA 12PX24U</t>
  </si>
  <si>
    <t>DARNEL COPA TRIANG. PETITE NEGRA 6 OZ 12PX12U</t>
  </si>
  <si>
    <t>POTE SAFETYPLUS CUADRADO CON EVIDENCIA</t>
  </si>
  <si>
    <t>POTE SAFETYPLUS CUADRADO NEGRO</t>
  </si>
  <si>
    <t>SAFETYPLUS CUADRADO 12oz Negro C/Tapa PAQX100 Un.</t>
  </si>
  <si>
    <t>SAFETYPLUS CUADRADO 24oz Negro C/Tapa PAQX100 Un.</t>
  </si>
  <si>
    <t>BOWLS SAFETYPLUS CUADRADO CRISTAL</t>
  </si>
  <si>
    <t>SAFETYUPLUS BOWL 24oz CRISTAL C/Tapa PAQX100 Un.</t>
  </si>
  <si>
    <t>SAFETYPLUS CUADRADO CON EVIDENCIA DE APERTURA</t>
  </si>
  <si>
    <t>BOWLS SAFETYPLUS CUADRADO CRISTAL CON EVIDENCIA APERTURA</t>
  </si>
  <si>
    <t>DARNEL CONTENEDOR 3 DIVISIONES 24 oz C/TAPA</t>
  </si>
  <si>
    <t>CONTENEDOR OVALADO CRISTAL 3 DIVIS.</t>
  </si>
  <si>
    <t>CONTENEDOR ENSALADERAS CRISTAL LINEA TOKIO</t>
  </si>
  <si>
    <t xml:space="preserve">CONTENEDOR MULTI ALTA VISIBILIDAD CRISTAL </t>
  </si>
  <si>
    <t xml:space="preserve">CONTENEDOR TWIST CRISTAL </t>
  </si>
  <si>
    <t>DARNEL TWIST 8 OZ CON TAPA</t>
  </si>
  <si>
    <t>DARNEL TWIST 24 OZ CON TAPA</t>
  </si>
  <si>
    <t>DARNEL TWIST 32 OZ CON TAPA</t>
  </si>
  <si>
    <t xml:space="preserve">CONTENEDOR HUEVOS CODORNIZ CRISTAL CON TAPA </t>
  </si>
  <si>
    <t>DARNEL VISUAL PACK MIAMI 12x4 1/4</t>
  </si>
  <si>
    <t>DARNEL VISUAL PACK +VX-1 C/TAPA</t>
  </si>
  <si>
    <t>CONTENEDORES PARA CUPCAKE</t>
  </si>
  <si>
    <t>SET FRASCOS</t>
  </si>
  <si>
    <t>FRASCOS CRISTAL REDONDOS</t>
  </si>
  <si>
    <t>FRASCOS CRISTAL CUADRADOS</t>
  </si>
  <si>
    <t>TAPA NEGRA PARA FRASCOS</t>
  </si>
  <si>
    <t>CONTENEDORES Y BOWLS ESPUMADOS</t>
  </si>
  <si>
    <t>VASO ESPUMADO y TAPAS</t>
  </si>
  <si>
    <t>PLATOS ESPUMADOS</t>
  </si>
  <si>
    <t>VASOS Y CONTENEDORES TERMICOS BIODEGRADABLE</t>
  </si>
  <si>
    <t>Bolson</t>
  </si>
  <si>
    <t>POTES SOUFFLE   "DEGUSTACION" para SALSAS</t>
  </si>
  <si>
    <t>D770899YPS</t>
  </si>
  <si>
    <t>BOWL TOKYO S NEGRO PAQ X100 CJ X200</t>
  </si>
  <si>
    <t>PLATO TERMICO DE EXPANDIDO (MARMITAS)</t>
  </si>
  <si>
    <t>D510901NW</t>
  </si>
  <si>
    <t>DARNEL PLATO BLANCO 15,5 cm x 20u.</t>
  </si>
  <si>
    <t>DARNEL PLATO BLANCO 23 cm x 20u.</t>
  </si>
  <si>
    <t>D20028R01LE</t>
  </si>
  <si>
    <t>Codigo</t>
  </si>
  <si>
    <t>Descripcion</t>
  </si>
  <si>
    <t>P. nuevo</t>
  </si>
  <si>
    <t>BLANCO SEIN  9 X 13 PIZZERO</t>
  </si>
  <si>
    <t>BANDEJA KRAFT PURO N°2  (6PX100U)</t>
  </si>
  <si>
    <t>BANDEJA KRAFT PURO N°3  (4PX100U)</t>
  </si>
  <si>
    <t>BANDEJA KRAFT PURO N°4  (2PX100U)</t>
  </si>
  <si>
    <t>BANDEJA MICRO CORRUGADO N° 2  (4PX100U)</t>
  </si>
  <si>
    <t>BANDEJA MICRO CORRUGADO N° 3  (4PX100U)</t>
  </si>
  <si>
    <t>BANDEJA MICRO CORRUGADO N° 4  (4PX100U)</t>
  </si>
  <si>
    <t>BANDEJA MICRO CORRUGADO N° 5  (2PX100U)</t>
  </si>
  <si>
    <t>0021CAM04560</t>
  </si>
  <si>
    <t>BOLSA CAMISETA 45X60</t>
  </si>
  <si>
    <t>0027BIO00300</t>
  </si>
  <si>
    <t>PVC BIO TAMI 300 X 1400 MTS</t>
  </si>
  <si>
    <t>0027BIO00380</t>
  </si>
  <si>
    <t>PVC BIO TAMI 380 X 1400 MTS</t>
  </si>
  <si>
    <t>0027BIO00450</t>
  </si>
  <si>
    <t>PVB BIO TAMI 450 X 1400 MTS</t>
  </si>
  <si>
    <t>PVC BIO DARNEL WRAP 31X28X300 MTS C/CORT</t>
  </si>
  <si>
    <t>0027EST01015</t>
  </si>
  <si>
    <t>PVC 15" (X1200 MTS)</t>
  </si>
  <si>
    <t>0027EST01018</t>
  </si>
  <si>
    <t>PVC 18" (X1200 MTS)</t>
  </si>
  <si>
    <t>0027EST02018</t>
  </si>
  <si>
    <t>PVC 18" (X1200 MTS) SUP</t>
  </si>
  <si>
    <t>BAND N° 2BB  Bca  (2SLE BCA)</t>
  </si>
  <si>
    <t>BAND N° 4BB  Bca  (4SLE BCA)</t>
  </si>
  <si>
    <t>BAND N° 2BB Rosa  (2SLE ROSA)</t>
  </si>
  <si>
    <t>BAND N° 4BB Rosa  (4SLE ROSA)</t>
  </si>
  <si>
    <t>BAND N° 10BB Negra  (10SLE NEGRA)</t>
  </si>
  <si>
    <t>BAND N° 2BB Negra  (2SLE NEGRA)</t>
  </si>
  <si>
    <t>BAND N° 4BB Negra  (4SLE NEGRA)</t>
  </si>
  <si>
    <t>BAND N° 8BBC  Bca (8SL BCA)</t>
  </si>
  <si>
    <t>BAND N°  8BBA Rosa (8SL ROSA)</t>
  </si>
  <si>
    <t>BAND N° 2-1.5BB  Bca  (2FLE BCA)</t>
  </si>
  <si>
    <t>BAND N° T9-1BB  Bca  (APT9 BCA)</t>
  </si>
  <si>
    <t>BAND N° 2-1BBC  Bca (2PL BCA)</t>
  </si>
  <si>
    <t>BAND N° 4-1BBC  Bca  (4PL BCA)</t>
  </si>
  <si>
    <t>BAND N° 2-1BBA Rosa  (2PL ROSA)</t>
  </si>
  <si>
    <t>BAND N° 4-1BBA Rosa  (4PL ROSA)</t>
  </si>
  <si>
    <t>BAND N° 2-1BBAC Negra  (2PL NEGRA)</t>
  </si>
  <si>
    <t>BAND N° 4-1BBAC Negra  (4PL NEGRA)</t>
  </si>
  <si>
    <t>BANDEJA TERMICA  DM 70 (500ML)</t>
  </si>
  <si>
    <t>PLATO TERMICO C/TAPA R-102  (850ML)</t>
  </si>
  <si>
    <t>0034DARC0008</t>
  </si>
  <si>
    <t>+CONTENEDOR ESPUMADO 8 Oz BLANCO PQX20 CAJX1000</t>
  </si>
  <si>
    <t>0034DARC0012</t>
  </si>
  <si>
    <t>+CONTENEDOR ESPUMADO 12 Oz BLANCO PQX20 CAJX1000</t>
  </si>
  <si>
    <t>0035DAR00004</t>
  </si>
  <si>
    <t>VASO ESPUMADO 4 Oz BLANCO PQX40 CAJX2000</t>
  </si>
  <si>
    <t xml:space="preserve">SORBETES DE PAPEL </t>
  </si>
  <si>
    <t>TAMI CUCHARITA  11CM BCA 10PX100U CMX8</t>
  </si>
  <si>
    <t>TAMI TENEDOR 11CM  BCO. 10PX100U CMX8</t>
  </si>
  <si>
    <t>DARNEL PLATO CUADRADO  PETITE NEG. 12PX24U</t>
  </si>
  <si>
    <t>BOTELLA JUGO   1 LITRO C/T</t>
  </si>
  <si>
    <t>DARNEL _CONT ROUND PACK PANDO</t>
  </si>
  <si>
    <t>_CLEAR 5.1 X 4.3 RESQ HEART CONTAINER WITH SEPARATE LID PQX50 CAJX750</t>
  </si>
  <si>
    <t xml:space="preserve">DARNEL PORTAHUEVO CODORNIZ CR. 24U X 500 </t>
  </si>
  <si>
    <t>_BASE 20.5 CM X 12 CM ALTURA 8CM VISUALDOMO RECT RESQ NEGRA X50 p</t>
  </si>
  <si>
    <t>_BASE 20.5CM X 12CM ALTURA 10CM VISUALDOMO RECT RESQ NEGRO X50</t>
  </si>
  <si>
    <t>_BASE RECT 21/16CM NEGRA C/DOMO 12 CRISTAL ALTA VISIBILIDAD X50</t>
  </si>
  <si>
    <t xml:space="preserve">BUDINERA ALUMINIO REF 470 </t>
  </si>
  <si>
    <t>PAPEL ALUMINIO IMP GEN  25 x 35 cm (x 5 KG)</t>
  </si>
  <si>
    <t>PAPEL PARAFINADO LISO 40  X 40 cm (x 1 KG)</t>
  </si>
  <si>
    <t>0082ANT00100</t>
  </si>
  <si>
    <t>ENVOLTORIO ANTIG IMP/FOOD 33X37 POR 1000 HOJ</t>
  </si>
  <si>
    <t>0082ANT00150</t>
  </si>
  <si>
    <t>ENVOLTORIO ANTIG IMP/SEMIL 33X37 POR 1000 HOJ</t>
  </si>
  <si>
    <t>0082KRA00100</t>
  </si>
  <si>
    <t>ENVOLTORIO KRAFT INP/FOOD 33X37 POR 1000 HOJ</t>
  </si>
  <si>
    <t>0082MET00100</t>
  </si>
  <si>
    <t>ENVOLTORIO METAL LISO 33X37 POR 1000 HOJ</t>
  </si>
  <si>
    <t>0082MET00200</t>
  </si>
  <si>
    <t>ENVOLTORIO METALIZADO CUD/NEG 33X37 POR 1000 HOJ</t>
  </si>
  <si>
    <t>0082MET00250</t>
  </si>
  <si>
    <t>ENVOLTORIO METALIZADO CUD/ROJ 33X37 POR 1000 HOJ</t>
  </si>
  <si>
    <t>0089DARCHBAG1032</t>
  </si>
  <si>
    <t>PLATO HONDO DARNEL NATURALS BAGAZO 32oz 930ml PQX20/X24</t>
  </si>
  <si>
    <t>0089DARCHBAG2032</t>
  </si>
  <si>
    <t>TAPA DARNEL NATURALS PLATO HONDO BAGAZO 32oz PQX20/X24</t>
  </si>
  <si>
    <t>0089DARCHBAG5500</t>
  </si>
  <si>
    <t>BANDEJA BAGAZO DARNEL NATURALS 500ml 174X120X38 PQX125/X4</t>
  </si>
  <si>
    <t>0089DARCHBAG5600</t>
  </si>
  <si>
    <t>BANDEJA BAGAZO CAÑA DARNEL NATURALS 242X182X28 PQX50/X6</t>
  </si>
  <si>
    <t>0089DARCHBAG5700</t>
  </si>
  <si>
    <t>BANDEJA BAGAZO CAÑA DARNEL NATURALS 275X205X25 PQX125/X4</t>
  </si>
  <si>
    <t>0089DARCHBAG6006</t>
  </si>
  <si>
    <t>BANDEJA SUSHI T6 DARNEL NATURALS BAGAZO 221X92X21 PQX125/X8</t>
  </si>
  <si>
    <t>0089DARCHBAM2000</t>
  </si>
  <si>
    <t>COPA SOUFFLE 0.5 oz dARNEL nATURALS BAMBOO PQX50/X40</t>
  </si>
  <si>
    <t>0089DARCHBAM2001</t>
  </si>
  <si>
    <t>COPA SOUFFLE 1oz DARNEL NATURALS BAMBOO PQX50/X40</t>
  </si>
  <si>
    <t>0089DARCHBAM2002</t>
  </si>
  <si>
    <t>COPA SOUFFFLE 1.5 oz DARNEL nATURALS BAMBOO PQX50/X40</t>
  </si>
  <si>
    <t>0089DARCHBAM2003</t>
  </si>
  <si>
    <t>COPA SOUFFLE 2oz DARNEL NATURALS BAMBOO PQX50/X40</t>
  </si>
  <si>
    <t>0089DARCHNAT0240</t>
  </si>
  <si>
    <t>CAJA CON VENTANA #2 24oz DARNEL NATURAL 168X118X45 MOCA PQX50/X6</t>
  </si>
  <si>
    <t>0089DARCHNAT0320</t>
  </si>
  <si>
    <t>CAJA CON VENTANA 32oz DARNEL NATURAL 198X138X50 MOCA PQX50/X6</t>
  </si>
  <si>
    <t>0089DARCHNAT1000</t>
  </si>
  <si>
    <t>PORTA COMIDA HOT DOG DARNEL NATURAL MOCA BLANCO PQX50/X4</t>
  </si>
  <si>
    <t>0089DARCHNAT2320</t>
  </si>
  <si>
    <t>CONTENEDOR DARNEL NATURAL 32oz MOCA PQX50/X10</t>
  </si>
  <si>
    <t>0089DARCHNAT3320</t>
  </si>
  <si>
    <t>TAPA CONTENEDOR NATURAL 26 Y 32 MOCA PQX25/X20</t>
  </si>
  <si>
    <t>0089DARCHNAT4000</t>
  </si>
  <si>
    <t>BANDEJA DARNEL NATURALS#1 PQX125/X8</t>
  </si>
  <si>
    <t>0089DARCHNAT4010</t>
  </si>
  <si>
    <t>BANDEJA DARNEL NATURALS #10 PAQX25/X8</t>
  </si>
  <si>
    <t>0089DARCHNAT5000</t>
  </si>
  <si>
    <t>PORTACO DARNEL NATURALS 950 ml X2DIV PQ125/X2</t>
  </si>
  <si>
    <t>0089DARCHNAT5600</t>
  </si>
  <si>
    <t>PORTA COMIDA DARNEL NATURALS 600 ml PQX50/X8</t>
  </si>
  <si>
    <t>0089DARCHPET1001</t>
  </si>
  <si>
    <t>TAPA COPA SOUFFLE 0.5/1oz DARNEL NATURALS PET PQX50/X40</t>
  </si>
  <si>
    <t>0089DARCHPET1002</t>
  </si>
  <si>
    <t>TAPA COPA SOUFFLE 1.5/2 oz DARNEL NATURALS PET PQX50/X40</t>
  </si>
  <si>
    <t>0089DARCHPETD600</t>
  </si>
  <si>
    <t>DOMO PET DARNEL NATURALS SUSHI T6 225X99X32 PQX125/X8</t>
  </si>
  <si>
    <t>SIS8120-Consulta dinamica</t>
  </si>
  <si>
    <t>Nombre Articulo</t>
  </si>
  <si>
    <t>Articulo Interno</t>
  </si>
  <si>
    <t>Articulo Formularios</t>
  </si>
  <si>
    <t>Cantidad Bulto</t>
  </si>
  <si>
    <t>Peso embalado</t>
  </si>
  <si>
    <t>Cantidad Bulto (Vent)</t>
  </si>
  <si>
    <t>Unidad Medida homogenea (Vent)</t>
  </si>
  <si>
    <t>Nombre Unidad de Medida</t>
  </si>
  <si>
    <t>Unidad de Medida_1</t>
  </si>
  <si>
    <t>Unidad de medidad Utilizable</t>
  </si>
  <si>
    <t>Unidad de Medida_2</t>
  </si>
  <si>
    <t>Clasificacion 1</t>
  </si>
  <si>
    <t>Clasificacion 1 Utilizable</t>
  </si>
  <si>
    <t>Nombre Clasificacion 1</t>
  </si>
  <si>
    <t>Clasificacion 2</t>
  </si>
  <si>
    <t>Nombre Clasificacion 2</t>
  </si>
  <si>
    <t>Clasificacion 2 Utilizable</t>
  </si>
  <si>
    <t>Clasificacion 3</t>
  </si>
  <si>
    <t>Nombre Clasificacion 3</t>
  </si>
  <si>
    <t>Clasificacion 3 Utilizable</t>
  </si>
  <si>
    <t>Clasificacion 4</t>
  </si>
  <si>
    <t>Nombre Clasificacion 4</t>
  </si>
  <si>
    <t>Clasificacion 4 Utilizable</t>
  </si>
  <si>
    <t>Formato</t>
  </si>
  <si>
    <t>Simbolo</t>
  </si>
  <si>
    <t>Clasificacion 5</t>
  </si>
  <si>
    <t>Nombre Clasificacion 5</t>
  </si>
  <si>
    <t>Clasificacion 5 Utilizable</t>
  </si>
  <si>
    <t>Fecha de baja (Comp)</t>
  </si>
  <si>
    <t>Fecha Baja</t>
  </si>
  <si>
    <t>1</t>
  </si>
  <si>
    <t>.0000</t>
  </si>
  <si>
    <t>10.0000</t>
  </si>
  <si>
    <t>Resmas</t>
  </si>
  <si>
    <t>007</t>
  </si>
  <si>
    <t>Papeles</t>
  </si>
  <si>
    <t>001</t>
  </si>
  <si>
    <t>Papel</t>
  </si>
  <si>
    <t>Manufactured Group Locally</t>
  </si>
  <si>
    <t>Bolsas de Papel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</si>
  <si>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</si>
  <si>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</si>
  <si>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</si>
  <si>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</si>
  <si>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</si>
  <si>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</si>
  <si>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</si>
  <si>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</si>
  <si>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</si>
  <si>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</si>
  <si>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</si>
  <si>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</si>
  <si>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</si>
  <si>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</si>
  <si>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</si>
  <si>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</si>
  <si>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</si>
  <si>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</si>
  <si>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</si>
  <si>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</si>
  <si>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</si>
  <si>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</si>
  <si>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</si>
  <si>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PAPEL ANTIGRASA / SEP 15x12 CM</t>
  </si>
  <si>
    <t>0001BIO00020</t>
  </si>
  <si>
    <t>25</t>
  </si>
  <si>
    <t>PAPEL ANTIGRASA / SEP 15x18 CM</t>
  </si>
  <si>
    <t>0001BIO00021</t>
  </si>
  <si>
    <t>26</t>
  </si>
  <si>
    <t>27</t>
  </si>
  <si>
    <t>1.0000</t>
  </si>
  <si>
    <t>Kilogramos</t>
  </si>
  <si>
    <t>28</t>
  </si>
  <si>
    <t>2025-05-21-00.00.00.000000</t>
  </si>
  <si>
    <t>29</t>
  </si>
  <si>
    <t>30</t>
  </si>
  <si>
    <t>31</t>
  </si>
  <si>
    <t>5.0000</t>
  </si>
  <si>
    <t>059</t>
  </si>
  <si>
    <t>Papel en Hojas</t>
  </si>
  <si>
    <t>DESMOLDANTE 32 X 30</t>
  </si>
  <si>
    <t>0002DES03230</t>
  </si>
  <si>
    <t>32</t>
  </si>
  <si>
    <t>2024-04-11-00.00.00.000000</t>
  </si>
  <si>
    <t>33</t>
  </si>
  <si>
    <t>34</t>
  </si>
  <si>
    <t>35</t>
  </si>
  <si>
    <t>36</t>
  </si>
  <si>
    <t>Unidades</t>
  </si>
  <si>
    <t>37</t>
  </si>
  <si>
    <t>38</t>
  </si>
  <si>
    <t>2025-05-22-00.00.00.000000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</si>
  <si>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</si>
  <si>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</si>
  <si>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</si>
  <si>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</si>
  <si>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</si>
  <si>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</si>
  <si>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</si>
  <si>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</si>
  <si>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</si>
  <si>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PAPEL SEPARADOR PARA PICADA 11CM</t>
  </si>
  <si>
    <t>0003PER00011</t>
  </si>
  <si>
    <t>904</t>
  </si>
  <si>
    <t>48</t>
  </si>
  <si>
    <t>4.3000</t>
  </si>
  <si>
    <t>Paquetes</t>
  </si>
  <si>
    <t>1000</t>
  </si>
  <si>
    <t>49</t>
  </si>
  <si>
    <t>4.8500</t>
  </si>
  <si>
    <t>50</t>
  </si>
  <si>
    <t>5.6500</t>
  </si>
  <si>
    <t>51</t>
  </si>
  <si>
    <t>6.5000</t>
  </si>
  <si>
    <t>52</t>
  </si>
  <si>
    <t>6.8500</t>
  </si>
  <si>
    <t>53</t>
  </si>
  <si>
    <t>7.4000</t>
  </si>
  <si>
    <t>54</t>
  </si>
  <si>
    <t>8.5500</t>
  </si>
  <si>
    <t>55</t>
  </si>
  <si>
    <t>9.2000</t>
  </si>
  <si>
    <t>56</t>
  </si>
  <si>
    <t>11.0000</t>
  </si>
  <si>
    <t>57</t>
  </si>
  <si>
    <t>13.2500</t>
  </si>
  <si>
    <t>58</t>
  </si>
  <si>
    <t>2.8000</t>
  </si>
  <si>
    <t>250</t>
  </si>
  <si>
    <t>59</t>
  </si>
  <si>
    <t>3.2000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</si>
  <si>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</si>
  <si>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</si>
  <si>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</si>
  <si>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</si>
  <si>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</si>
  <si>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</si>
  <si>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</si>
  <si>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</si>
  <si>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</si>
  <si>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</si>
  <si>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</si>
  <si>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2.0000</t>
  </si>
  <si>
    <t>Cajas</t>
  </si>
  <si>
    <t>003</t>
  </si>
  <si>
    <t>Purchased from 3rd Party</t>
  </si>
  <si>
    <t>002</t>
  </si>
  <si>
    <t>Servilletas/Papel Cocina</t>
  </si>
  <si>
    <t>2000</t>
  </si>
  <si>
    <t>71</t>
  </si>
  <si>
    <t>2.7500</t>
  </si>
  <si>
    <t>72</t>
  </si>
  <si>
    <t>3.0000</t>
  </si>
  <si>
    <t>10000</t>
  </si>
  <si>
    <t>73</t>
  </si>
  <si>
    <t>2.2500</t>
  </si>
  <si>
    <t>500</t>
  </si>
  <si>
    <t>74</t>
  </si>
  <si>
    <t>.6000</t>
  </si>
  <si>
    <t>Moldes de Papel</t>
  </si>
  <si>
    <t>100</t>
  </si>
  <si>
    <t>75</t>
  </si>
  <si>
    <t>200</t>
  </si>
  <si>
    <t>76</t>
  </si>
  <si>
    <t>1.3000</t>
  </si>
  <si>
    <t>77</t>
  </si>
  <si>
    <t>1.4000</t>
  </si>
  <si>
    <t>MOLDE BUDIN P/C CHICO x1000 (220)</t>
  </si>
  <si>
    <t>0008MBU00220</t>
  </si>
  <si>
    <t>958</t>
  </si>
  <si>
    <t>7.5000</t>
  </si>
  <si>
    <t>MOLDE BUDIN P/C GRANDE x1000 (500)</t>
  </si>
  <si>
    <t>0008MBU00500</t>
  </si>
  <si>
    <t>959</t>
  </si>
  <si>
    <t>14.0000</t>
  </si>
  <si>
    <t>MOLDE PAN DULCE LI.1/4 KG.</t>
  </si>
  <si>
    <t>0008MPDL0250</t>
  </si>
  <si>
    <t>78</t>
  </si>
  <si>
    <t>MOLDE PAN DULCE LI.1/2 KG.</t>
  </si>
  <si>
    <t>0008MPDL0500</t>
  </si>
  <si>
    <t>79</t>
  </si>
  <si>
    <t>MOLDE PAN DULCE 1KG</t>
  </si>
  <si>
    <t>0008MPDL1000</t>
  </si>
  <si>
    <t>929</t>
  </si>
  <si>
    <t>6.0000</t>
  </si>
  <si>
    <t>80</t>
  </si>
  <si>
    <t>.7500</t>
  </si>
  <si>
    <t>81</t>
  </si>
  <si>
    <t>82</t>
  </si>
  <si>
    <t>83</t>
  </si>
  <si>
    <t>.8000</t>
  </si>
  <si>
    <t>84</t>
  </si>
  <si>
    <t>008</t>
  </si>
  <si>
    <t>Cartón</t>
  </si>
  <si>
    <t>004</t>
  </si>
  <si>
    <t>Carton en Hojas</t>
  </si>
  <si>
    <t>85</t>
  </si>
  <si>
    <t>86</t>
  </si>
  <si>
    <t>87</t>
  </si>
  <si>
    <t>005</t>
  </si>
  <si>
    <t>Bandejas de Papel / Carton</t>
  </si>
  <si>
    <t>88</t>
  </si>
  <si>
    <t>89</t>
  </si>
  <si>
    <t>1.2000</t>
  </si>
  <si>
    <t>90</t>
  </si>
  <si>
    <t>91</t>
  </si>
  <si>
    <t>92</t>
  </si>
  <si>
    <t>2.4000</t>
  </si>
  <si>
    <t>BANDEJA DE CARTON Nº 13 1/2</t>
  </si>
  <si>
    <t>0012COM00015</t>
  </si>
  <si>
    <t>93</t>
  </si>
  <si>
    <t>775</t>
  </si>
  <si>
    <t>600</t>
  </si>
  <si>
    <t>94</t>
  </si>
  <si>
    <t>95</t>
  </si>
  <si>
    <t>400</t>
  </si>
  <si>
    <t>96</t>
  </si>
  <si>
    <t>3.9000</t>
  </si>
  <si>
    <t>97</t>
  </si>
  <si>
    <t>4.0000</t>
  </si>
  <si>
    <t>98</t>
  </si>
  <si>
    <t>99</t>
  </si>
  <si>
    <t>7.0000</t>
  </si>
  <si>
    <t>101</t>
  </si>
  <si>
    <t>3.6000</t>
  </si>
  <si>
    <t>102</t>
  </si>
  <si>
    <t>103</t>
  </si>
  <si>
    <t>104</t>
  </si>
  <si>
    <t>105</t>
  </si>
  <si>
    <t>106</t>
  </si>
  <si>
    <t>107</t>
  </si>
  <si>
    <t>4.5000</t>
  </si>
  <si>
    <t>108</t>
  </si>
  <si>
    <t>Bases de Carton</t>
  </si>
  <si>
    <t>109</t>
  </si>
  <si>
    <t>110</t>
  </si>
  <si>
    <t>111</t>
  </si>
  <si>
    <t>TIRAS PVC 65X5 CM X 1000 UNID.</t>
  </si>
  <si>
    <t>0014FAJP0001</t>
  </si>
  <si>
    <t>777</t>
  </si>
  <si>
    <t>010</t>
  </si>
  <si>
    <t>Plasticos</t>
  </si>
  <si>
    <t>Polietileno</t>
  </si>
  <si>
    <t>009</t>
  </si>
  <si>
    <t>Pelicula</t>
  </si>
  <si>
    <t>112</t>
  </si>
  <si>
    <t>Platos de Carton</t>
  </si>
  <si>
    <t>113</t>
  </si>
  <si>
    <t>2.6000</t>
  </si>
  <si>
    <t>114</t>
  </si>
  <si>
    <t>2.9000</t>
  </si>
  <si>
    <t>115</t>
  </si>
  <si>
    <t>2.1000</t>
  </si>
  <si>
    <t>116</t>
  </si>
  <si>
    <t>1.5000</t>
  </si>
  <si>
    <t>117</t>
  </si>
  <si>
    <t>118</t>
  </si>
  <si>
    <t>3.5000</t>
  </si>
  <si>
    <t>119</t>
  </si>
  <si>
    <t>120</t>
  </si>
  <si>
    <t>5.2500</t>
  </si>
  <si>
    <t>121</t>
  </si>
  <si>
    <t>6.3000</t>
  </si>
  <si>
    <t>011</t>
  </si>
  <si>
    <t>Cajas Carton</t>
  </si>
  <si>
    <t>122</t>
  </si>
  <si>
    <t>7.9000</t>
  </si>
  <si>
    <t>123</t>
  </si>
  <si>
    <t>6.1000</t>
  </si>
  <si>
    <t>124</t>
  </si>
  <si>
    <t>8.3500</t>
  </si>
  <si>
    <t>125</t>
  </si>
  <si>
    <t>126</t>
  </si>
  <si>
    <t>3.1000</t>
  </si>
  <si>
    <t>Rollos</t>
  </si>
  <si>
    <t>012</t>
  </si>
  <si>
    <t>Rollos Carton</t>
  </si>
  <si>
    <t>127</t>
  </si>
  <si>
    <t>128</t>
  </si>
  <si>
    <t>4.6000</t>
  </si>
  <si>
    <t>129</t>
  </si>
  <si>
    <t>5.5000</t>
  </si>
  <si>
    <t>CARTON CORRUGADO 140 CM.</t>
  </si>
  <si>
    <t>0017COR00140</t>
  </si>
  <si>
    <t>778</t>
  </si>
  <si>
    <t>997</t>
  </si>
  <si>
    <t>4.3400</t>
  </si>
  <si>
    <t>Manufactured Group</t>
  </si>
  <si>
    <t>013</t>
  </si>
  <si>
    <t>Estuches de cartulina</t>
  </si>
  <si>
    <t>5.8400</t>
  </si>
  <si>
    <t>1023</t>
  </si>
  <si>
    <t>6.4300</t>
  </si>
  <si>
    <t>1004</t>
  </si>
  <si>
    <t>7.2500</t>
  </si>
  <si>
    <t>1024</t>
  </si>
  <si>
    <t>4.7300</t>
  </si>
  <si>
    <t>1020</t>
  </si>
  <si>
    <t>6.4500</t>
  </si>
  <si>
    <t>1008</t>
  </si>
  <si>
    <t>1009</t>
  </si>
  <si>
    <t>1010</t>
  </si>
  <si>
    <t>1025</t>
  </si>
  <si>
    <t>3.6400</t>
  </si>
  <si>
    <t>1021</t>
  </si>
  <si>
    <t>4.9600</t>
  </si>
  <si>
    <t>998</t>
  </si>
  <si>
    <t>4.0400</t>
  </si>
  <si>
    <t>1001</t>
  </si>
  <si>
    <t>5.4400</t>
  </si>
  <si>
    <t>1002</t>
  </si>
  <si>
    <t>5.9800</t>
  </si>
  <si>
    <t>1005</t>
  </si>
  <si>
    <t>6.6800</t>
  </si>
  <si>
    <t>1007</t>
  </si>
  <si>
    <t>RPN02P08202X</t>
  </si>
  <si>
    <t>1003</t>
  </si>
  <si>
    <t>1006</t>
  </si>
  <si>
    <t>999</t>
  </si>
  <si>
    <t>3.3100</t>
  </si>
  <si>
    <t>1022</t>
  </si>
  <si>
    <t>5.1300</t>
  </si>
  <si>
    <t>995</t>
  </si>
  <si>
    <t>3.6100</t>
  </si>
  <si>
    <t>300</t>
  </si>
  <si>
    <t>996</t>
  </si>
  <si>
    <t>994</t>
  </si>
  <si>
    <t>6.4000</t>
  </si>
  <si>
    <t>ESTUCHES PAPAS FRITAS CHICO</t>
  </si>
  <si>
    <t>0018ESP00001</t>
  </si>
  <si>
    <t>130</t>
  </si>
  <si>
    <t>3.2300</t>
  </si>
  <si>
    <t>ESTUCHES KRAFT LISOS</t>
  </si>
  <si>
    <t>0018ESP00002</t>
  </si>
  <si>
    <t>131</t>
  </si>
  <si>
    <t>132</t>
  </si>
  <si>
    <t>3.8000</t>
  </si>
  <si>
    <t>450</t>
  </si>
  <si>
    <t>741</t>
  </si>
  <si>
    <t>133</t>
  </si>
  <si>
    <t>3.3000</t>
  </si>
  <si>
    <t>BANDEJA TAKE AWAY</t>
  </si>
  <si>
    <t>0018ESV00005</t>
  </si>
  <si>
    <t>779</t>
  </si>
  <si>
    <t>4.7000</t>
  </si>
  <si>
    <t>ARRANQUE A.D. 15X20 (300 GR.)</t>
  </si>
  <si>
    <t>0021ARR01520</t>
  </si>
  <si>
    <t>134</t>
  </si>
  <si>
    <t>.3000</t>
  </si>
  <si>
    <t>Otros</t>
  </si>
  <si>
    <t>014</t>
  </si>
  <si>
    <t>Bolsas</t>
  </si>
  <si>
    <t>ARRANQUE A.D. 15X25 (300 GR.)</t>
  </si>
  <si>
    <t>0021ARR01525</t>
  </si>
  <si>
    <t>135</t>
  </si>
  <si>
    <t>136</t>
  </si>
  <si>
    <t>137</t>
  </si>
  <si>
    <t>138</t>
  </si>
  <si>
    <t>139</t>
  </si>
  <si>
    <t>140</t>
  </si>
  <si>
    <t>934</t>
  </si>
  <si>
    <t>141</t>
  </si>
  <si>
    <t>ARRANQUE A.D. 60X90 (1.5 KG)</t>
  </si>
  <si>
    <t>0021ARR06090</t>
  </si>
  <si>
    <t>1058</t>
  </si>
  <si>
    <t>142</t>
  </si>
  <si>
    <t>.2000</t>
  </si>
  <si>
    <t>143</t>
  </si>
  <si>
    <t>.3500</t>
  </si>
  <si>
    <t>933</t>
  </si>
  <si>
    <t>.5000</t>
  </si>
  <si>
    <t>144</t>
  </si>
  <si>
    <t>ARRANQUE A.D. 60X90 (1.5KG)</t>
  </si>
  <si>
    <t>0021CAM06090</t>
  </si>
  <si>
    <t>932</t>
  </si>
  <si>
    <t>BOLSA CAMISETA</t>
  </si>
  <si>
    <t>0021CAM4560</t>
  </si>
  <si>
    <t>931</t>
  </si>
  <si>
    <t>CAMISETA</t>
  </si>
  <si>
    <t>LAMINA SINT 70 X 100 (X 10KG.)</t>
  </si>
  <si>
    <t>0021LAM00001</t>
  </si>
  <si>
    <t>780</t>
  </si>
  <si>
    <t>015</t>
  </si>
  <si>
    <t>Lamina</t>
  </si>
  <si>
    <t>145</t>
  </si>
  <si>
    <t>146</t>
  </si>
  <si>
    <t>CELOFAN 90 X 90 (500 H). PT300</t>
  </si>
  <si>
    <t>0024CEL09090</t>
  </si>
  <si>
    <t>781</t>
  </si>
  <si>
    <t>147</t>
  </si>
  <si>
    <t>SBA671-450-1000</t>
  </si>
  <si>
    <t>10.1300</t>
  </si>
  <si>
    <t>PVC Automatico</t>
  </si>
  <si>
    <t>PVCF</t>
  </si>
  <si>
    <t>016</t>
  </si>
  <si>
    <t>Wrap Alimentos</t>
  </si>
  <si>
    <t>148</t>
  </si>
  <si>
    <t>SA1D59-300-1000</t>
  </si>
  <si>
    <t>5.6000</t>
  </si>
  <si>
    <t>149</t>
  </si>
  <si>
    <t>SA1MA59-380-1250</t>
  </si>
  <si>
    <t>8.9100</t>
  </si>
  <si>
    <t>150</t>
  </si>
  <si>
    <t>SA1MA59-450-1250</t>
  </si>
  <si>
    <t>10.5500</t>
  </si>
  <si>
    <t>1064</t>
  </si>
  <si>
    <t>SA1T31-300-1400</t>
  </si>
  <si>
    <t>4.2000</t>
  </si>
  <si>
    <t>PVC 1400</t>
  </si>
  <si>
    <t>1065</t>
  </si>
  <si>
    <t>SA1T31-380-1400</t>
  </si>
  <si>
    <t>5.3200</t>
  </si>
  <si>
    <t>1066</t>
  </si>
  <si>
    <t>SA1T31-450-1400</t>
  </si>
  <si>
    <t>972</t>
  </si>
  <si>
    <t>.2800</t>
  </si>
  <si>
    <t>973</t>
  </si>
  <si>
    <t>.8400</t>
  </si>
  <si>
    <t>974</t>
  </si>
  <si>
    <t>4.2800</t>
  </si>
  <si>
    <t>151</t>
  </si>
  <si>
    <t>SA1D35-300-1400C08</t>
  </si>
  <si>
    <t>152</t>
  </si>
  <si>
    <t>SA1D35-380-1400C08</t>
  </si>
  <si>
    <t>5.9900</t>
  </si>
  <si>
    <t>153</t>
  </si>
  <si>
    <t>SA1D35-450-1400C08</t>
  </si>
  <si>
    <t>7.0900</t>
  </si>
  <si>
    <t>154</t>
  </si>
  <si>
    <t>SA1D35-400-1400C08</t>
  </si>
  <si>
    <t>PVC 15 " (380 X 1400 MTS.) SUP</t>
  </si>
  <si>
    <t>0027EST00380</t>
  </si>
  <si>
    <t>764</t>
  </si>
  <si>
    <t>1073</t>
  </si>
  <si>
    <t>SA1F43-380-1200</t>
  </si>
  <si>
    <t>6.2900</t>
  </si>
  <si>
    <t>1074</t>
  </si>
  <si>
    <t>SA1F43-450-1200</t>
  </si>
  <si>
    <t>7.4300</t>
  </si>
  <si>
    <t>1075</t>
  </si>
  <si>
    <t>SA151-450-1200</t>
  </si>
  <si>
    <t>8.7800</t>
  </si>
  <si>
    <t>155</t>
  </si>
  <si>
    <t>1.6900</t>
  </si>
  <si>
    <t>PVC 500</t>
  </si>
  <si>
    <t>156</t>
  </si>
  <si>
    <t>2.1400</t>
  </si>
  <si>
    <t>157</t>
  </si>
  <si>
    <t>2.5300</t>
  </si>
  <si>
    <t>794</t>
  </si>
  <si>
    <t>SA139-380-762L</t>
  </si>
  <si>
    <t>3.6200</t>
  </si>
  <si>
    <t>795</t>
  </si>
  <si>
    <t>SA139-450-752L</t>
  </si>
  <si>
    <t>4.2300</t>
  </si>
  <si>
    <t>796</t>
  </si>
  <si>
    <t>SA139-380-677L</t>
  </si>
  <si>
    <t>3.2200</t>
  </si>
  <si>
    <t>158</t>
  </si>
  <si>
    <t>SA1D35-300-1000</t>
  </si>
  <si>
    <t>3.3800</t>
  </si>
  <si>
    <t>PVC 1000</t>
  </si>
  <si>
    <t>159</t>
  </si>
  <si>
    <t>SA1D35-380-1000</t>
  </si>
  <si>
    <t>160</t>
  </si>
  <si>
    <t>SA1D35-450-1000</t>
  </si>
  <si>
    <t>5.0600</t>
  </si>
  <si>
    <t>PVC 15" X 700 MTS.</t>
  </si>
  <si>
    <t>0027LIG02015</t>
  </si>
  <si>
    <t>161</t>
  </si>
  <si>
    <t>SA135-380-700L</t>
  </si>
  <si>
    <t>3.3900</t>
  </si>
  <si>
    <t>162</t>
  </si>
  <si>
    <t>SD135-300-5050</t>
  </si>
  <si>
    <t>17.0400</t>
  </si>
  <si>
    <t>163</t>
  </si>
  <si>
    <t>SD135-385-5050</t>
  </si>
  <si>
    <t>21.8700</t>
  </si>
  <si>
    <t>164</t>
  </si>
  <si>
    <t>SD1F35-450-5050</t>
  </si>
  <si>
    <t>25.5700</t>
  </si>
  <si>
    <t>165</t>
  </si>
  <si>
    <t>SA135-300-12000</t>
  </si>
  <si>
    <t>40.5000</t>
  </si>
  <si>
    <t>018</t>
  </si>
  <si>
    <t>PVC 12000</t>
  </si>
  <si>
    <t>935</t>
  </si>
  <si>
    <t>SA131-300-13500</t>
  </si>
  <si>
    <t>804</t>
  </si>
  <si>
    <t>SA131-380-13500</t>
  </si>
  <si>
    <t>51.3000</t>
  </si>
  <si>
    <t>166</t>
  </si>
  <si>
    <t>SA135-380-12000</t>
  </si>
  <si>
    <t>167</t>
  </si>
  <si>
    <t>SA135-450-12000</t>
  </si>
  <si>
    <t>60.7500</t>
  </si>
  <si>
    <t>936</t>
  </si>
  <si>
    <t>SA131-450-13500</t>
  </si>
  <si>
    <t>168</t>
  </si>
  <si>
    <t>SD135-380-300DRB</t>
  </si>
  <si>
    <t>1.2800</t>
  </si>
  <si>
    <t>PVC 300</t>
  </si>
  <si>
    <t>970</t>
  </si>
  <si>
    <t>1.5200</t>
  </si>
  <si>
    <t>169</t>
  </si>
  <si>
    <t>971</t>
  </si>
  <si>
    <t>170</t>
  </si>
  <si>
    <t>ST3-280-200R</t>
  </si>
  <si>
    <t>.6300</t>
  </si>
  <si>
    <t>171</t>
  </si>
  <si>
    <t>ST3-380-200R</t>
  </si>
  <si>
    <t>.8300</t>
  </si>
  <si>
    <t>976</t>
  </si>
  <si>
    <t>.1400</t>
  </si>
  <si>
    <t>975</t>
  </si>
  <si>
    <t>172</t>
  </si>
  <si>
    <t>PE</t>
  </si>
  <si>
    <t>017</t>
  </si>
  <si>
    <t>Film</t>
  </si>
  <si>
    <t>173</t>
  </si>
  <si>
    <t>4.7500</t>
  </si>
  <si>
    <t>174</t>
  </si>
  <si>
    <t>4.1000</t>
  </si>
  <si>
    <t>944</t>
  </si>
  <si>
    <t>D2100203LBB</t>
  </si>
  <si>
    <t>2.9400</t>
  </si>
  <si>
    <t>XPS Regulares</t>
  </si>
  <si>
    <t>GPPST</t>
  </si>
  <si>
    <t>019</t>
  </si>
  <si>
    <t>Bandejas Espumadas Standard</t>
  </si>
  <si>
    <t>943</t>
  </si>
  <si>
    <t>D2100403LBBA</t>
  </si>
  <si>
    <t>5.2600</t>
  </si>
  <si>
    <t>945</t>
  </si>
  <si>
    <t>D2120203LBBAR</t>
  </si>
  <si>
    <t>7.4800</t>
  </si>
  <si>
    <t>175</t>
  </si>
  <si>
    <t>D2120499LBBACR</t>
  </si>
  <si>
    <t>4.6500</t>
  </si>
  <si>
    <t>XPS Absorvente</t>
  </si>
  <si>
    <t>Bandejas Espumadas Drystar</t>
  </si>
  <si>
    <t>176</t>
  </si>
  <si>
    <t>3.4300</t>
  </si>
  <si>
    <t>177</t>
  </si>
  <si>
    <t>2.6400</t>
  </si>
  <si>
    <t>178</t>
  </si>
  <si>
    <t>3.7000</t>
  </si>
  <si>
    <t>179</t>
  </si>
  <si>
    <t>D2001010LBB</t>
  </si>
  <si>
    <t>180</t>
  </si>
  <si>
    <t>D2000210LBB</t>
  </si>
  <si>
    <t>181</t>
  </si>
  <si>
    <t>D2000410LBB</t>
  </si>
  <si>
    <t>3.6800</t>
  </si>
  <si>
    <t>182</t>
  </si>
  <si>
    <t>D2001030LBB</t>
  </si>
  <si>
    <t>183</t>
  </si>
  <si>
    <t>D2000230LBB</t>
  </si>
  <si>
    <t>184</t>
  </si>
  <si>
    <t>D2000430LBB</t>
  </si>
  <si>
    <t>185</t>
  </si>
  <si>
    <t>D2001099LBB</t>
  </si>
  <si>
    <t>186</t>
  </si>
  <si>
    <t>D2000299LBB</t>
  </si>
  <si>
    <t>187</t>
  </si>
  <si>
    <t>D2000499LBB</t>
  </si>
  <si>
    <t>BAND N° 2-1.5BBC Bca (2FL BCA)</t>
  </si>
  <si>
    <t>0031LIEF0618</t>
  </si>
  <si>
    <t>188</t>
  </si>
  <si>
    <t>D2150201LBBC</t>
  </si>
  <si>
    <t>189</t>
  </si>
  <si>
    <t>3.1100</t>
  </si>
  <si>
    <t>190</t>
  </si>
  <si>
    <t>D2000210LBBC</t>
  </si>
  <si>
    <t>191</t>
  </si>
  <si>
    <t>D2000410LBBC</t>
  </si>
  <si>
    <t>192</t>
  </si>
  <si>
    <t>D2000810LBBC</t>
  </si>
  <si>
    <t>193</t>
  </si>
  <si>
    <t>D2000830LBBA</t>
  </si>
  <si>
    <t>194</t>
  </si>
  <si>
    <t>D2000899LBBC</t>
  </si>
  <si>
    <t>195</t>
  </si>
  <si>
    <t>D2120401LBBCR</t>
  </si>
  <si>
    <t>196</t>
  </si>
  <si>
    <t>D2150201LBB</t>
  </si>
  <si>
    <t>BANDEJA 2PL BCA NC</t>
  </si>
  <si>
    <t>0031LINN0618</t>
  </si>
  <si>
    <t>197</t>
  </si>
  <si>
    <t>2025-04-10-00.00.00.000000</t>
  </si>
  <si>
    <t>BANDEJA 2PL NEG NC</t>
  </si>
  <si>
    <t>0031LINN5618</t>
  </si>
  <si>
    <t>198</t>
  </si>
  <si>
    <t>199</t>
  </si>
  <si>
    <t>D210T901LBB</t>
  </si>
  <si>
    <t>3.2900</t>
  </si>
  <si>
    <t>D2100201LBBC</t>
  </si>
  <si>
    <t>201</t>
  </si>
  <si>
    <t>D2100401LBBC</t>
  </si>
  <si>
    <t>202</t>
  </si>
  <si>
    <t>D2100801LBBAAC</t>
  </si>
  <si>
    <t>3.8600</t>
  </si>
  <si>
    <t>203</t>
  </si>
  <si>
    <t>D2000810LBB</t>
  </si>
  <si>
    <t>2.4900</t>
  </si>
  <si>
    <t>204</t>
  </si>
  <si>
    <t>D2100230LBBA</t>
  </si>
  <si>
    <t>205</t>
  </si>
  <si>
    <t>D2100430LBBA</t>
  </si>
  <si>
    <t>206</t>
  </si>
  <si>
    <t>D2100299LBBC</t>
  </si>
  <si>
    <t>207</t>
  </si>
  <si>
    <t>D2100499LBBAC</t>
  </si>
  <si>
    <t>5.5100</t>
  </si>
  <si>
    <t>208</t>
  </si>
  <si>
    <t>D2000201LE6</t>
  </si>
  <si>
    <t>2.2950</t>
  </si>
  <si>
    <t>895</t>
  </si>
  <si>
    <t>896</t>
  </si>
  <si>
    <t>897</t>
  </si>
  <si>
    <t>898</t>
  </si>
  <si>
    <t>2.2000</t>
  </si>
  <si>
    <t>952</t>
  </si>
  <si>
    <t>D2001001LEE</t>
  </si>
  <si>
    <t>1.5900</t>
  </si>
  <si>
    <t>901</t>
  </si>
  <si>
    <t>.9530</t>
  </si>
  <si>
    <t>902</t>
  </si>
  <si>
    <t>1.2100</t>
  </si>
  <si>
    <t>903</t>
  </si>
  <si>
    <t>1.6100</t>
  </si>
  <si>
    <t>951</t>
  </si>
  <si>
    <t>D2000801LEE</t>
  </si>
  <si>
    <t>956</t>
  </si>
  <si>
    <t>D2002801LE</t>
  </si>
  <si>
    <t>2.0100</t>
  </si>
  <si>
    <t>209</t>
  </si>
  <si>
    <t>1.9900</t>
  </si>
  <si>
    <t>210</t>
  </si>
  <si>
    <t>1.1900</t>
  </si>
  <si>
    <t>211</t>
  </si>
  <si>
    <t>1.5300</t>
  </si>
  <si>
    <t>212</t>
  </si>
  <si>
    <t>2.1500</t>
  </si>
  <si>
    <t>213</t>
  </si>
  <si>
    <t>1.3900</t>
  </si>
  <si>
    <t>214</t>
  </si>
  <si>
    <t>215</t>
  </si>
  <si>
    <t>D2001010L</t>
  </si>
  <si>
    <t>216</t>
  </si>
  <si>
    <t>D2000210L</t>
  </si>
  <si>
    <t>217</t>
  </si>
  <si>
    <t>D2000410L</t>
  </si>
  <si>
    <t>218</t>
  </si>
  <si>
    <t>D2000810L</t>
  </si>
  <si>
    <t>1.7900</t>
  </si>
  <si>
    <t>219</t>
  </si>
  <si>
    <t>D2001030L</t>
  </si>
  <si>
    <t>220</t>
  </si>
  <si>
    <t>D2000230L</t>
  </si>
  <si>
    <t>221</t>
  </si>
  <si>
    <t>D2000430L</t>
  </si>
  <si>
    <t>222</t>
  </si>
  <si>
    <t>D2000260LE</t>
  </si>
  <si>
    <t>223</t>
  </si>
  <si>
    <t>D2001099L</t>
  </si>
  <si>
    <t>224</t>
  </si>
  <si>
    <t>D2001199LA</t>
  </si>
  <si>
    <t>225</t>
  </si>
  <si>
    <t>D2000299LE</t>
  </si>
  <si>
    <t>226</t>
  </si>
  <si>
    <t>D2000499L</t>
  </si>
  <si>
    <t>742</t>
  </si>
  <si>
    <t>D2120401L</t>
  </si>
  <si>
    <t>4.3100</t>
  </si>
  <si>
    <t>228</t>
  </si>
  <si>
    <t>D2120499L</t>
  </si>
  <si>
    <t>229</t>
  </si>
  <si>
    <t>D2121599L</t>
  </si>
  <si>
    <t>3.7500</t>
  </si>
  <si>
    <t>230</t>
  </si>
  <si>
    <t>D101801L</t>
  </si>
  <si>
    <t>1.2700</t>
  </si>
  <si>
    <t>020</t>
  </si>
  <si>
    <t>Bases Espumadas</t>
  </si>
  <si>
    <t>231</t>
  </si>
  <si>
    <t>232</t>
  </si>
  <si>
    <t>233</t>
  </si>
  <si>
    <t>D102301L</t>
  </si>
  <si>
    <t>234</t>
  </si>
  <si>
    <t>D102501L</t>
  </si>
  <si>
    <t>2.4500</t>
  </si>
  <si>
    <t>235</t>
  </si>
  <si>
    <t>D103001LR</t>
  </si>
  <si>
    <t>4.3800</t>
  </si>
  <si>
    <t>236</t>
  </si>
  <si>
    <t>XPS Portacomidas</t>
  </si>
  <si>
    <t>021</t>
  </si>
  <si>
    <t>Portacomidas Espumados</t>
  </si>
  <si>
    <t>237</t>
  </si>
  <si>
    <t>1.7302</t>
  </si>
  <si>
    <t>238</t>
  </si>
  <si>
    <t>2.3151</t>
  </si>
  <si>
    <t>239</t>
  </si>
  <si>
    <t>1.7107</t>
  </si>
  <si>
    <t>240</t>
  </si>
  <si>
    <t>1.3600</t>
  </si>
  <si>
    <t>241</t>
  </si>
  <si>
    <t>2.5600</t>
  </si>
  <si>
    <t>242</t>
  </si>
  <si>
    <t>2.3100</t>
  </si>
  <si>
    <t>243</t>
  </si>
  <si>
    <t>3.0555</t>
  </si>
  <si>
    <t>244</t>
  </si>
  <si>
    <t>2.8773</t>
  </si>
  <si>
    <t>245</t>
  </si>
  <si>
    <t>2.5684</t>
  </si>
  <si>
    <t>246</t>
  </si>
  <si>
    <t>1.3613</t>
  </si>
  <si>
    <t>247</t>
  </si>
  <si>
    <t>D741701RLFY</t>
  </si>
  <si>
    <t>248</t>
  </si>
  <si>
    <t>D744001RLFY</t>
  </si>
  <si>
    <t>1.6000</t>
  </si>
  <si>
    <t>987</t>
  </si>
  <si>
    <t>1038</t>
  </si>
  <si>
    <t>1.9000</t>
  </si>
  <si>
    <t>1039</t>
  </si>
  <si>
    <t>D7000801NL</t>
  </si>
  <si>
    <t>1040</t>
  </si>
  <si>
    <t>D701201NL</t>
  </si>
  <si>
    <t>3.0500</t>
  </si>
  <si>
    <t>1041</t>
  </si>
  <si>
    <t>2.1300</t>
  </si>
  <si>
    <t>1015</t>
  </si>
  <si>
    <t>1.7800</t>
  </si>
  <si>
    <t>1016</t>
  </si>
  <si>
    <t>2.1800</t>
  </si>
  <si>
    <t>1017</t>
  </si>
  <si>
    <t>2.2600</t>
  </si>
  <si>
    <t>1018</t>
  </si>
  <si>
    <t>1035</t>
  </si>
  <si>
    <t>1037</t>
  </si>
  <si>
    <t>2.8200</t>
  </si>
  <si>
    <t>1036</t>
  </si>
  <si>
    <t>1.8900</t>
  </si>
  <si>
    <t>1045</t>
  </si>
  <si>
    <t>480</t>
  </si>
  <si>
    <t>1046</t>
  </si>
  <si>
    <t>2.7900</t>
  </si>
  <si>
    <t>1044</t>
  </si>
  <si>
    <t>.8200</t>
  </si>
  <si>
    <t>1048</t>
  </si>
  <si>
    <t>D690401NMA</t>
  </si>
  <si>
    <t>2.6600</t>
  </si>
  <si>
    <t>984</t>
  </si>
  <si>
    <t>3.3600</t>
  </si>
  <si>
    <t>1049</t>
  </si>
  <si>
    <t>2.0500</t>
  </si>
  <si>
    <t>1019</t>
  </si>
  <si>
    <t>986</t>
  </si>
  <si>
    <t>1047</t>
  </si>
  <si>
    <t>HIPST</t>
  </si>
  <si>
    <t>033</t>
  </si>
  <si>
    <t>Vasos</t>
  </si>
  <si>
    <t>985</t>
  </si>
  <si>
    <t>POTE TERMICO 480 CC.</t>
  </si>
  <si>
    <t>0035POT00480</t>
  </si>
  <si>
    <t>249</t>
  </si>
  <si>
    <t>022</t>
  </si>
  <si>
    <t>Vaso Espumado</t>
  </si>
  <si>
    <t>251</t>
  </si>
  <si>
    <t>2.5000</t>
  </si>
  <si>
    <t>252</t>
  </si>
  <si>
    <t>253</t>
  </si>
  <si>
    <t>254</t>
  </si>
  <si>
    <t>006</t>
  </si>
  <si>
    <t>PP</t>
  </si>
  <si>
    <t>023</t>
  </si>
  <si>
    <t>Tapa Vaso</t>
  </si>
  <si>
    <t>255</t>
  </si>
  <si>
    <t>256</t>
  </si>
  <si>
    <t>257</t>
  </si>
  <si>
    <t>258</t>
  </si>
  <si>
    <t>2.3000</t>
  </si>
  <si>
    <t>GPPSI</t>
  </si>
  <si>
    <t>024</t>
  </si>
  <si>
    <t>Cubiertos</t>
  </si>
  <si>
    <t>259</t>
  </si>
  <si>
    <t>260</t>
  </si>
  <si>
    <t>3000</t>
  </si>
  <si>
    <t>CUCHARA POSTRE</t>
  </si>
  <si>
    <t>0041CUB00006</t>
  </si>
  <si>
    <t>765</t>
  </si>
  <si>
    <t>261</t>
  </si>
  <si>
    <t>262</t>
  </si>
  <si>
    <t>5000</t>
  </si>
  <si>
    <t>PALITOS PLASTICOS MC</t>
  </si>
  <si>
    <t>0041CUB00011</t>
  </si>
  <si>
    <t>263</t>
  </si>
  <si>
    <t>1.8000</t>
  </si>
  <si>
    <t>TAPABOQUILLAS STARBUCKS</t>
  </si>
  <si>
    <t>0041CUB00012</t>
  </si>
  <si>
    <t>264</t>
  </si>
  <si>
    <t>265</t>
  </si>
  <si>
    <t>1.7000</t>
  </si>
  <si>
    <t>025</t>
  </si>
  <si>
    <t>Pitillos</t>
  </si>
  <si>
    <t>266</t>
  </si>
  <si>
    <t>267</t>
  </si>
  <si>
    <t>268</t>
  </si>
  <si>
    <t>269</t>
  </si>
  <si>
    <t>270</t>
  </si>
  <si>
    <t>CUCHILLO NEGRO 3D</t>
  </si>
  <si>
    <t>0041CUB00022</t>
  </si>
  <si>
    <t>743</t>
  </si>
  <si>
    <t>271</t>
  </si>
  <si>
    <t>272</t>
  </si>
  <si>
    <t>TENEDOR ROJO</t>
  </si>
  <si>
    <t>0041CUB00040</t>
  </si>
  <si>
    <t>273</t>
  </si>
  <si>
    <t>CUCHILLO ROJO</t>
  </si>
  <si>
    <t>0041CUB00041</t>
  </si>
  <si>
    <t>274</t>
  </si>
  <si>
    <t>CUCHARA SUNDAE ROJO</t>
  </si>
  <si>
    <t>0041CUB00047</t>
  </si>
  <si>
    <t>275</t>
  </si>
  <si>
    <t>276</t>
  </si>
  <si>
    <t>026</t>
  </si>
  <si>
    <t>Cubiertos Ensobrados</t>
  </si>
  <si>
    <t>277</t>
  </si>
  <si>
    <t>278</t>
  </si>
  <si>
    <t>279</t>
  </si>
  <si>
    <t>280</t>
  </si>
  <si>
    <t>027</t>
  </si>
  <si>
    <t>Cubiertos Darnel Bistro</t>
  </si>
  <si>
    <t>281</t>
  </si>
  <si>
    <t>282</t>
  </si>
  <si>
    <t>283</t>
  </si>
  <si>
    <t>284</t>
  </si>
  <si>
    <t>285</t>
  </si>
  <si>
    <t>286</t>
  </si>
  <si>
    <t>287</t>
  </si>
  <si>
    <t>.9000</t>
  </si>
  <si>
    <t>288</t>
  </si>
  <si>
    <t>289</t>
  </si>
  <si>
    <t>.8800</t>
  </si>
  <si>
    <t>028</t>
  </si>
  <si>
    <t>Petites Murano</t>
  </si>
  <si>
    <t>290</t>
  </si>
  <si>
    <t>291</t>
  </si>
  <si>
    <t>946</t>
  </si>
  <si>
    <t>RPCM1116010</t>
  </si>
  <si>
    <t>2.6700</t>
  </si>
  <si>
    <t>Madera</t>
  </si>
  <si>
    <t>947</t>
  </si>
  <si>
    <t>RPCM1216010</t>
  </si>
  <si>
    <t>948</t>
  </si>
  <si>
    <t>RPCM1314010</t>
  </si>
  <si>
    <t>1.8500</t>
  </si>
  <si>
    <t>CUCHARA DE MADERA 16CM DARNEL NAT 10PQX100</t>
  </si>
  <si>
    <t>0041DAR00160</t>
  </si>
  <si>
    <t>1055</t>
  </si>
  <si>
    <t>RPCM1316010</t>
  </si>
  <si>
    <t>1.9500</t>
  </si>
  <si>
    <t>292</t>
  </si>
  <si>
    <t>029</t>
  </si>
  <si>
    <t>Cubiertos Tami</t>
  </si>
  <si>
    <t>293</t>
  </si>
  <si>
    <t>294</t>
  </si>
  <si>
    <t>295</t>
  </si>
  <si>
    <t>296</t>
  </si>
  <si>
    <t>297</t>
  </si>
  <si>
    <t>298</t>
  </si>
  <si>
    <t>299</t>
  </si>
  <si>
    <t>1.0625</t>
  </si>
  <si>
    <t>301</t>
  </si>
  <si>
    <t>.9750</t>
  </si>
  <si>
    <t>CUCHARA DULCERA BLANC 10PAQX100 CAJA X8000</t>
  </si>
  <si>
    <t>0041TAM10015</t>
  </si>
  <si>
    <t>1057</t>
  </si>
  <si>
    <t>D851100012</t>
  </si>
  <si>
    <t>16.0000</t>
  </si>
  <si>
    <t>8000</t>
  </si>
  <si>
    <t>TAMI TENEDOR 11 CM PAQ 10 UNID CAJA 8000</t>
  </si>
  <si>
    <t>0041TAM10019</t>
  </si>
  <si>
    <t>1056</t>
  </si>
  <si>
    <t>7.8000</t>
  </si>
  <si>
    <t>1012</t>
  </si>
  <si>
    <t>2.1700</t>
  </si>
  <si>
    <t>1013</t>
  </si>
  <si>
    <t>2.0300</t>
  </si>
  <si>
    <t>1014</t>
  </si>
  <si>
    <t>1.9700</t>
  </si>
  <si>
    <t>CUCHARITA 11 CM TAMI BIO CLEAN TOUCH NATUR PQ X100 CAJ X8000</t>
  </si>
  <si>
    <t>0041TAMB0011</t>
  </si>
  <si>
    <t>1105</t>
  </si>
  <si>
    <t>DB85110003L</t>
  </si>
  <si>
    <t>8.4800</t>
  </si>
  <si>
    <t>TENEDOR TAMI BIO CLEAR TOUCH NATUR PAQX100 CAJ X1000</t>
  </si>
  <si>
    <t>0041TAMB1001</t>
  </si>
  <si>
    <t>1104</t>
  </si>
  <si>
    <t>DB81110001</t>
  </si>
  <si>
    <t>CUCHILLO TAMI BIO CLEAN TOUCH NATUR PQ X100 CAJ X1000</t>
  </si>
  <si>
    <t>0041TAMB2002</t>
  </si>
  <si>
    <t>1102</t>
  </si>
  <si>
    <t>DB82110001</t>
  </si>
  <si>
    <t>CUCHARA DULCERA TAMI BIO CLEAN TOUCH NAT PQ X100 CAJ X1000</t>
  </si>
  <si>
    <t>0041TAMB3003</t>
  </si>
  <si>
    <t>1103</t>
  </si>
  <si>
    <t>DB83110001</t>
  </si>
  <si>
    <t>302</t>
  </si>
  <si>
    <t>303</t>
  </si>
  <si>
    <t>304</t>
  </si>
  <si>
    <t>7.7000</t>
  </si>
  <si>
    <t>305</t>
  </si>
  <si>
    <t>3.4000</t>
  </si>
  <si>
    <t>030</t>
  </si>
  <si>
    <t>Platos</t>
  </si>
  <si>
    <t>306</t>
  </si>
  <si>
    <t>307</t>
  </si>
  <si>
    <t>308</t>
  </si>
  <si>
    <t>309</t>
  </si>
  <si>
    <t>983</t>
  </si>
  <si>
    <t>310</t>
  </si>
  <si>
    <t>Bagazo</t>
  </si>
  <si>
    <t>800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</si>
  <si>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</si>
  <si>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</si>
  <si>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</si>
  <si>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</si>
  <si>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</si>
  <si>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</si>
  <si>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</si>
  <si>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</si>
  <si>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</si>
  <si>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</si>
  <si>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</si>
  <si>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</si>
  <si>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</si>
  <si>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</si>
  <si>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Colombia</t>
  </si>
  <si>
    <t>032</t>
  </si>
  <si>
    <t>Platos Tami</t>
  </si>
  <si>
    <t>325</t>
  </si>
  <si>
    <t>7.1000</t>
  </si>
  <si>
    <t>326</t>
  </si>
  <si>
    <t>327</t>
  </si>
  <si>
    <t>8.0000</t>
  </si>
  <si>
    <t>328</t>
  </si>
  <si>
    <t>VASO BLANCO 220 CC.</t>
  </si>
  <si>
    <t>0043BLA00220</t>
  </si>
  <si>
    <t>329</t>
  </si>
  <si>
    <t>330</t>
  </si>
  <si>
    <t>12.3000</t>
  </si>
  <si>
    <t>331</t>
  </si>
  <si>
    <t>10.2000</t>
  </si>
  <si>
    <t>332</t>
  </si>
  <si>
    <t>12.0000</t>
  </si>
  <si>
    <t>2400</t>
  </si>
  <si>
    <t>333</t>
  </si>
  <si>
    <t>034</t>
  </si>
  <si>
    <t>Vasos Murano</t>
  </si>
  <si>
    <t>625</t>
  </si>
  <si>
    <t>334</t>
  </si>
  <si>
    <t>335</t>
  </si>
  <si>
    <t>336</t>
  </si>
  <si>
    <t>337</t>
  </si>
  <si>
    <t>338</t>
  </si>
  <si>
    <t>035</t>
  </si>
  <si>
    <t>Vasos Plásticos Color</t>
  </si>
  <si>
    <t>339</t>
  </si>
  <si>
    <t>4.9000</t>
  </si>
  <si>
    <t>340</t>
  </si>
  <si>
    <t>341</t>
  </si>
  <si>
    <t>1.5600</t>
  </si>
  <si>
    <t>342</t>
  </si>
  <si>
    <t>343</t>
  </si>
  <si>
    <t>344</t>
  </si>
  <si>
    <t>2.1100</t>
  </si>
  <si>
    <t>809</t>
  </si>
  <si>
    <t>2.5400</t>
  </si>
  <si>
    <t>PET</t>
  </si>
  <si>
    <t>916</t>
  </si>
  <si>
    <t>917</t>
  </si>
  <si>
    <t>4.3500</t>
  </si>
  <si>
    <t>918</t>
  </si>
  <si>
    <t>1051</t>
  </si>
  <si>
    <t>1052</t>
  </si>
  <si>
    <t>1053</t>
  </si>
  <si>
    <t>1054</t>
  </si>
  <si>
    <t>1050</t>
  </si>
  <si>
    <t>915</t>
  </si>
  <si>
    <t>1.6400</t>
  </si>
  <si>
    <t>040</t>
  </si>
  <si>
    <t>Contenedores y tapas</t>
  </si>
  <si>
    <t>857</t>
  </si>
  <si>
    <t>1.6300</t>
  </si>
  <si>
    <t>914</t>
  </si>
  <si>
    <t>2.9700</t>
  </si>
  <si>
    <t>856</t>
  </si>
  <si>
    <t>960</t>
  </si>
  <si>
    <t>13.0000</t>
  </si>
  <si>
    <t>961</t>
  </si>
  <si>
    <t>16.5000</t>
  </si>
  <si>
    <t>963</t>
  </si>
  <si>
    <t>345</t>
  </si>
  <si>
    <t>D650902P</t>
  </si>
  <si>
    <t>2.8800</t>
  </si>
  <si>
    <t>036</t>
  </si>
  <si>
    <t>Vasos Tami</t>
  </si>
  <si>
    <t>VASO TRASLUCIDO 240 CC.</t>
  </si>
  <si>
    <t>0043TRA00240</t>
  </si>
  <si>
    <t>346</t>
  </si>
  <si>
    <t>1400</t>
  </si>
  <si>
    <t>VASO TRASLUCIDO FULL 240 CC.</t>
  </si>
  <si>
    <t>0043TRAY0240</t>
  </si>
  <si>
    <t>782</t>
  </si>
  <si>
    <t>VASO TRANSLUCIDO FULL 240 CC x1200</t>
  </si>
  <si>
    <t>0043TRAY1240</t>
  </si>
  <si>
    <t>783</t>
  </si>
  <si>
    <t>1200</t>
  </si>
  <si>
    <t>347</t>
  </si>
  <si>
    <t>5.4000</t>
  </si>
  <si>
    <t>037</t>
  </si>
  <si>
    <t>Copas Venecianas Pet</t>
  </si>
  <si>
    <t>348</t>
  </si>
  <si>
    <t>9.2600</t>
  </si>
  <si>
    <t>349</t>
  </si>
  <si>
    <t>10.5800</t>
  </si>
  <si>
    <t>954</t>
  </si>
  <si>
    <t>038</t>
  </si>
  <si>
    <t>Botellas</t>
  </si>
  <si>
    <t>350</t>
  </si>
  <si>
    <t>351</t>
  </si>
  <si>
    <t>BOTELLA JUGO 1/2 CUAD C/T X200 UNID</t>
  </si>
  <si>
    <t>0045BOT10500</t>
  </si>
  <si>
    <t>965</t>
  </si>
  <si>
    <t>BOTELLA JUGO 1LITRO BOCA ANCHA</t>
  </si>
  <si>
    <t>0045BOT11000</t>
  </si>
  <si>
    <t>978</t>
  </si>
  <si>
    <t>848</t>
  </si>
  <si>
    <t>1.9600</t>
  </si>
  <si>
    <t>849</t>
  </si>
  <si>
    <t>850</t>
  </si>
  <si>
    <t>3.0700</t>
  </si>
  <si>
    <t>847</t>
  </si>
  <si>
    <t>846</t>
  </si>
  <si>
    <t>2.7800</t>
  </si>
  <si>
    <t>844</t>
  </si>
  <si>
    <t>3.4500</t>
  </si>
  <si>
    <t>841</t>
  </si>
  <si>
    <t>2.5200</t>
  </si>
  <si>
    <t>842</t>
  </si>
  <si>
    <t>3.4600</t>
  </si>
  <si>
    <t>843</t>
  </si>
  <si>
    <t>969</t>
  </si>
  <si>
    <t>967</t>
  </si>
  <si>
    <t>3.3400</t>
  </si>
  <si>
    <t>851</t>
  </si>
  <si>
    <t>1.6600</t>
  </si>
  <si>
    <t>853</t>
  </si>
  <si>
    <t>.9200</t>
  </si>
  <si>
    <t>905</t>
  </si>
  <si>
    <t>DC590701952TC1</t>
  </si>
  <si>
    <t>855</t>
  </si>
  <si>
    <t>DC590701930TC1</t>
  </si>
  <si>
    <t>854</t>
  </si>
  <si>
    <t>DC59891599TC1</t>
  </si>
  <si>
    <t>.7400</t>
  </si>
  <si>
    <t>852</t>
  </si>
  <si>
    <t>DC591101752TC1</t>
  </si>
  <si>
    <t>.4900</t>
  </si>
  <si>
    <t>906</t>
  </si>
  <si>
    <t>352</t>
  </si>
  <si>
    <t>5.8000</t>
  </si>
  <si>
    <t>039</t>
  </si>
  <si>
    <t>Bandejas y Tapas</t>
  </si>
  <si>
    <t>353</t>
  </si>
  <si>
    <t>354</t>
  </si>
  <si>
    <t>355</t>
  </si>
  <si>
    <t>356</t>
  </si>
  <si>
    <t>357</t>
  </si>
  <si>
    <t>358</t>
  </si>
  <si>
    <t>910</t>
  </si>
  <si>
    <t>6.4400</t>
  </si>
  <si>
    <t>041</t>
  </si>
  <si>
    <t>Bandejas</t>
  </si>
  <si>
    <t>909</t>
  </si>
  <si>
    <t>811</t>
  </si>
  <si>
    <t>4.7200</t>
  </si>
  <si>
    <t>942</t>
  </si>
  <si>
    <t>D20V0200PL</t>
  </si>
  <si>
    <t>812</t>
  </si>
  <si>
    <t>6.5500</t>
  </si>
  <si>
    <t>912</t>
  </si>
  <si>
    <t>8.9900</t>
  </si>
  <si>
    <t>814</t>
  </si>
  <si>
    <t>939</t>
  </si>
  <si>
    <t>D20V0299PL</t>
  </si>
  <si>
    <t>813</t>
  </si>
  <si>
    <t>940</t>
  </si>
  <si>
    <t>D20V0499PL</t>
  </si>
  <si>
    <t>911</t>
  </si>
  <si>
    <t>913</t>
  </si>
  <si>
    <t>810</t>
  </si>
  <si>
    <t>359</t>
  </si>
  <si>
    <t>360</t>
  </si>
  <si>
    <t>361</t>
  </si>
  <si>
    <t>.9500</t>
  </si>
  <si>
    <t>362</t>
  </si>
  <si>
    <t>363</t>
  </si>
  <si>
    <t>364</t>
  </si>
  <si>
    <t>365</t>
  </si>
  <si>
    <t>366</t>
  </si>
  <si>
    <t>.4000</t>
  </si>
  <si>
    <t>367</t>
  </si>
  <si>
    <t>.7000</t>
  </si>
  <si>
    <t>368</t>
  </si>
  <si>
    <t>.8500</t>
  </si>
  <si>
    <t>369</t>
  </si>
  <si>
    <t>6.2500</t>
  </si>
  <si>
    <t>370</t>
  </si>
  <si>
    <t>BOPS</t>
  </si>
  <si>
    <t>371</t>
  </si>
  <si>
    <t>372</t>
  </si>
  <si>
    <t>540</t>
  </si>
  <si>
    <t>373</t>
  </si>
  <si>
    <t>374</t>
  </si>
  <si>
    <t>375</t>
  </si>
  <si>
    <t>376</t>
  </si>
  <si>
    <t>5.7500</t>
  </si>
  <si>
    <t>377</t>
  </si>
  <si>
    <t>378</t>
  </si>
  <si>
    <t>379</t>
  </si>
  <si>
    <t>5.3000</t>
  </si>
  <si>
    <t>380</t>
  </si>
  <si>
    <t>381</t>
  </si>
  <si>
    <t>382</t>
  </si>
  <si>
    <t>5.2000</t>
  </si>
  <si>
    <t>383</t>
  </si>
  <si>
    <t>384</t>
  </si>
  <si>
    <t>744</t>
  </si>
  <si>
    <t>385</t>
  </si>
  <si>
    <t>12.6000</t>
  </si>
  <si>
    <t>386</t>
  </si>
  <si>
    <t>700</t>
  </si>
  <si>
    <t>BANDEJA BURGER NARANJA</t>
  </si>
  <si>
    <t>0051VAR00001</t>
  </si>
  <si>
    <t>387</t>
  </si>
  <si>
    <t>7.2000</t>
  </si>
  <si>
    <t>388</t>
  </si>
  <si>
    <t>389</t>
  </si>
  <si>
    <t>390</t>
  </si>
  <si>
    <t>11.6000</t>
  </si>
  <si>
    <t>391</t>
  </si>
  <si>
    <t>392</t>
  </si>
  <si>
    <t>BANDEJA COSTILLA PP/BOPS -- 501</t>
  </si>
  <si>
    <t>0051VAR00009</t>
  </si>
  <si>
    <t>393</t>
  </si>
  <si>
    <t>394</t>
  </si>
  <si>
    <t>395</t>
  </si>
  <si>
    <t>396</t>
  </si>
  <si>
    <t>745</t>
  </si>
  <si>
    <t>797</t>
  </si>
  <si>
    <t>798</t>
  </si>
  <si>
    <t>799</t>
  </si>
  <si>
    <t>5.7000</t>
  </si>
  <si>
    <t>801</t>
  </si>
  <si>
    <t>802</t>
  </si>
  <si>
    <t>746</t>
  </si>
  <si>
    <t>8.5000</t>
  </si>
  <si>
    <t>4900</t>
  </si>
  <si>
    <t>CUNA COLONIA CARO BLANCO</t>
  </si>
  <si>
    <t>0051VAR00100</t>
  </si>
  <si>
    <t>397</t>
  </si>
  <si>
    <t>9.4000</t>
  </si>
  <si>
    <t>398</t>
  </si>
  <si>
    <t>3500</t>
  </si>
  <si>
    <t>747</t>
  </si>
  <si>
    <t>4000</t>
  </si>
  <si>
    <t>BANDEJA DEGUSTACION</t>
  </si>
  <si>
    <t>0051VAR00200</t>
  </si>
  <si>
    <t>784</t>
  </si>
  <si>
    <t>399</t>
  </si>
  <si>
    <t>720</t>
  </si>
  <si>
    <t>401</t>
  </si>
  <si>
    <t>POTE 3142 BASE CR Y TAPA NEG X180 UNID</t>
  </si>
  <si>
    <t>0052COM13142</t>
  </si>
  <si>
    <t>964</t>
  </si>
  <si>
    <t>5.1000</t>
  </si>
  <si>
    <t>955</t>
  </si>
  <si>
    <t>4.8000</t>
  </si>
  <si>
    <t>402</t>
  </si>
  <si>
    <t>403</t>
  </si>
  <si>
    <t>6.2000</t>
  </si>
  <si>
    <t>404</t>
  </si>
  <si>
    <t>769</t>
  </si>
  <si>
    <t>3.2500</t>
  </si>
  <si>
    <t>044</t>
  </si>
  <si>
    <t>Copas Souffle</t>
  </si>
  <si>
    <t>771</t>
  </si>
  <si>
    <t>1300</t>
  </si>
  <si>
    <t>772</t>
  </si>
  <si>
    <t>POTE 80 NEGRO DEGUSTACION</t>
  </si>
  <si>
    <t>0052COMP0080</t>
  </si>
  <si>
    <t>773</t>
  </si>
  <si>
    <t>770</t>
  </si>
  <si>
    <t>774</t>
  </si>
  <si>
    <t>405</t>
  </si>
  <si>
    <t>043</t>
  </si>
  <si>
    <t>Roundpack Pet</t>
  </si>
  <si>
    <t>406</t>
  </si>
  <si>
    <t>2.7000</t>
  </si>
  <si>
    <t>042</t>
  </si>
  <si>
    <t>Contenedor Pet Minipack</t>
  </si>
  <si>
    <t>407</t>
  </si>
  <si>
    <t>408</t>
  </si>
  <si>
    <t>409</t>
  </si>
  <si>
    <t>410</t>
  </si>
  <si>
    <t>D631002A</t>
  </si>
  <si>
    <t>2500</t>
  </si>
  <si>
    <t>411</t>
  </si>
  <si>
    <t>045</t>
  </si>
  <si>
    <t>Copas Souffle Tapas</t>
  </si>
  <si>
    <t>412</t>
  </si>
  <si>
    <t>413</t>
  </si>
  <si>
    <t>414</t>
  </si>
  <si>
    <t>415</t>
  </si>
  <si>
    <t>D631099AN</t>
  </si>
  <si>
    <t>416</t>
  </si>
  <si>
    <t>D630500ATN</t>
  </si>
  <si>
    <t>417</t>
  </si>
  <si>
    <t>9.0000</t>
  </si>
  <si>
    <t>418</t>
  </si>
  <si>
    <t>419</t>
  </si>
  <si>
    <t>420</t>
  </si>
  <si>
    <t>421</t>
  </si>
  <si>
    <t>815</t>
  </si>
  <si>
    <t>8.0600</t>
  </si>
  <si>
    <t>048</t>
  </si>
  <si>
    <t>Contenedores Doble Uso</t>
  </si>
  <si>
    <t>817</t>
  </si>
  <si>
    <t>2.5900</t>
  </si>
  <si>
    <t>894</t>
  </si>
  <si>
    <t>12.4500</t>
  </si>
  <si>
    <t>422</t>
  </si>
  <si>
    <t>DAR1845</t>
  </si>
  <si>
    <t>046</t>
  </si>
  <si>
    <t>Contenedores Safetyplus</t>
  </si>
  <si>
    <t>423</t>
  </si>
  <si>
    <t>DAR1846</t>
  </si>
  <si>
    <t>424</t>
  </si>
  <si>
    <t>DAR1847</t>
  </si>
  <si>
    <t>425</t>
  </si>
  <si>
    <t>DAR1848</t>
  </si>
  <si>
    <t>426</t>
  </si>
  <si>
    <t>DAR1844</t>
  </si>
  <si>
    <t>818</t>
  </si>
  <si>
    <t>819</t>
  </si>
  <si>
    <t>11.1500</t>
  </si>
  <si>
    <t>953</t>
  </si>
  <si>
    <t>D773699SP</t>
  </si>
  <si>
    <t>3.9100</t>
  </si>
  <si>
    <t>820</t>
  </si>
  <si>
    <t>6.8100</t>
  </si>
  <si>
    <t>821</t>
  </si>
  <si>
    <t>9.5600</t>
  </si>
  <si>
    <t>979</t>
  </si>
  <si>
    <t>4.1300</t>
  </si>
  <si>
    <t>988</t>
  </si>
  <si>
    <t>2.0200</t>
  </si>
  <si>
    <t>1042</t>
  </si>
  <si>
    <t>989</t>
  </si>
  <si>
    <t>1026</t>
  </si>
  <si>
    <t>8.3800</t>
  </si>
  <si>
    <t>1027</t>
  </si>
  <si>
    <t>9.6000</t>
  </si>
  <si>
    <t>750</t>
  </si>
  <si>
    <t>1011</t>
  </si>
  <si>
    <t>4.1700</t>
  </si>
  <si>
    <t>1033</t>
  </si>
  <si>
    <t>3.5100</t>
  </si>
  <si>
    <t>1034</t>
  </si>
  <si>
    <t>5.3100</t>
  </si>
  <si>
    <t>1028</t>
  </si>
  <si>
    <t>1.5400</t>
  </si>
  <si>
    <t>1029</t>
  </si>
  <si>
    <t>1030</t>
  </si>
  <si>
    <t>3.8500</t>
  </si>
  <si>
    <t>1032</t>
  </si>
  <si>
    <t>7.1600</t>
  </si>
  <si>
    <t>1031</t>
  </si>
  <si>
    <t>990</t>
  </si>
  <si>
    <t>992</t>
  </si>
  <si>
    <t>8.0400</t>
  </si>
  <si>
    <t>991</t>
  </si>
  <si>
    <t>921</t>
  </si>
  <si>
    <t>922</t>
  </si>
  <si>
    <t>4.3700</t>
  </si>
  <si>
    <t>829</t>
  </si>
  <si>
    <t>3.7900</t>
  </si>
  <si>
    <t>825</t>
  </si>
  <si>
    <t>826</t>
  </si>
  <si>
    <t>827</t>
  </si>
  <si>
    <t>828</t>
  </si>
  <si>
    <t>822</t>
  </si>
  <si>
    <t>823</t>
  </si>
  <si>
    <t>7.6800</t>
  </si>
  <si>
    <t>824</t>
  </si>
  <si>
    <t>SAFETYPLUS BOWL RESQ 24 Oz CRISTAL CON TAPA PAQX100 CAJ X200 UNID</t>
  </si>
  <si>
    <t>993</t>
  </si>
  <si>
    <t>7.4500</t>
  </si>
  <si>
    <t>427</t>
  </si>
  <si>
    <t>8.8000</t>
  </si>
  <si>
    <t>428</t>
  </si>
  <si>
    <t>12.2000</t>
  </si>
  <si>
    <t>429</t>
  </si>
  <si>
    <t>12.8000</t>
  </si>
  <si>
    <t>761</t>
  </si>
  <si>
    <t>762</t>
  </si>
  <si>
    <t>763</t>
  </si>
  <si>
    <t>430</t>
  </si>
  <si>
    <t>431</t>
  </si>
  <si>
    <t>432</t>
  </si>
  <si>
    <t>433</t>
  </si>
  <si>
    <t>434</t>
  </si>
  <si>
    <t>5.9000</t>
  </si>
  <si>
    <t>435</t>
  </si>
  <si>
    <t>047</t>
  </si>
  <si>
    <t>Selloplus Pet</t>
  </si>
  <si>
    <t>436</t>
  </si>
  <si>
    <t>437</t>
  </si>
  <si>
    <t>6.8000</t>
  </si>
  <si>
    <t>438</t>
  </si>
  <si>
    <t>439</t>
  </si>
  <si>
    <t>440</t>
  </si>
  <si>
    <t>3.2800</t>
  </si>
  <si>
    <t>441</t>
  </si>
  <si>
    <t>442</t>
  </si>
  <si>
    <t>2.7400</t>
  </si>
  <si>
    <t>443</t>
  </si>
  <si>
    <t>444</t>
  </si>
  <si>
    <t>2.4300</t>
  </si>
  <si>
    <t>049</t>
  </si>
  <si>
    <t>Contenedores Pet Misc</t>
  </si>
  <si>
    <t>445</t>
  </si>
  <si>
    <t>446</t>
  </si>
  <si>
    <t>3.5700</t>
  </si>
  <si>
    <t>050</t>
  </si>
  <si>
    <t>Contenedor Pet Twist</t>
  </si>
  <si>
    <t>447</t>
  </si>
  <si>
    <t>3.6900</t>
  </si>
  <si>
    <t>448</t>
  </si>
  <si>
    <t>449</t>
  </si>
  <si>
    <t>052</t>
  </si>
  <si>
    <t>Portahuevos Pet</t>
  </si>
  <si>
    <t>051</t>
  </si>
  <si>
    <t>Visualpack Pet</t>
  </si>
  <si>
    <t>451</t>
  </si>
  <si>
    <t>D720VI100TAPT1N</t>
  </si>
  <si>
    <t>452</t>
  </si>
  <si>
    <t>453</t>
  </si>
  <si>
    <t>454</t>
  </si>
  <si>
    <t>6.9000</t>
  </si>
  <si>
    <t>455</t>
  </si>
  <si>
    <t>456</t>
  </si>
  <si>
    <t>457</t>
  </si>
  <si>
    <t>458</t>
  </si>
  <si>
    <t>D720VE100</t>
  </si>
  <si>
    <t>459</t>
  </si>
  <si>
    <t>460</t>
  </si>
  <si>
    <t>2.4600</t>
  </si>
  <si>
    <t>461</t>
  </si>
  <si>
    <t>14.2000</t>
  </si>
  <si>
    <t>462</t>
  </si>
  <si>
    <t>D7112000</t>
  </si>
  <si>
    <t>3.2600</t>
  </si>
  <si>
    <t>919</t>
  </si>
  <si>
    <t>831</t>
  </si>
  <si>
    <t>832</t>
  </si>
  <si>
    <t>833</t>
  </si>
  <si>
    <t>834</t>
  </si>
  <si>
    <t>835</t>
  </si>
  <si>
    <t>830</t>
  </si>
  <si>
    <t>920</t>
  </si>
  <si>
    <t>3.1800</t>
  </si>
  <si>
    <t>836</t>
  </si>
  <si>
    <t>837</t>
  </si>
  <si>
    <t>4.8900</t>
  </si>
  <si>
    <t>838</t>
  </si>
  <si>
    <t>941</t>
  </si>
  <si>
    <t>D720VA100TA</t>
  </si>
  <si>
    <t>463</t>
  </si>
  <si>
    <t>9.1000</t>
  </si>
  <si>
    <t>900</t>
  </si>
  <si>
    <t>464</t>
  </si>
  <si>
    <t>465</t>
  </si>
  <si>
    <t>466</t>
  </si>
  <si>
    <t>14.5000</t>
  </si>
  <si>
    <t>467</t>
  </si>
  <si>
    <t>11.7500</t>
  </si>
  <si>
    <t>520</t>
  </si>
  <si>
    <t>766</t>
  </si>
  <si>
    <t>6.7800</t>
  </si>
  <si>
    <t>468</t>
  </si>
  <si>
    <t>469</t>
  </si>
  <si>
    <t>12.1000</t>
  </si>
  <si>
    <t>767</t>
  </si>
  <si>
    <t>6.9800</t>
  </si>
  <si>
    <t>470</t>
  </si>
  <si>
    <t>11.1000</t>
  </si>
  <si>
    <t>768</t>
  </si>
  <si>
    <t>471</t>
  </si>
  <si>
    <t>472</t>
  </si>
  <si>
    <t>10.8000</t>
  </si>
  <si>
    <t>473</t>
  </si>
  <si>
    <t>10.6000</t>
  </si>
  <si>
    <t>474</t>
  </si>
  <si>
    <t>475</t>
  </si>
  <si>
    <t>476</t>
  </si>
  <si>
    <t>477</t>
  </si>
  <si>
    <t>6.6000</t>
  </si>
  <si>
    <t>478</t>
  </si>
  <si>
    <t>054</t>
  </si>
  <si>
    <t>Base Tortera</t>
  </si>
  <si>
    <t>479</t>
  </si>
  <si>
    <t>4.2500</t>
  </si>
  <si>
    <t>481</t>
  </si>
  <si>
    <t>907</t>
  </si>
  <si>
    <t>805</t>
  </si>
  <si>
    <t>1.8700</t>
  </si>
  <si>
    <t>806</t>
  </si>
  <si>
    <t>2.1200</t>
  </si>
  <si>
    <t>839</t>
  </si>
  <si>
    <t>055</t>
  </si>
  <si>
    <t>Torteras</t>
  </si>
  <si>
    <t>840</t>
  </si>
  <si>
    <t>807</t>
  </si>
  <si>
    <t>908</t>
  </si>
  <si>
    <t>&amp;BASE 20.5 CM X 12 CM ALTURA 8CM VISUALDOMO RECT RESQ NEGRA X50 p</t>
  </si>
  <si>
    <t>980</t>
  </si>
  <si>
    <t>2.3600</t>
  </si>
  <si>
    <t>981</t>
  </si>
  <si>
    <t>&amp;BASE RECT 21X16 CM NEGRA C/DOMO 8 ALTA VISIBILIDAD CJX50</t>
  </si>
  <si>
    <t>0054DARB2008</t>
  </si>
  <si>
    <t>1043</t>
  </si>
  <si>
    <t>D16490899V</t>
  </si>
  <si>
    <t>982</t>
  </si>
  <si>
    <t>482</t>
  </si>
  <si>
    <t>483</t>
  </si>
  <si>
    <t>10.3000</t>
  </si>
  <si>
    <t>484</t>
  </si>
  <si>
    <t>4.4000</t>
  </si>
  <si>
    <t>485</t>
  </si>
  <si>
    <t>486</t>
  </si>
  <si>
    <t>487</t>
  </si>
  <si>
    <t>488</t>
  </si>
  <si>
    <t>489</t>
  </si>
  <si>
    <t>490</t>
  </si>
  <si>
    <t>9.5000</t>
  </si>
  <si>
    <t>491</t>
  </si>
  <si>
    <t>10.2500</t>
  </si>
  <si>
    <t>492</t>
  </si>
  <si>
    <t>493</t>
  </si>
  <si>
    <t>494</t>
  </si>
  <si>
    <t>495</t>
  </si>
  <si>
    <t>496</t>
  </si>
  <si>
    <t>Aluminio</t>
  </si>
  <si>
    <t>497</t>
  </si>
  <si>
    <t>498</t>
  </si>
  <si>
    <t>499</t>
  </si>
  <si>
    <t>501</t>
  </si>
  <si>
    <t>748</t>
  </si>
  <si>
    <t>1.4500</t>
  </si>
  <si>
    <t>056</t>
  </si>
  <si>
    <t>budinera</t>
  </si>
  <si>
    <t>502</t>
  </si>
  <si>
    <t>871</t>
  </si>
  <si>
    <t>BRASIL</t>
  </si>
  <si>
    <t>872</t>
  </si>
  <si>
    <t>.6900</t>
  </si>
  <si>
    <t>873</t>
  </si>
  <si>
    <t>1.1400</t>
  </si>
  <si>
    <t>874</t>
  </si>
  <si>
    <t>875</t>
  </si>
  <si>
    <t>.4500</t>
  </si>
  <si>
    <t>876</t>
  </si>
  <si>
    <t>877</t>
  </si>
  <si>
    <t>.3600</t>
  </si>
  <si>
    <t>878</t>
  </si>
  <si>
    <t>1.4900</t>
  </si>
  <si>
    <t>879</t>
  </si>
  <si>
    <t>.8900</t>
  </si>
  <si>
    <t>880</t>
  </si>
  <si>
    <t>1.0200</t>
  </si>
  <si>
    <t>881</t>
  </si>
  <si>
    <t>.6100</t>
  </si>
  <si>
    <t>882</t>
  </si>
  <si>
    <t>.4700</t>
  </si>
  <si>
    <t>923</t>
  </si>
  <si>
    <t>924</t>
  </si>
  <si>
    <t>3.9500</t>
  </si>
  <si>
    <t>925</t>
  </si>
  <si>
    <t>926</t>
  </si>
  <si>
    <t>883</t>
  </si>
  <si>
    <t>884</t>
  </si>
  <si>
    <t>885</t>
  </si>
  <si>
    <t>1.3300</t>
  </si>
  <si>
    <t>886</t>
  </si>
  <si>
    <t>3.0800</t>
  </si>
  <si>
    <t>887</t>
  </si>
  <si>
    <t>888</t>
  </si>
  <si>
    <t>2.3800</t>
  </si>
  <si>
    <t>889</t>
  </si>
  <si>
    <t>.5400</t>
  </si>
  <si>
    <t>890</t>
  </si>
  <si>
    <t>.5100</t>
  </si>
  <si>
    <t>891</t>
  </si>
  <si>
    <t>892</t>
  </si>
  <si>
    <t>893</t>
  </si>
  <si>
    <t>.9800</t>
  </si>
  <si>
    <t>870</t>
  </si>
  <si>
    <t>864</t>
  </si>
  <si>
    <t>865</t>
  </si>
  <si>
    <t>866</t>
  </si>
  <si>
    <t>5.9500</t>
  </si>
  <si>
    <t>867</t>
  </si>
  <si>
    <t>868</t>
  </si>
  <si>
    <t>869</t>
  </si>
  <si>
    <t>927</t>
  </si>
  <si>
    <t>957</t>
  </si>
  <si>
    <t>749</t>
  </si>
  <si>
    <t>503</t>
  </si>
  <si>
    <t>504</t>
  </si>
  <si>
    <t>227</t>
  </si>
  <si>
    <t>2025-03-18-00.00.00.000000</t>
  </si>
  <si>
    <t>505</t>
  </si>
  <si>
    <t>PLATO ALUMINIO 18.5</t>
  </si>
  <si>
    <t>0062PAL00029</t>
  </si>
  <si>
    <t>751</t>
  </si>
  <si>
    <t>Sin Definir</t>
  </si>
  <si>
    <t>506</t>
  </si>
  <si>
    <t>1.1000</t>
  </si>
  <si>
    <t>058</t>
  </si>
  <si>
    <t>858</t>
  </si>
  <si>
    <t>5.8600</t>
  </si>
  <si>
    <t>859</t>
  </si>
  <si>
    <t>.9700</t>
  </si>
  <si>
    <t>860</t>
  </si>
  <si>
    <t>861</t>
  </si>
  <si>
    <t>1.5100</t>
  </si>
  <si>
    <t>862</t>
  </si>
  <si>
    <t>8.7500</t>
  </si>
  <si>
    <t>863</t>
  </si>
  <si>
    <t>507</t>
  </si>
  <si>
    <t>508</t>
  </si>
  <si>
    <t>057</t>
  </si>
  <si>
    <t>Varios</t>
  </si>
  <si>
    <t>509</t>
  </si>
  <si>
    <t>510</t>
  </si>
  <si>
    <t>511</t>
  </si>
  <si>
    <t>.0500</t>
  </si>
  <si>
    <t>512</t>
  </si>
  <si>
    <t>.1000</t>
  </si>
  <si>
    <t>INSUMO CINTA 48MM X 150 MTS</t>
  </si>
  <si>
    <t>0077CIA00148</t>
  </si>
  <si>
    <t>513</t>
  </si>
  <si>
    <t>CINTA REGALO 2X50 ROJO</t>
  </si>
  <si>
    <t>0077CIR00004</t>
  </si>
  <si>
    <t>514</t>
  </si>
  <si>
    <t>.2500</t>
  </si>
  <si>
    <t>CINTA REGALO 2X50 AZUL</t>
  </si>
  <si>
    <t>0077CIR00005</t>
  </si>
  <si>
    <t>515</t>
  </si>
  <si>
    <t>CINTA REGALO 2X50 DORADO</t>
  </si>
  <si>
    <t>0077CIR00006</t>
  </si>
  <si>
    <t>516</t>
  </si>
  <si>
    <t>517</t>
  </si>
  <si>
    <t>518</t>
  </si>
  <si>
    <t>519</t>
  </si>
  <si>
    <t>AGITADOR DE MADERA 15CM X 6 MM</t>
  </si>
  <si>
    <t>0078PAL00005</t>
  </si>
  <si>
    <t>521</t>
  </si>
  <si>
    <t>060</t>
  </si>
  <si>
    <t>Agitador</t>
  </si>
  <si>
    <t>522</t>
  </si>
  <si>
    <t>.1500</t>
  </si>
  <si>
    <t>SOPAPITAS</t>
  </si>
  <si>
    <t>0078VAR00032</t>
  </si>
  <si>
    <t>523</t>
  </si>
  <si>
    <t>752</t>
  </si>
  <si>
    <t>BOBINA IND. BIOXIDO</t>
  </si>
  <si>
    <t>0079BOIBIO01</t>
  </si>
  <si>
    <t>524</t>
  </si>
  <si>
    <t>BIOXIDO EN HOJAS</t>
  </si>
  <si>
    <t>0079BOIBIO02</t>
  </si>
  <si>
    <t>525</t>
  </si>
  <si>
    <t>BOBINA IND BCO SEIN 30 CM</t>
  </si>
  <si>
    <t>0079BOIBS030</t>
  </si>
  <si>
    <t>526</t>
  </si>
  <si>
    <t>BOBINA IND BCO SEIN 35 CM</t>
  </si>
  <si>
    <t>0079BOIBS035</t>
  </si>
  <si>
    <t>527</t>
  </si>
  <si>
    <t>BOBINA IND BCO SEIN 40 CM</t>
  </si>
  <si>
    <t>0079BOIBS040</t>
  </si>
  <si>
    <t>528</t>
  </si>
  <si>
    <t>BOBINA IND BCO SEIN 45 CM</t>
  </si>
  <si>
    <t>0079BOIBS045</t>
  </si>
  <si>
    <t>529</t>
  </si>
  <si>
    <t>BOBINA IND BCO SEIN 55 CM</t>
  </si>
  <si>
    <t>0079BOIBS055</t>
  </si>
  <si>
    <t>530</t>
  </si>
  <si>
    <t>BOBINA IND BCO SEIN 60 CM</t>
  </si>
  <si>
    <t>0079BOIBS060</t>
  </si>
  <si>
    <t>531</t>
  </si>
  <si>
    <t>BOBINA IND BCO SEIN 80 CM</t>
  </si>
  <si>
    <t>0079BOIBS080</t>
  </si>
  <si>
    <t>532</t>
  </si>
  <si>
    <t>BOBINA IND BCO SEIN 100 CM</t>
  </si>
  <si>
    <t>0079BOIBS100</t>
  </si>
  <si>
    <t>533</t>
  </si>
  <si>
    <t>BLANCO SEIN HOJAS 60X80</t>
  </si>
  <si>
    <t>0079BOIBS608</t>
  </si>
  <si>
    <t>534</t>
  </si>
  <si>
    <t>BLANCO SEIN HOJAS 64X100</t>
  </si>
  <si>
    <t>0079BOIBS641</t>
  </si>
  <si>
    <t>535</t>
  </si>
  <si>
    <t>BLANCO SEIN HOJAS 72X100</t>
  </si>
  <si>
    <t>0079BOIBS721</t>
  </si>
  <si>
    <t>536</t>
  </si>
  <si>
    <t>BLANCO SEIN HOJAS 80X100</t>
  </si>
  <si>
    <t>0079BOIBS801</t>
  </si>
  <si>
    <t>537</t>
  </si>
  <si>
    <t>BOBINA IND. DESMOLDANTE 80</t>
  </si>
  <si>
    <t>0079BOID0000</t>
  </si>
  <si>
    <t>538</t>
  </si>
  <si>
    <t>BOBINA IND. DESMOLDANTE 90</t>
  </si>
  <si>
    <t>0079BOID0001</t>
  </si>
  <si>
    <t>539</t>
  </si>
  <si>
    <t>DESMOLDANTE EN HOJAS 60X80</t>
  </si>
  <si>
    <t>0079BOID0002</t>
  </si>
  <si>
    <t>DESMOLDANTE EN HOJAS 64X90</t>
  </si>
  <si>
    <t>0079BOID0003</t>
  </si>
  <si>
    <t>541</t>
  </si>
  <si>
    <t>DESMOLDANTE EN HOJAS 70X90</t>
  </si>
  <si>
    <t>0079BOID0004</t>
  </si>
  <si>
    <t>542</t>
  </si>
  <si>
    <t>BOBINA IND. BIOXIDO KRAFT</t>
  </si>
  <si>
    <t>0079BOID0005</t>
  </si>
  <si>
    <t>543</t>
  </si>
  <si>
    <t>BOBINA IND. KRAFT 50 GRS.24CM</t>
  </si>
  <si>
    <t>0079BOIK0524</t>
  </si>
  <si>
    <t>544</t>
  </si>
  <si>
    <t>BOBINA IND. KRAFT 50 GRS 28CM</t>
  </si>
  <si>
    <t>0079BOIK0528</t>
  </si>
  <si>
    <t>545</t>
  </si>
  <si>
    <t>BOBINA IND. KRAFT 50 GRS 30CM</t>
  </si>
  <si>
    <t>0079BOIK0530</t>
  </si>
  <si>
    <t>546</t>
  </si>
  <si>
    <t>BOBINA IND. KRAFT 50 GRS 35CM</t>
  </si>
  <si>
    <t>0079BOIK0535</t>
  </si>
  <si>
    <t>547</t>
  </si>
  <si>
    <t>BOBINA IND. KRAFT 50 GRS 40CM</t>
  </si>
  <si>
    <t>0079BOIK0540</t>
  </si>
  <si>
    <t>548</t>
  </si>
  <si>
    <t>BOBINA IND. KRAFT 50 GRS 45CM</t>
  </si>
  <si>
    <t>0079BOIK0545</t>
  </si>
  <si>
    <t>549</t>
  </si>
  <si>
    <t>BOBINA IND. KRAFT 50 GRS 55CM</t>
  </si>
  <si>
    <t>0079BOIK5055</t>
  </si>
  <si>
    <t>550</t>
  </si>
  <si>
    <t>BOBINA IND. KRAFT 50 GRS 60CM</t>
  </si>
  <si>
    <t>0079BOIK5060</t>
  </si>
  <si>
    <t>551</t>
  </si>
  <si>
    <t>BOBINA IND. KRAFT 50 GRS 80CM</t>
  </si>
  <si>
    <t>0079BOIK5080</t>
  </si>
  <si>
    <t>552</t>
  </si>
  <si>
    <t>BOBINA IND. KRAFT 50 GRS 120CM</t>
  </si>
  <si>
    <t>0079BOIK5120</t>
  </si>
  <si>
    <t>553</t>
  </si>
  <si>
    <t>BOBINA IND. KRAFT 80 GRS 60CM</t>
  </si>
  <si>
    <t>0079BOIK8060</t>
  </si>
  <si>
    <t>554</t>
  </si>
  <si>
    <t>BOBINA IND. KRAFT 80 GRS 80CM</t>
  </si>
  <si>
    <t>0079BOIK8080</t>
  </si>
  <si>
    <t>555</t>
  </si>
  <si>
    <t>KRAFT UNIONPEL 24 CM</t>
  </si>
  <si>
    <t>0079BOIKI024</t>
  </si>
  <si>
    <t>556</t>
  </si>
  <si>
    <t>KRAFT UNIONPEL 30CM</t>
  </si>
  <si>
    <t>0079BOIKI030</t>
  </si>
  <si>
    <t>557</t>
  </si>
  <si>
    <t>KRAFT UNIONPEL 55CM</t>
  </si>
  <si>
    <t>0079BOIKI035</t>
  </si>
  <si>
    <t>558</t>
  </si>
  <si>
    <t>BOBINA IND. KRAFT P 80 GRS.</t>
  </si>
  <si>
    <t>0079BOIKP080</t>
  </si>
  <si>
    <t>559</t>
  </si>
  <si>
    <t>BOBINA IND. KRAFT P 125 GRS.</t>
  </si>
  <si>
    <t>0079BOIKP125</t>
  </si>
  <si>
    <t>560</t>
  </si>
  <si>
    <t>PAPEL NAT CORTADO EN HOJAS</t>
  </si>
  <si>
    <t>0079BOINAT01</t>
  </si>
  <si>
    <t>793</t>
  </si>
  <si>
    <t>BOBINA IND. PACKING</t>
  </si>
  <si>
    <t>0079BOIP0001</t>
  </si>
  <si>
    <t>561</t>
  </si>
  <si>
    <t>POLIESTIRENO USO GENERAL DEXTON</t>
  </si>
  <si>
    <t>0079BOIPS001</t>
  </si>
  <si>
    <t>562</t>
  </si>
  <si>
    <t>PS585-B</t>
  </si>
  <si>
    <t>061</t>
  </si>
  <si>
    <t>Grumo</t>
  </si>
  <si>
    <t>UBQ CLIMA POST TM</t>
  </si>
  <si>
    <t>0079BOIPS005</t>
  </si>
  <si>
    <t>928</t>
  </si>
  <si>
    <t>ACLP0000FC002</t>
  </si>
  <si>
    <t>20.0000</t>
  </si>
  <si>
    <t>BOBINA IND. PVC CRISTAL VIRGEN</t>
  </si>
  <si>
    <t>0079BOIPVC01</t>
  </si>
  <si>
    <t>563</t>
  </si>
  <si>
    <t>PVC Rigido</t>
  </si>
  <si>
    <t>LAMINA PET VIRGEN</t>
  </si>
  <si>
    <t>0079BOIPVC04</t>
  </si>
  <si>
    <t>564</t>
  </si>
  <si>
    <t>BOBINA 720 MM PPH/35</t>
  </si>
  <si>
    <t>0079BOIPVC05</t>
  </si>
  <si>
    <t>565</t>
  </si>
  <si>
    <t>PELICULAS BARRERA</t>
  </si>
  <si>
    <t>BOBINA 810 MM PPH/36</t>
  </si>
  <si>
    <t>0079BOIPVC06</t>
  </si>
  <si>
    <t>566</t>
  </si>
  <si>
    <t>BOBINA 940 MM PPH/36</t>
  </si>
  <si>
    <t>0079BOIPVC07</t>
  </si>
  <si>
    <t>567</t>
  </si>
  <si>
    <t>BOBINA 930 MM PPH/35</t>
  </si>
  <si>
    <t>0079BOIPVC08</t>
  </si>
  <si>
    <t>568</t>
  </si>
  <si>
    <t>569</t>
  </si>
  <si>
    <t>570</t>
  </si>
  <si>
    <t>571</t>
  </si>
  <si>
    <t>BOBINA IND. SEDA VALOT BLANC</t>
  </si>
  <si>
    <t>0079BOISB002</t>
  </si>
  <si>
    <t>572</t>
  </si>
  <si>
    <t>573</t>
  </si>
  <si>
    <t>BOBINA IND. PRIMERA 24 CM 40 GRS.</t>
  </si>
  <si>
    <t>0079BOISP035</t>
  </si>
  <si>
    <t>574</t>
  </si>
  <si>
    <t>BOBINA IND. PRIMERA 40 CM 40 GRS.</t>
  </si>
  <si>
    <t>0079BOISP040</t>
  </si>
  <si>
    <t>575</t>
  </si>
  <si>
    <t>BOBINA IND. PRIMERA 45 CM 40 GRS.</t>
  </si>
  <si>
    <t>0079BOISP045</t>
  </si>
  <si>
    <t>576</t>
  </si>
  <si>
    <t>BOBINA IND. PRIMERA 55 CM 40 GRS.</t>
  </si>
  <si>
    <t>0079BOISP055</t>
  </si>
  <si>
    <t>577</t>
  </si>
  <si>
    <t>BOBINA IND. PRIMERA 60 CM 40 GRS.</t>
  </si>
  <si>
    <t>0079BOISP060</t>
  </si>
  <si>
    <t>578</t>
  </si>
  <si>
    <t>BOBINA IND. PRIMERA 80 CM 40 GRS.</t>
  </si>
  <si>
    <t>0079BOISP080</t>
  </si>
  <si>
    <t>579</t>
  </si>
  <si>
    <t>BOBINA IND. PRIMERA 100 CM 40 GRS.</t>
  </si>
  <si>
    <t>0079BOISP100</t>
  </si>
  <si>
    <t>580</t>
  </si>
  <si>
    <t>SULFITO PRIMERA HOJAS 60X80</t>
  </si>
  <si>
    <t>0079BOISP608</t>
  </si>
  <si>
    <t>581</t>
  </si>
  <si>
    <t>SULFITO PRIMERA HOJAS 64X100</t>
  </si>
  <si>
    <t>0079BOISP641</t>
  </si>
  <si>
    <t>582</t>
  </si>
  <si>
    <t>SULFITO PRIMERA HOJAS 72X100</t>
  </si>
  <si>
    <t>0079BOISP721</t>
  </si>
  <si>
    <t>583</t>
  </si>
  <si>
    <t>SULFITO PRIMERA HOJAS 80X100</t>
  </si>
  <si>
    <t>0079BOISP801</t>
  </si>
  <si>
    <t>584</t>
  </si>
  <si>
    <t>CAJA 150X150X150 (PALITOS MC)</t>
  </si>
  <si>
    <t>0079CAJ00001</t>
  </si>
  <si>
    <t>585</t>
  </si>
  <si>
    <t>062</t>
  </si>
  <si>
    <t>CAJA 330X270X180 (KRAFT PURO 2) Nº17</t>
  </si>
  <si>
    <t>0079CAJ00002</t>
  </si>
  <si>
    <t>586</t>
  </si>
  <si>
    <t>CAJA 240x220x490 Nº13</t>
  </si>
  <si>
    <t>0079CAJ00006</t>
  </si>
  <si>
    <t>587</t>
  </si>
  <si>
    <t>CAJA 240X330X490 Nº 11</t>
  </si>
  <si>
    <t>0079CAJ00007</t>
  </si>
  <si>
    <t>588</t>
  </si>
  <si>
    <t>CAJA 365 X 255 X 75 (ENVOLTORIO)Nº10</t>
  </si>
  <si>
    <t>0079CAJ00008</t>
  </si>
  <si>
    <t>589</t>
  </si>
  <si>
    <t>CAJA 330X300X130 FULL CH N°3</t>
  </si>
  <si>
    <t>0079CAJ00009</t>
  </si>
  <si>
    <t>590</t>
  </si>
  <si>
    <t>CAJA 400X330X200 FULL GR N°2</t>
  </si>
  <si>
    <t>0079CAJ00010</t>
  </si>
  <si>
    <t>591</t>
  </si>
  <si>
    <t>CAJAS MICRO 360X280X305(para bandeja micro #2)</t>
  </si>
  <si>
    <t>0079CAJ00100</t>
  </si>
  <si>
    <t>592</t>
  </si>
  <si>
    <t>CAJAS MICRO 435X280X345(para bandeja micro #3)</t>
  </si>
  <si>
    <t>0079CAJ00101</t>
  </si>
  <si>
    <t>593</t>
  </si>
  <si>
    <t>CAJAS MICRO 490X280X385(para bandeja micro #4)</t>
  </si>
  <si>
    <t>0079CAJ00102</t>
  </si>
  <si>
    <t>594</t>
  </si>
  <si>
    <t>CAJAS MICRO 440X270X300(para bandeja micro #5)</t>
  </si>
  <si>
    <t>0079CAJ00103</t>
  </si>
  <si>
    <t>595</t>
  </si>
  <si>
    <t>CAJA 380x330x220 (CUBIERTOS) N°1</t>
  </si>
  <si>
    <t>0079CAJC0001</t>
  </si>
  <si>
    <t>596</t>
  </si>
  <si>
    <t>CAJA 200X150X480 BIOXIDO Nº8</t>
  </si>
  <si>
    <t>0079CAJP0001</t>
  </si>
  <si>
    <t>597</t>
  </si>
  <si>
    <t>CAJA 550X250X250 ESTUCHES KFC/WEND N°7</t>
  </si>
  <si>
    <t>0079CAJP0002</t>
  </si>
  <si>
    <t>598</t>
  </si>
  <si>
    <t>CAJA 605X206X250 (BAG X1) N°4</t>
  </si>
  <si>
    <t>0079CAJP0006</t>
  </si>
  <si>
    <t>599</t>
  </si>
  <si>
    <t>CAJA 600x240x250 (BAGX2) Nº14</t>
  </si>
  <si>
    <t>0079CAJP0007</t>
  </si>
  <si>
    <t>CAJA 540X150X190 ( P/BIOXIDO) Nº 22</t>
  </si>
  <si>
    <t>0079CAJR0001</t>
  </si>
  <si>
    <t>601</t>
  </si>
  <si>
    <t>580x240x330 (caja N° 18) TAPA POTE CD1844</t>
  </si>
  <si>
    <t>0079CAJR0005</t>
  </si>
  <si>
    <t>602</t>
  </si>
  <si>
    <t>620x255x465 (caja N° 20) POTE 480 CD1847</t>
  </si>
  <si>
    <t>0079CAJR0006</t>
  </si>
  <si>
    <t>603</t>
  </si>
  <si>
    <t>620x255x500 (caja N° 19) POTE 720 CD1848</t>
  </si>
  <si>
    <t>0079CAJR0007</t>
  </si>
  <si>
    <t>604</t>
  </si>
  <si>
    <t>620x255x445 (caja N° 21) POTE 240/360 CD1845</t>
  </si>
  <si>
    <t>0079CAJR0008</t>
  </si>
  <si>
    <t>605</t>
  </si>
  <si>
    <t>COLA PARA BOLSERA</t>
  </si>
  <si>
    <t>0079PEG00001</t>
  </si>
  <si>
    <t>606</t>
  </si>
  <si>
    <t>COLA PARA PEGADORA</t>
  </si>
  <si>
    <t>0079PEG00002</t>
  </si>
  <si>
    <t>607</t>
  </si>
  <si>
    <t>ENGRUDO BOLSERA</t>
  </si>
  <si>
    <t>0079PEG00003</t>
  </si>
  <si>
    <t>608</t>
  </si>
  <si>
    <t>COLA VINILICA AV-195</t>
  </si>
  <si>
    <t>0079PEG00004</t>
  </si>
  <si>
    <t>609</t>
  </si>
  <si>
    <t>COLA VINILICA AV-C422</t>
  </si>
  <si>
    <t>0079PEG00005</t>
  </si>
  <si>
    <t>610</t>
  </si>
  <si>
    <t>PLANTILLAS PAPAS KRAFT</t>
  </si>
  <si>
    <t>0079PLN00001</t>
  </si>
  <si>
    <t>611</t>
  </si>
  <si>
    <t>063</t>
  </si>
  <si>
    <t>Plantillas Cartulina</t>
  </si>
  <si>
    <t>PLANTILLAS PAPAS FRITAS</t>
  </si>
  <si>
    <t>0079PLN00002</t>
  </si>
  <si>
    <t>612</t>
  </si>
  <si>
    <t>PLATILLAS PAPAS FRITAS GRANDE</t>
  </si>
  <si>
    <t>0079PLN00003</t>
  </si>
  <si>
    <t>613</t>
  </si>
  <si>
    <t>PLANTILLAS YPF FULL</t>
  </si>
  <si>
    <t>0079PLN00018</t>
  </si>
  <si>
    <t>614</t>
  </si>
  <si>
    <t>PLANTILLAS BAND KRAFT PURO N°1</t>
  </si>
  <si>
    <t>0079PLN00030</t>
  </si>
  <si>
    <t>615</t>
  </si>
  <si>
    <t>PLANTILLAS BAND KRAFT PURO N°2</t>
  </si>
  <si>
    <t>0079PLN00031</t>
  </si>
  <si>
    <t>616</t>
  </si>
  <si>
    <t>PLANTILLAS BAND KRAFT PURO N°3</t>
  </si>
  <si>
    <t>0079PLN00032</t>
  </si>
  <si>
    <t>617</t>
  </si>
  <si>
    <t>PLANTILLAS BAND KRAFT PURO N°4</t>
  </si>
  <si>
    <t>0079PLN00033</t>
  </si>
  <si>
    <t>618</t>
  </si>
  <si>
    <t>PLANT BAND. CARTON 2</t>
  </si>
  <si>
    <t>0079PLNC0001</t>
  </si>
  <si>
    <t>619</t>
  </si>
  <si>
    <t>PLANT BAND. CARTON 3</t>
  </si>
  <si>
    <t>0079PLNC0002</t>
  </si>
  <si>
    <t>620</t>
  </si>
  <si>
    <t>PLANT BAND. CARTON 4</t>
  </si>
  <si>
    <t>0079PLNC0003</t>
  </si>
  <si>
    <t>621</t>
  </si>
  <si>
    <t>PLANT BAND. CARTON 5</t>
  </si>
  <si>
    <t>0079PLNC0004</t>
  </si>
  <si>
    <t>622</t>
  </si>
  <si>
    <t>PLANT BAND. CARTON 6</t>
  </si>
  <si>
    <t>0079PLNC0006</t>
  </si>
  <si>
    <t>623</t>
  </si>
  <si>
    <t>PLANT BAND. CARTON 7</t>
  </si>
  <si>
    <t>0079PLNC0007</t>
  </si>
  <si>
    <t>624</t>
  </si>
  <si>
    <t>PLANT. BAND. CARTON 2 IMPRESA</t>
  </si>
  <si>
    <t>0079PLNC0012</t>
  </si>
  <si>
    <t>PLANT. BAND. CARTON 3 IMPRESA</t>
  </si>
  <si>
    <t>0079PLNC0013</t>
  </si>
  <si>
    <t>626</t>
  </si>
  <si>
    <t>PLANT. BAND. CARTON 4 IMPRESA</t>
  </si>
  <si>
    <t>0079PLNC0014</t>
  </si>
  <si>
    <t>627</t>
  </si>
  <si>
    <t>PLANT. BAND. CARTON 5 IMPRESA</t>
  </si>
  <si>
    <t>0079PLNC0015</t>
  </si>
  <si>
    <t>628</t>
  </si>
  <si>
    <t>PLANT. BAND. CARTON 6 IMPRESA</t>
  </si>
  <si>
    <t>0079PLNC0016</t>
  </si>
  <si>
    <t>629</t>
  </si>
  <si>
    <t>PLANT. BAND. CARTON 7 IMPRESA</t>
  </si>
  <si>
    <t>0079PLNC0017</t>
  </si>
  <si>
    <t>630</t>
  </si>
  <si>
    <t>POLIM. PELICULA - PRUEBA COLOR</t>
  </si>
  <si>
    <t>0079POL00001</t>
  </si>
  <si>
    <t>631</t>
  </si>
  <si>
    <t>BOLSAS CONSORCIO 100 X 90 CR.</t>
  </si>
  <si>
    <t>0079POL00003</t>
  </si>
  <si>
    <t>632</t>
  </si>
  <si>
    <t>BOBINA FILM BOLSERA 8CM</t>
  </si>
  <si>
    <t>0079PPP00000</t>
  </si>
  <si>
    <t>633</t>
  </si>
  <si>
    <t>031</t>
  </si>
  <si>
    <t>Film Bolsera</t>
  </si>
  <si>
    <t>BOBINA FILM BOLSERA10CM</t>
  </si>
  <si>
    <t>0079PPP00001</t>
  </si>
  <si>
    <t>634</t>
  </si>
  <si>
    <t>BOBINA FILM BOLSERA16CM</t>
  </si>
  <si>
    <t>0079PPP00002</t>
  </si>
  <si>
    <t>635</t>
  </si>
  <si>
    <t>TINTA BLANCA</t>
  </si>
  <si>
    <t>0079TAG00001</t>
  </si>
  <si>
    <t>636</t>
  </si>
  <si>
    <t>Litros</t>
  </si>
  <si>
    <t>LT</t>
  </si>
  <si>
    <t>TINTA NEGRA</t>
  </si>
  <si>
    <t>0079TAG00002</t>
  </si>
  <si>
    <t>637</t>
  </si>
  <si>
    <t>TINTA ROJA</t>
  </si>
  <si>
    <t>0079TAG00003</t>
  </si>
  <si>
    <t>638</t>
  </si>
  <si>
    <t>TINTA AZUL</t>
  </si>
  <si>
    <t>0079TAG00004</t>
  </si>
  <si>
    <t>639</t>
  </si>
  <si>
    <t>TINTA AMARILLA</t>
  </si>
  <si>
    <t>0079TAG00005</t>
  </si>
  <si>
    <t>640</t>
  </si>
  <si>
    <t>TINTA NARANJA</t>
  </si>
  <si>
    <t>0079TAG00006</t>
  </si>
  <si>
    <t>641</t>
  </si>
  <si>
    <t>TINTA CELESTE</t>
  </si>
  <si>
    <t>0079TAG00007</t>
  </si>
  <si>
    <t>642</t>
  </si>
  <si>
    <t>TINTA VIOLETA</t>
  </si>
  <si>
    <t>0079TAG00008</t>
  </si>
  <si>
    <t>643</t>
  </si>
  <si>
    <t>TINTA VERDE</t>
  </si>
  <si>
    <t>0079TAG00009</t>
  </si>
  <si>
    <t>644</t>
  </si>
  <si>
    <t>TINTA LILA</t>
  </si>
  <si>
    <t>0079TAG00010</t>
  </si>
  <si>
    <t>645</t>
  </si>
  <si>
    <t>TINTA BORDO</t>
  </si>
  <si>
    <t>0079TAG00011</t>
  </si>
  <si>
    <t>646</t>
  </si>
  <si>
    <t>TINTA GRIS</t>
  </si>
  <si>
    <t>0079TAG00012</t>
  </si>
  <si>
    <t>647</t>
  </si>
  <si>
    <t>TINTA ROSA</t>
  </si>
  <si>
    <t>0079TAG00013</t>
  </si>
  <si>
    <t>648</t>
  </si>
  <si>
    <t>TINTA FUCCIA 9000</t>
  </si>
  <si>
    <t>0079TAG00014</t>
  </si>
  <si>
    <t>649</t>
  </si>
  <si>
    <t>TINTA MARRON</t>
  </si>
  <si>
    <t>0079TAG00015</t>
  </si>
  <si>
    <t>650</t>
  </si>
  <si>
    <t>ALCOHOL</t>
  </si>
  <si>
    <t>0079TDI00001</t>
  </si>
  <si>
    <t>651</t>
  </si>
  <si>
    <t>DILUYENTE IND. TINTAS</t>
  </si>
  <si>
    <t>0079TDI00002</t>
  </si>
  <si>
    <t>652</t>
  </si>
  <si>
    <t>DILUYENTE IND. PEGAMENTO</t>
  </si>
  <si>
    <t>0079TDI00003</t>
  </si>
  <si>
    <t>653</t>
  </si>
  <si>
    <t>BUTANOL INDUSTRIAL</t>
  </si>
  <si>
    <t>0079TDI00004</t>
  </si>
  <si>
    <t>654</t>
  </si>
  <si>
    <t>BOBINA IMP. BLANCO 1 COLOR</t>
  </si>
  <si>
    <t>0080GENBCO01</t>
  </si>
  <si>
    <t>753</t>
  </si>
  <si>
    <t>655</t>
  </si>
  <si>
    <t>BOBINA IMP. PRIMERA 1 COLOR</t>
  </si>
  <si>
    <t>0080GENPRI01</t>
  </si>
  <si>
    <t>754</t>
  </si>
  <si>
    <t>656</t>
  </si>
  <si>
    <t>BOLSA CARRYFOODY ANT LISA 33X16.5 PAQ X500</t>
  </si>
  <si>
    <t>0081ANTL03316</t>
  </si>
  <si>
    <t>1076</t>
  </si>
  <si>
    <t>BOLSA P/CAMPO.CH KRAFT C/V</t>
  </si>
  <si>
    <t>0081CAR00006</t>
  </si>
  <si>
    <t>657</t>
  </si>
  <si>
    <t>BOLSA P/CAMPO TRAD. FRANCESA</t>
  </si>
  <si>
    <t>0081CAR00007</t>
  </si>
  <si>
    <t>658</t>
  </si>
  <si>
    <t>BOLSA CLASICA KRAFT X 2 S/V</t>
  </si>
  <si>
    <t>0081CAR00011</t>
  </si>
  <si>
    <t>659</t>
  </si>
  <si>
    <t>BOLSA CLASICA KRAFT X 1</t>
  </si>
  <si>
    <t>0081CAR00021</t>
  </si>
  <si>
    <t>660</t>
  </si>
  <si>
    <t>BOLSA SALVADO KRAFT X 1</t>
  </si>
  <si>
    <t>0081CAR00022</t>
  </si>
  <si>
    <t>661</t>
  </si>
  <si>
    <t>BOLSA CEBOLLA KRAFT X 1</t>
  </si>
  <si>
    <t>0081CAR00023</t>
  </si>
  <si>
    <t>662</t>
  </si>
  <si>
    <t>BOLSA SIN SAL KRAFT X 1</t>
  </si>
  <si>
    <t>0081CAR00024</t>
  </si>
  <si>
    <t>663</t>
  </si>
  <si>
    <t>BOLSA TRAD. FRANCESA SEMILLA</t>
  </si>
  <si>
    <t>0081CAR00029</t>
  </si>
  <si>
    <t>664</t>
  </si>
  <si>
    <t>BOLSA BAGUETTE TRAD FRANCESA</t>
  </si>
  <si>
    <t>0081CAR00030</t>
  </si>
  <si>
    <t>665</t>
  </si>
  <si>
    <t>7.7500</t>
  </si>
  <si>
    <t>BOLSA MINI BAG. CARREFOUR</t>
  </si>
  <si>
    <t>0081CAR00031</t>
  </si>
  <si>
    <t>666</t>
  </si>
  <si>
    <t>BOLSA 3L C/V SEMILLA GRANERO</t>
  </si>
  <si>
    <t>0081CAR00032</t>
  </si>
  <si>
    <t>667</t>
  </si>
  <si>
    <t>BOLSA MINI BAG TRAD. FRANCESA</t>
  </si>
  <si>
    <t>0081CAR00041</t>
  </si>
  <si>
    <t>668</t>
  </si>
  <si>
    <t>BOLSA BAG.C/V KRAFT X1 GALLEGA</t>
  </si>
  <si>
    <t>0081GAL00001</t>
  </si>
  <si>
    <t>669</t>
  </si>
  <si>
    <t>BOLSA BAG. KRAFT JUMBO X 1 S/V</t>
  </si>
  <si>
    <t>0081NOR00001</t>
  </si>
  <si>
    <t>670</t>
  </si>
  <si>
    <t>BOLSA 3L C/V JUMBO FRESH</t>
  </si>
  <si>
    <t>0081NOR00002</t>
  </si>
  <si>
    <t>671</t>
  </si>
  <si>
    <t>BOLSA PAN DE CAMPO C/V JUMBO FRESH</t>
  </si>
  <si>
    <t>0081NOR00003</t>
  </si>
  <si>
    <t>672</t>
  </si>
  <si>
    <t>673</t>
  </si>
  <si>
    <t>674</t>
  </si>
  <si>
    <t>675</t>
  </si>
  <si>
    <t>676</t>
  </si>
  <si>
    <t>BOLSA 3L C/V VIVI SALUDABLE</t>
  </si>
  <si>
    <t>0081NOR00008</t>
  </si>
  <si>
    <t>677</t>
  </si>
  <si>
    <t>BOLSA PAN DE CAMPO C/V VIVI SALUDABLE</t>
  </si>
  <si>
    <t>0081NOR00009</t>
  </si>
  <si>
    <t>678</t>
  </si>
  <si>
    <t>BOLSAS KRAFT 25X35 FUELLE 8CM</t>
  </si>
  <si>
    <t>0081NOR00010</t>
  </si>
  <si>
    <t>937</t>
  </si>
  <si>
    <t>7.6000</t>
  </si>
  <si>
    <t>BOLSA DELIVERY CH..FULL 100 AÑOS</t>
  </si>
  <si>
    <t>0081YPF00001</t>
  </si>
  <si>
    <t>679</t>
  </si>
  <si>
    <t>BOLSA DELIVERY GD. FULL 100 AÑOS</t>
  </si>
  <si>
    <t>0081YPF00002</t>
  </si>
  <si>
    <t>680</t>
  </si>
  <si>
    <t>BOLSA ALTERNATIVA NUEVA IMAGEN</t>
  </si>
  <si>
    <t>0081YPF00008</t>
  </si>
  <si>
    <t>681</t>
  </si>
  <si>
    <t>BOLSA CHIPA FULL</t>
  </si>
  <si>
    <t>0081YPF00016</t>
  </si>
  <si>
    <t>682</t>
  </si>
  <si>
    <t>BOLSA FONDO CUAD. CH. FULL</t>
  </si>
  <si>
    <t>0081YPF00017</t>
  </si>
  <si>
    <t>683</t>
  </si>
  <si>
    <t>BOLSA FONDO CUAD. GDE FULL</t>
  </si>
  <si>
    <t>0081YPF00018</t>
  </si>
  <si>
    <t>684</t>
  </si>
  <si>
    <t>BOLSA FONDO CUAD GDE JUNIOR</t>
  </si>
  <si>
    <t>0081YPF00028</t>
  </si>
  <si>
    <t>785</t>
  </si>
  <si>
    <t>BOLSA FONDO CUAD GDE FULLBO</t>
  </si>
  <si>
    <t>0081YPF00029</t>
  </si>
  <si>
    <t>1061</t>
  </si>
  <si>
    <t>685</t>
  </si>
  <si>
    <t>686</t>
  </si>
  <si>
    <t>687</t>
  </si>
  <si>
    <t>688</t>
  </si>
  <si>
    <t>689</t>
  </si>
  <si>
    <t>690</t>
  </si>
  <si>
    <t>691</t>
  </si>
  <si>
    <t>MANTELES KRAFT LISO (5KG)</t>
  </si>
  <si>
    <t>0082ALL00011</t>
  </si>
  <si>
    <t>755</t>
  </si>
  <si>
    <t>692</t>
  </si>
  <si>
    <t>693</t>
  </si>
  <si>
    <t>694</t>
  </si>
  <si>
    <t>ROLLO PAPEL PERGAMINO PARA PICADA</t>
  </si>
  <si>
    <t>0082ALLB0001</t>
  </si>
  <si>
    <t>756</t>
  </si>
  <si>
    <t>1071</t>
  </si>
  <si>
    <t>1072</t>
  </si>
  <si>
    <t>1070</t>
  </si>
  <si>
    <t>1067</t>
  </si>
  <si>
    <t>1068</t>
  </si>
  <si>
    <t>1069</t>
  </si>
  <si>
    <t>ENV. ALUMINIO FULL GRANDE 100 AÑOS</t>
  </si>
  <si>
    <t>0082YPF00008</t>
  </si>
  <si>
    <t>695</t>
  </si>
  <si>
    <t>ENV. ALUMINIO FULL N. IMAGEN</t>
  </si>
  <si>
    <t>0082YPF00010</t>
  </si>
  <si>
    <t>696</t>
  </si>
  <si>
    <t>ENV. ALUMINIO FULL N. IMAG. GDE</t>
  </si>
  <si>
    <t>0082YPF00011</t>
  </si>
  <si>
    <t>697</t>
  </si>
  <si>
    <t>ENV. ALUMINIO FULL GOURMET</t>
  </si>
  <si>
    <t>0082YPF00012</t>
  </si>
  <si>
    <t>786</t>
  </si>
  <si>
    <t>ENV. ALUMINIO FULL 100 AÑOS</t>
  </si>
  <si>
    <t>0082YPF00013</t>
  </si>
  <si>
    <t>698</t>
  </si>
  <si>
    <t>ENV. ALUMINIO FULL VERDE</t>
  </si>
  <si>
    <t>0082YPF00015</t>
  </si>
  <si>
    <t>1059</t>
  </si>
  <si>
    <t>ENV.ALUMINIO FULL FULLBO</t>
  </si>
  <si>
    <t>0082YPF00016</t>
  </si>
  <si>
    <t>1060</t>
  </si>
  <si>
    <t>ENV.ALUMINIO FULL FULLBO (RESMA 2KG.)</t>
  </si>
  <si>
    <t>0082YPF00017</t>
  </si>
  <si>
    <t>1063</t>
  </si>
  <si>
    <t>ENV. ANTIGRASO FULL N. IMAGEN</t>
  </si>
  <si>
    <t>0082YPF00019</t>
  </si>
  <si>
    <t>699</t>
  </si>
  <si>
    <t>ENV. ANTIGRASO FULL 100 AÑOS</t>
  </si>
  <si>
    <t>0082YPF00020</t>
  </si>
  <si>
    <t>CAJA CART. C/V TRADICION FRANC.</t>
  </si>
  <si>
    <t>0083CAR00002</t>
  </si>
  <si>
    <t>701</t>
  </si>
  <si>
    <t>757</t>
  </si>
  <si>
    <t>CAJA RAV DES. ANONIMA</t>
  </si>
  <si>
    <t>0083NON00001</t>
  </si>
  <si>
    <t>702</t>
  </si>
  <si>
    <t>ESTUCHES PAPAS FULL 100 GR</t>
  </si>
  <si>
    <t>0083YPF00000</t>
  </si>
  <si>
    <t>808</t>
  </si>
  <si>
    <t>ESTUCHE PAPAS FULL LISO</t>
  </si>
  <si>
    <t>0083YPF00001</t>
  </si>
  <si>
    <t>703</t>
  </si>
  <si>
    <t>ESTUCHE FULL NUEVA IMAGEN</t>
  </si>
  <si>
    <t>0083YPF00002</t>
  </si>
  <si>
    <t>704</t>
  </si>
  <si>
    <t>MALETIN FULL EMPANADAS</t>
  </si>
  <si>
    <t>0083YPF00003</t>
  </si>
  <si>
    <t>705</t>
  </si>
  <si>
    <t>PORTAVASO FULL N. IMAGEN</t>
  </si>
  <si>
    <t>0083YPF00004</t>
  </si>
  <si>
    <t>706</t>
  </si>
  <si>
    <t>BANDEJA FULL ARMADA CH.</t>
  </si>
  <si>
    <t>0083YPF00006</t>
  </si>
  <si>
    <t>707</t>
  </si>
  <si>
    <t>BANDEJA FULL ARMADA GDE.</t>
  </si>
  <si>
    <t>0083YPF00007</t>
  </si>
  <si>
    <t>708</t>
  </si>
  <si>
    <t>ETIQUETA HAMBURGUESA BURGUESA</t>
  </si>
  <si>
    <t>0083YPF00008</t>
  </si>
  <si>
    <t>776</t>
  </si>
  <si>
    <t>etiquetas</t>
  </si>
  <si>
    <t>ETIQUETA HAMB. DE CAMPO</t>
  </si>
  <si>
    <t>0083YPF00009</t>
  </si>
  <si>
    <t>709</t>
  </si>
  <si>
    <t>ETIQUETA HAMB. C/QUESO Y HUEVO</t>
  </si>
  <si>
    <t>0083YPF00010</t>
  </si>
  <si>
    <t>710</t>
  </si>
  <si>
    <t>ETIQUETA HAMB. C/QUESO</t>
  </si>
  <si>
    <t>0083YPF00011</t>
  </si>
  <si>
    <t>711</t>
  </si>
  <si>
    <t>ETIQUETA HAMB. DOBLE</t>
  </si>
  <si>
    <t>0083YPF00012</t>
  </si>
  <si>
    <t>712</t>
  </si>
  <si>
    <t>ETIQUETA GRAN HAMB.</t>
  </si>
  <si>
    <t>0083YPF00013</t>
  </si>
  <si>
    <t>713</t>
  </si>
  <si>
    <t>ETIQUETA PECHUGA CRISPY</t>
  </si>
  <si>
    <t>0083YPF00014</t>
  </si>
  <si>
    <t>714</t>
  </si>
  <si>
    <t>ETIQUETA PECHUGA GOURMET</t>
  </si>
  <si>
    <t>0083YPF00015</t>
  </si>
  <si>
    <t>715</t>
  </si>
  <si>
    <t>ETIQUETA LOMITO DE CERDO</t>
  </si>
  <si>
    <t>0083YPF00016</t>
  </si>
  <si>
    <t>716</t>
  </si>
  <si>
    <t>ETIQUETA CIABATTA PARRILLERA</t>
  </si>
  <si>
    <t>0083YPF00017</t>
  </si>
  <si>
    <t>717</t>
  </si>
  <si>
    <t>ETIQUETA MILANESA</t>
  </si>
  <si>
    <t>0083YPF00018</t>
  </si>
  <si>
    <t>718</t>
  </si>
  <si>
    <t>ETIQUETA FULL QUESO Y PANCETA</t>
  </si>
  <si>
    <t>0083YPF00019</t>
  </si>
  <si>
    <t>719</t>
  </si>
  <si>
    <t>ETIQUETA DOBLE CARAMELIZADA</t>
  </si>
  <si>
    <t>0083YPF00020</t>
  </si>
  <si>
    <t>ETIQUETA FULL TRENZ. LOM. Y QUESO</t>
  </si>
  <si>
    <t>0083YPF00021</t>
  </si>
  <si>
    <t>721</t>
  </si>
  <si>
    <t>ETIQUETA HAMBURGUESA AZTECA</t>
  </si>
  <si>
    <t>0083YPF00022</t>
  </si>
  <si>
    <t>722</t>
  </si>
  <si>
    <t>ETIQUETA FULL SALE</t>
  </si>
  <si>
    <t>0083YPF00023</t>
  </si>
  <si>
    <t>723</t>
  </si>
  <si>
    <t>ETIQUETA FULL HAMB VEGGIE CHAMPI</t>
  </si>
  <si>
    <t>0083YPF00024</t>
  </si>
  <si>
    <t>724</t>
  </si>
  <si>
    <t>ETIQUETA HAMB. MAXI TRIPLE</t>
  </si>
  <si>
    <t>0083YPF00025</t>
  </si>
  <si>
    <t>725</t>
  </si>
  <si>
    <t>ETIQUETA HAMB. MAXI DOBLE X 1000</t>
  </si>
  <si>
    <t>0083YPF00026</t>
  </si>
  <si>
    <t>726</t>
  </si>
  <si>
    <t>ETIQUETA FULL NOTCHIKEN CRISPY</t>
  </si>
  <si>
    <t>0083YPF00027</t>
  </si>
  <si>
    <t>727</t>
  </si>
  <si>
    <t>ETIQUETA MAGNA GUACAMOLE</t>
  </si>
  <si>
    <t>0083YPF00028</t>
  </si>
  <si>
    <t>728</t>
  </si>
  <si>
    <t>ETIQUETA MAGNA AHUMADA</t>
  </si>
  <si>
    <t>0083YPF00029</t>
  </si>
  <si>
    <t>729</t>
  </si>
  <si>
    <t>MALETIN EMPANADAS CAJA CHICA</t>
  </si>
  <si>
    <t>0083YPF00030</t>
  </si>
  <si>
    <t>758</t>
  </si>
  <si>
    <t>ETIQUETA ROLL LOMITO Y BBQ</t>
  </si>
  <si>
    <t>0083YPF00031</t>
  </si>
  <si>
    <t>787</t>
  </si>
  <si>
    <t>ETIQUETA NOTCHICKEN BARBACOA</t>
  </si>
  <si>
    <t>0083YPF00032</t>
  </si>
  <si>
    <t>788</t>
  </si>
  <si>
    <t>ETIQUETA NOTCHICKEN GUACAMOLE</t>
  </si>
  <si>
    <t>0083YPF00033</t>
  </si>
  <si>
    <t>789</t>
  </si>
  <si>
    <t>ETIQUETA FULL BLANCA LISA C/LOGO</t>
  </si>
  <si>
    <t>0083YPF00100</t>
  </si>
  <si>
    <t>1101</t>
  </si>
  <si>
    <t>ESTUCHE PAPAS FULL ARMADO NUEV IMAGEN</t>
  </si>
  <si>
    <t>0083YPF00101</t>
  </si>
  <si>
    <t>792</t>
  </si>
  <si>
    <t>ESTUCHE DE PAPA FULL CO BRANDING</t>
  </si>
  <si>
    <t>0083YPF00102</t>
  </si>
  <si>
    <t>977</t>
  </si>
  <si>
    <t>MALETIN FULL EMPANADAS X60</t>
  </si>
  <si>
    <t>0083YPF00103</t>
  </si>
  <si>
    <t>899</t>
  </si>
  <si>
    <t>MANTEL PROMOCION 3</t>
  </si>
  <si>
    <t>0084YPF00001</t>
  </si>
  <si>
    <t>730</t>
  </si>
  <si>
    <t>Manteles de Papel</t>
  </si>
  <si>
    <t>MANTEL PROMOCION 2</t>
  </si>
  <si>
    <t>0084YPF00002</t>
  </si>
  <si>
    <t>731</t>
  </si>
  <si>
    <t>MANTEL FULL SALUDABLE</t>
  </si>
  <si>
    <t>0084YPF00003</t>
  </si>
  <si>
    <t>732</t>
  </si>
  <si>
    <t>MANTEL PROMOCION 4</t>
  </si>
  <si>
    <t>0084YPF00004</t>
  </si>
  <si>
    <t>733</t>
  </si>
  <si>
    <t>MANTEL PROMOCION 1</t>
  </si>
  <si>
    <t>0084YPF00005</t>
  </si>
  <si>
    <t>734</t>
  </si>
  <si>
    <t>2025-01-10-00.00.00.000000</t>
  </si>
  <si>
    <t>MANTEL FULL 100 AÑOS</t>
  </si>
  <si>
    <t>0084YPF00006</t>
  </si>
  <si>
    <t>735</t>
  </si>
  <si>
    <t>MANTEL FULL MAGNA</t>
  </si>
  <si>
    <t>0084YPF00007</t>
  </si>
  <si>
    <t>736</t>
  </si>
  <si>
    <t>MANTEL FULL INFANTIL</t>
  </si>
  <si>
    <t>0084YPF00008</t>
  </si>
  <si>
    <t>759</t>
  </si>
  <si>
    <t>MANTEL FULL GIMNA/ANTOJ NAT</t>
  </si>
  <si>
    <t>0084YPF00009</t>
  </si>
  <si>
    <t>790</t>
  </si>
  <si>
    <t>MANTELL FULL INFANTIL NAT</t>
  </si>
  <si>
    <t>0084YPF00010</t>
  </si>
  <si>
    <t>791</t>
  </si>
  <si>
    <t>MANTEL FULL PROMO INFINIA</t>
  </si>
  <si>
    <t>0084YPF00014</t>
  </si>
  <si>
    <t>962</t>
  </si>
  <si>
    <t>MANTEL FULL CAMPAÑA DE CAFE</t>
  </si>
  <si>
    <t>0084YPF00015</t>
  </si>
  <si>
    <t>966</t>
  </si>
  <si>
    <t>MANTEL FULL GUAPALETAS</t>
  </si>
  <si>
    <t>0084YPF00016</t>
  </si>
  <si>
    <t>1077</t>
  </si>
  <si>
    <t>MANTEL FULL 1000</t>
  </si>
  <si>
    <t>0084YPF00020</t>
  </si>
  <si>
    <t>930</t>
  </si>
  <si>
    <t>MANTEL FULL PUBLICIDAD</t>
  </si>
  <si>
    <t>0084YPF00030</t>
  </si>
  <si>
    <t>950</t>
  </si>
  <si>
    <t>SERVILLETA IMPRESA 24 X 23</t>
  </si>
  <si>
    <t>0085GEN00002</t>
  </si>
  <si>
    <t>737</t>
  </si>
  <si>
    <t>SERVILLETA IMPRESA 33 X 33</t>
  </si>
  <si>
    <t>0085GEN00003</t>
  </si>
  <si>
    <t>738</t>
  </si>
  <si>
    <t>BOLSA CAMISETA BURGER 60X80</t>
  </si>
  <si>
    <t>0086BUR00004</t>
  </si>
  <si>
    <t>739</t>
  </si>
  <si>
    <t>KIT BEBIDA FRIA N. IMAGEN 440</t>
  </si>
  <si>
    <t>0088YPF00004</t>
  </si>
  <si>
    <t>740</t>
  </si>
  <si>
    <t>KIT BEBIDA FRIA FULL X250 (440)</t>
  </si>
  <si>
    <t>0088YPF00104</t>
  </si>
  <si>
    <t>949</t>
  </si>
  <si>
    <t>12.5000</t>
  </si>
  <si>
    <t>VASO 480CC IMP FULL</t>
  </si>
  <si>
    <t>0088YPF02000</t>
  </si>
  <si>
    <t>1062</t>
  </si>
  <si>
    <t>1094</t>
  </si>
  <si>
    <t>RPN21390924</t>
  </si>
  <si>
    <t>12.5500</t>
  </si>
  <si>
    <t>1095</t>
  </si>
  <si>
    <t>RPN21432024</t>
  </si>
  <si>
    <t>1096</t>
  </si>
  <si>
    <t>RPN2151712384</t>
  </si>
  <si>
    <t>1097</t>
  </si>
  <si>
    <t>RPN2152418286</t>
  </si>
  <si>
    <t>10.1500</t>
  </si>
  <si>
    <t>1098</t>
  </si>
  <si>
    <t>RPN2152821254</t>
  </si>
  <si>
    <t>18.6500</t>
  </si>
  <si>
    <t>1099</t>
  </si>
  <si>
    <t>RPN21622092108</t>
  </si>
  <si>
    <t>11.4000</t>
  </si>
  <si>
    <t>1088</t>
  </si>
  <si>
    <t>RPN070300540</t>
  </si>
  <si>
    <t>1.1600</t>
  </si>
  <si>
    <t>1089</t>
  </si>
  <si>
    <t>RPN07030140</t>
  </si>
  <si>
    <t>2.7600</t>
  </si>
  <si>
    <t>1090</t>
  </si>
  <si>
    <t>RPN070301540</t>
  </si>
  <si>
    <t>1091</t>
  </si>
  <si>
    <t>RPN07030240</t>
  </si>
  <si>
    <t>1078</t>
  </si>
  <si>
    <t>RPN02102202</t>
  </si>
  <si>
    <t>1079</t>
  </si>
  <si>
    <t>RPN02103202</t>
  </si>
  <si>
    <t>10.1000</t>
  </si>
  <si>
    <t>1080</t>
  </si>
  <si>
    <t>RPN02201202</t>
  </si>
  <si>
    <t>4.0500</t>
  </si>
  <si>
    <t>1081</t>
  </si>
  <si>
    <t>RPN031032202</t>
  </si>
  <si>
    <t>1082</t>
  </si>
  <si>
    <t>RPN0312632302T</t>
  </si>
  <si>
    <t>1083</t>
  </si>
  <si>
    <t>RPN05013130303</t>
  </si>
  <si>
    <t>11.5000</t>
  </si>
  <si>
    <t>1084</t>
  </si>
  <si>
    <t>RPN05028150303</t>
  </si>
  <si>
    <t>22.0000</t>
  </si>
  <si>
    <t>1092</t>
  </si>
  <si>
    <t>RPN21129502</t>
  </si>
  <si>
    <t>8.6000</t>
  </si>
  <si>
    <t>1093</t>
  </si>
  <si>
    <t>RPN2116008</t>
  </si>
  <si>
    <t>1087</t>
  </si>
  <si>
    <t>RPN070000540T</t>
  </si>
  <si>
    <t>1086</t>
  </si>
  <si>
    <t>RPN070001540T</t>
  </si>
  <si>
    <t>2.9500</t>
  </si>
  <si>
    <t>1100</t>
  </si>
  <si>
    <t>RPN21623103208D</t>
  </si>
  <si>
    <t>ARTICULOS VARIOS</t>
  </si>
  <si>
    <t>099</t>
  </si>
  <si>
    <t>760</t>
  </si>
  <si>
    <t>0</t>
  </si>
  <si>
    <t>&gt; NO DISPONIBLE &lt;</t>
  </si>
  <si>
    <t>SIN DEFINIR</t>
  </si>
  <si>
    <t>816</t>
  </si>
  <si>
    <t>Flete de Importacion</t>
  </si>
  <si>
    <t>8888</t>
  </si>
  <si>
    <t>803</t>
  </si>
  <si>
    <t>PRECIO</t>
  </si>
  <si>
    <t>LINEA NATURALS BAGAZO</t>
  </si>
  <si>
    <t>PLATO HONDO DARNEL NAT. BAGAZO 32oz 930ml paq20</t>
  </si>
  <si>
    <t>TAPA DARNEL NAT PLATO HONDO BAGAZO 32oz paq20</t>
  </si>
  <si>
    <t>BAND. BAGAZO DARNEL NATURALS 500ml Paq 125x4</t>
  </si>
  <si>
    <t>174x120x38mm</t>
  </si>
  <si>
    <t>BAND. BAGAZO CAÑA DARNEL NATURALS paq50x6</t>
  </si>
  <si>
    <t>242x182x28mm</t>
  </si>
  <si>
    <t>BAND. BAGAZO CAÑA DARNEL NATURALS paq125x4</t>
  </si>
  <si>
    <t>275x205x25mm</t>
  </si>
  <si>
    <t>BAND. SUSHI T6 DARNEL NATURALS BAGAZO paq125x8</t>
  </si>
  <si>
    <t>221x92x21mm</t>
  </si>
  <si>
    <t>COPA SOUFFLE 0.5 oz DARNEL NAT BAMBOO paq50x40</t>
  </si>
  <si>
    <t>COPA SOUFFLE 1oz DARNEL NAT BAMBOO paq50x40</t>
  </si>
  <si>
    <t>COPA SOUFFFLE 1.5 oz DARNEL NAT BAMBOO paq50x40</t>
  </si>
  <si>
    <t>COPA SOUFFLE 2oz DARNEL NAT, BAMBOO paq50x40</t>
  </si>
  <si>
    <t>CAJA C/VENT. #2 24oz DARNEL NATURALS MOCA paq50x6</t>
  </si>
  <si>
    <t>168x118x45mm</t>
  </si>
  <si>
    <t>CAJA C/VENT 32oz DARNEL NATURAL MOCA Paq50/X6</t>
  </si>
  <si>
    <t>198x138x50mm</t>
  </si>
  <si>
    <t>PORTA COMIDA HOTDOG DARNEL NAT MOCA BLANCO Paq50</t>
  </si>
  <si>
    <t>TAPA PET p/COPA SOUFFLE 0.5/1oz DARNEL NAT. Paq50</t>
  </si>
  <si>
    <t>TAPA PET p/COPA SOUFFLE 1.5/2 oz DARNEL NAT. Paq50</t>
  </si>
  <si>
    <t>DOMO PET DARNEL NATURALS SUSHI T6  PQX125/X8</t>
  </si>
  <si>
    <t>225x99x32mm</t>
  </si>
  <si>
    <t>TAPA CONTENEDOR OVALADO CON Y SIN DIVISIONES</t>
  </si>
  <si>
    <t>CONTENEDOR DOBLE USO NEGRO 36oz Con TAPA</t>
  </si>
  <si>
    <t>ROLLO ALUMINIO X 1KG.</t>
  </si>
  <si>
    <t>1 un x caja</t>
  </si>
  <si>
    <t>0089DARCHBAM4330</t>
  </si>
  <si>
    <t>0089DARCHBAM4230</t>
  </si>
  <si>
    <t>0089DARCHBAM4130</t>
  </si>
  <si>
    <t>0089DARCHBAM4375</t>
  </si>
  <si>
    <t>0089DARCHBAM4210</t>
  </si>
  <si>
    <t>35 unid./caja</t>
  </si>
  <si>
    <t>24 unid./caja</t>
  </si>
  <si>
    <t>12 unid./caja</t>
  </si>
  <si>
    <t>6 unid./caja</t>
  </si>
  <si>
    <t>15 unid./caja</t>
  </si>
  <si>
    <t>15 Unid./caja</t>
  </si>
  <si>
    <t>BOWLS SAFETYPLUS REDONDOS CRISTAL CON EVIDENCIA APERTURA</t>
  </si>
  <si>
    <t>DC0733200</t>
  </si>
  <si>
    <t>DC0734800</t>
  </si>
  <si>
    <t>DC0736400</t>
  </si>
  <si>
    <t>DC0737200</t>
  </si>
  <si>
    <t>0052DARST032</t>
  </si>
  <si>
    <t>0052DARST048</t>
  </si>
  <si>
    <t>0052DARST064</t>
  </si>
  <si>
    <t>0052DARST072</t>
  </si>
  <si>
    <t>0052DARST024</t>
  </si>
  <si>
    <t>DC0732400</t>
  </si>
  <si>
    <t>CONSULTAR LISTA DARNEL ARGENTINA (ZAPLAST)</t>
  </si>
  <si>
    <t>BANDEJAS POLIPROPILENO CON TAPA PARA POLLO</t>
  </si>
  <si>
    <t>CONTEN ROASTER PROTOGO NEGRO con T/TRANSP. GRANDE</t>
  </si>
  <si>
    <t>CONTEN ROASTER PROTOGO NEGRO con T/TRANSP. CHICO</t>
  </si>
  <si>
    <t>PVC 12 " (300 MM X 1400 MTS.)</t>
  </si>
  <si>
    <t>PVC 15 " (380MM X 1400 MTS.)</t>
  </si>
  <si>
    <t>PVC 18 " (450MM X 1400 MTS.)</t>
  </si>
  <si>
    <t>PVC 300mm (12") 300MM x 500 MTS.</t>
  </si>
  <si>
    <t>PVC 380mm (15") 380MM x 500 MTS.</t>
  </si>
  <si>
    <t>PVC 450mm (18") 450MM  x 500 MTS.</t>
  </si>
  <si>
    <t>PVC ECONO FILM 12" (300MM x 1000 MTS.)</t>
  </si>
  <si>
    <t>PVC ECONO FILM 15" (380MM x 1000 MTS.)</t>
  </si>
  <si>
    <t>PVC ECONO FILM 18" (450MM x 1000 MTS.)</t>
  </si>
  <si>
    <t>PVC REPUESTO 18" (450mm X 300mts) C/Dispenser</t>
  </si>
  <si>
    <t>PVC REPUESTO 15" (380MM X 300 MTS.)</t>
  </si>
  <si>
    <t>REPUESTO 15" (380MM X 300 MTS.) C/Dispenser</t>
  </si>
  <si>
    <t>PVC REPUESTO 18" (450MM X 300 MTS)</t>
  </si>
  <si>
    <t>PVC REPUESTO 12" (300MM X  200 MTS)</t>
  </si>
  <si>
    <t>PVC REPUESTO 15" (380MM X  200 MTS)</t>
  </si>
  <si>
    <t>PVC BIODEG. DARNEL 380MM X 1000 MTS</t>
  </si>
  <si>
    <t>PVC BIODEG. DARNEL  280MM X 100 MTS</t>
  </si>
  <si>
    <t>PVC BIODEG DARNEL 280mm x 300 Mts C/Dispenser</t>
  </si>
  <si>
    <t>PVC TAMI WRAP 280 MM X 50 MTS</t>
  </si>
  <si>
    <t>PVC TAMI WRAP 280 MM X 100 MTS</t>
  </si>
  <si>
    <t>0089DARCHBAM4034</t>
  </si>
  <si>
    <t>TAPA CRISTAL Naturals Bowl 1300 cc 50un x 6 PQ.</t>
  </si>
  <si>
    <t>BOWL DARNEL NATURALS 1300 cc Moca  50un x 6 PQ</t>
  </si>
  <si>
    <t>BOWL DARNEL NATURALS 1300cc Bambo 50un x 6 PQ</t>
  </si>
  <si>
    <t>TAPA CRISTAL NATURALS BOWL 750y1000cc 50un x 6 PQ</t>
  </si>
  <si>
    <t>BOWL DARNEL NATURALS 1000cc MOCA 50un x 6 PQ</t>
  </si>
  <si>
    <t xml:space="preserve">BOWL DARNEL NATURALS 34 Oz BAMBOO 50un x 6 PQ </t>
  </si>
  <si>
    <t>0034DARB0006</t>
  </si>
  <si>
    <t>0034DARB0008</t>
  </si>
  <si>
    <t>0041DAR50001</t>
  </si>
  <si>
    <t>0041DAR50002</t>
  </si>
  <si>
    <t>0041DAR50007</t>
  </si>
  <si>
    <t>0041DAR50008</t>
  </si>
  <si>
    <t>0041DAR60001</t>
  </si>
  <si>
    <t>0041DAR60002</t>
  </si>
  <si>
    <t>0041DAR60005</t>
  </si>
  <si>
    <t>0041DAR60006</t>
  </si>
  <si>
    <t>0041DAR60008</t>
  </si>
  <si>
    <t>0041DAR60009</t>
  </si>
  <si>
    <t>0041DAR60010</t>
  </si>
  <si>
    <t>TENEDOR DE MADERA 16CM DARNEL NAT 10 PAQ x 100un</t>
  </si>
  <si>
    <t>CUCHILLO DE MADERA 16CM DARNEL NAT 10 PAQ x 100un</t>
  </si>
  <si>
    <t>CUCHARA DE MADERA 14CM DARNEL NAT 10 PAQ x 100un</t>
  </si>
  <si>
    <t>CUCHARA DE MADERA 16CM DARNEL NAT 10 PAQ x 100un</t>
  </si>
  <si>
    <t>MEZCLADOR 12.7 cm (5") DARNEL BIO NATURAL S/ENVOLT. CAJ 10000 Un</t>
  </si>
  <si>
    <t>MEZCLADOR DOBLE 12.7cm (5") DARNEL BIO NAT S/ENVOLT. CAJ 12000 Un</t>
  </si>
  <si>
    <t>MEZCLADOR COCKTAIL 20.3 cm (8") DARNEL BIO NAT S/ENVOLT CAJ x 5000un</t>
  </si>
  <si>
    <t>PITILLO JUMBO 19.7 cm (7.3/4") DARNEL BIO NATURAL S/ENVOLT CAJ 5000un</t>
  </si>
  <si>
    <t>PITILLO JUMBO 19.7cm (7.3/4") DARNEL BIO NATURAL C/ENVOLT CAJ 5000un</t>
  </si>
  <si>
    <t>PITILLO JUMBO 26.0cm (10.1/4") DARNEL BIO NATURAL S/ENVOLT CAJ 2000un</t>
  </si>
  <si>
    <t>PITILLO JUMBO 26 CM (10.1/4") DARNEL BIO NATURAL C/ENVOLT CAJ 2000un</t>
  </si>
  <si>
    <t>PITILLO GIGANTE 26 CM (10.1/4") DARNEL BIO NATURAL C/ENVOLT CAJ 1200un</t>
  </si>
  <si>
    <t>PITILLO GIGANTE 19.7 cm (7.3/4") DARNEL BIO NATURAL S/ENVOLT CAJ 7500un</t>
  </si>
  <si>
    <t>PITILLO GIGANTE 19.7cm (7.3/4) DARNEL BIO NATURAL C/ENVOLT CAJ 7500un</t>
  </si>
  <si>
    <t>COMENT.</t>
  </si>
  <si>
    <t>Precio Bulto $</t>
  </si>
  <si>
    <t>MEZCLADOR BEB. CALIENTE 17.8cm (7") DARNEL BIO NAT. S/ENVOL CAJ 1</t>
  </si>
  <si>
    <t>LINEA VAJILLA EN MADERA Y ACCESORIOS</t>
  </si>
  <si>
    <t>0034DARP0001</t>
  </si>
  <si>
    <t>PORTACOMIDA UY EXPANDIDO NR-J1 S/DIV x 200 un</t>
  </si>
  <si>
    <t>0034DARP0002</t>
  </si>
  <si>
    <t>PORTACOMIDA UY EXPANDIDO NR-J2 C/DIV x 200 un</t>
  </si>
  <si>
    <t>0034DARP0011</t>
  </si>
  <si>
    <t>PORTACOMIDA Uy EXPAND. NR-J1 BIO S/DIV x 200un</t>
  </si>
  <si>
    <t>0034DARP0022</t>
  </si>
  <si>
    <t>PORTACOMIDA UY EXPAND. NR-J2 BIO C/DIV x 200un</t>
  </si>
  <si>
    <t>CONTEN REDONDO SAFETY TUB 24oz T/EVID APERT (720ml)</t>
  </si>
  <si>
    <t>CONTEN REDONDO SAFETY TUB 32oz T/EVID APERT (960ml)</t>
  </si>
  <si>
    <t>CONTEN REDONDO SAFETY TUB 48oz T/EVID APERT (1440ml)</t>
  </si>
  <si>
    <t>CONTEN REDONDO SAFETY TUB 64oz T/EVID APERT (1920ml)</t>
  </si>
  <si>
    <t>CONTEN REDONDO SAFETY TUB 72oz T/EVID APERT (2160ml)</t>
  </si>
  <si>
    <t>Diam 15,5cm</t>
  </si>
  <si>
    <t>21 x 16 x 14cm</t>
  </si>
  <si>
    <t>21 x 16 x 9cm</t>
  </si>
  <si>
    <t>0052DARPO0015</t>
  </si>
  <si>
    <t>0052DARPO0020</t>
  </si>
  <si>
    <t>Marca</t>
  </si>
  <si>
    <t>Modelo</t>
  </si>
  <si>
    <t>FV</t>
  </si>
  <si>
    <t>Puelo</t>
  </si>
  <si>
    <t>Ducha</t>
  </si>
  <si>
    <t>Bidet</t>
  </si>
  <si>
    <t>Lavatorio</t>
  </si>
  <si>
    <t>Código</t>
  </si>
  <si>
    <t>0310/B5-CR</t>
  </si>
  <si>
    <t>0181.01/B5-CR</t>
  </si>
  <si>
    <t>0106/B5-CR</t>
  </si>
  <si>
    <t>0189/B5</t>
  </si>
  <si>
    <t>Libby</t>
  </si>
  <si>
    <t>0206/39</t>
  </si>
  <si>
    <t>Coty</t>
  </si>
  <si>
    <t>0106/D9</t>
  </si>
  <si>
    <t>0189/D9</t>
  </si>
  <si>
    <t>0181.02/D9</t>
  </si>
  <si>
    <t>Total</t>
  </si>
  <si>
    <t>VASO POLIPAPEL DARNEL NATURALS 4 oz BLANCO BEB CALIENTE</t>
  </si>
  <si>
    <t>RPN060206201</t>
  </si>
  <si>
    <t>TAPA VASO POLIPAPEL NATURAL 6 oz BEB. CALIENTE</t>
  </si>
  <si>
    <t>RPN0602062T</t>
  </si>
  <si>
    <t>VASO POLIPAPEL DARNEL NATURAL 12 oz BLANCO BEB. FRIA</t>
  </si>
  <si>
    <t>RPN060112201|</t>
  </si>
  <si>
    <t>VASO POLIPAPEL DARNEL NATURAL 12 oz BLANCO BEB. CALIENTE</t>
  </si>
  <si>
    <t>RPN060212201</t>
  </si>
  <si>
    <t>VASO POLIPAPEL DARNEL NATURAL 12 oz DISEÑO BEB. CALIENTE</t>
  </si>
  <si>
    <t>VASO POLIPAPEL DARNEL NATURAL 4 oz DISEÑO BEB CALIENTE</t>
  </si>
  <si>
    <t>RPN060204201</t>
  </si>
  <si>
    <t>VASO POLIPAPEL DARNEL NATURALS 6 oz DISEÑO BEB CALIENTE</t>
  </si>
  <si>
    <t>VASO POLIPAPEL DARNEL NATURAL 8 oz NEGRO Con PROTECTOR</t>
  </si>
  <si>
    <t>RPN060208P110</t>
  </si>
  <si>
    <t xml:space="preserve">VASO POLIPAPEL DARNEL NATURAL 8 oz DISEÑO BEB CALIENTE </t>
  </si>
  <si>
    <t>RPN0602082T</t>
  </si>
  <si>
    <t>RPN060208P102</t>
  </si>
  <si>
    <t>VASO POLIPAPEL DARNEL NATURAL 8 oz MOCA con PROTECTOR</t>
  </si>
  <si>
    <t>VASO POLIPAPEL DARNEL NATURAL 14 oz NEGRO con PROTECTOR</t>
  </si>
  <si>
    <t>RPN060214P110</t>
  </si>
  <si>
    <t>VASO POLIPAPEL DARNEL NATURAL 14 oz MOCA con PROTECTOR</t>
  </si>
  <si>
    <t>RPN060214P102</t>
  </si>
  <si>
    <t>RPN0602142T</t>
  </si>
  <si>
    <t>TAPA VASO POLIPAPEL DARNEL NATURAL 14 oz BEBIDA CALIENTE</t>
  </si>
  <si>
    <t xml:space="preserve">VASO POLIPAPEL DARNEL NATURAL 16 oz BLANCO BEBIDA FRIA </t>
  </si>
  <si>
    <t>RPN060116201</t>
  </si>
  <si>
    <t>TAPA VASO POLIPAPEL DARNEL NATURAL 16 oz BEBIDA FRIA</t>
  </si>
  <si>
    <t>RPN0601162T</t>
  </si>
  <si>
    <t>0089DARCHP0L004</t>
  </si>
  <si>
    <t>0089DARCHP0L404</t>
  </si>
  <si>
    <t>RPN060204201!</t>
  </si>
  <si>
    <t>0089DARCHPOL006</t>
  </si>
  <si>
    <t>VASO POLIPAPEL DARNEL NATURALS 6 oz BLANCO BEB CALIENTE</t>
  </si>
  <si>
    <t>0089DARCHPOL406</t>
  </si>
  <si>
    <t>RPN060206201!</t>
  </si>
  <si>
    <t>0089DARCHPOLT106</t>
  </si>
  <si>
    <t>0089DARCHPOL108</t>
  </si>
  <si>
    <t>0089DARCHPOL408</t>
  </si>
  <si>
    <t>RPN060208201!</t>
  </si>
  <si>
    <t>0089DARCHPOL011</t>
  </si>
  <si>
    <t>0089DARCHPOL012</t>
  </si>
  <si>
    <t>0089DARCHPOL312</t>
  </si>
  <si>
    <t>RPN060212201!</t>
  </si>
  <si>
    <t>0089DARCHPOL114</t>
  </si>
  <si>
    <t>0089DARCHPOL214</t>
  </si>
  <si>
    <t>0089DARCHPOLT114</t>
  </si>
  <si>
    <t>0089DARCHPOL016</t>
  </si>
  <si>
    <t>0089DARCHPOLT016</t>
  </si>
  <si>
    <t>LINEA VASOS POLIPAPEL</t>
  </si>
  <si>
    <t>20paq x 50u</t>
  </si>
  <si>
    <t>20paq x 25u</t>
  </si>
  <si>
    <t>CONTENEDOR ESPUMADO 8oz BLANCO x 20u</t>
  </si>
  <si>
    <t>CONTENEDOR ESPUMADO 12oz BLANCO x 20u</t>
  </si>
  <si>
    <t>50p x 20u</t>
  </si>
  <si>
    <t>25p x 20u</t>
  </si>
  <si>
    <t>paq100 x 200u</t>
  </si>
  <si>
    <t>SAFETY BOWLS RESQ 24oz CRISTAL CON TAPA</t>
  </si>
  <si>
    <t>DARNEL CONTENEDOR DOBLE USO 12 OZ C/TAPA CRISTAL</t>
  </si>
  <si>
    <t>DARNEL CONTENEDOR DOBLE USO 32 OZ C/TAPA CRISTAL</t>
  </si>
  <si>
    <t>DARNEL CONTENEDOR DOBLE USO 48 OZ C/TAPA CRISTAL</t>
  </si>
  <si>
    <t>CONTENEDOR VISUALPACK P/CUPCAKE-MUFFINS INDIVIDUAL</t>
  </si>
  <si>
    <t>D700801N</t>
  </si>
  <si>
    <t>D700121N</t>
  </si>
  <si>
    <t>TAPA CRISTAL BANDEJA ALUMINIO DA9-64oz</t>
  </si>
  <si>
    <t xml:space="preserve">DARNEL COPA VENECIA FLEX 8oz (Copa y Pie) </t>
  </si>
  <si>
    <t>12paq x 50u</t>
  </si>
  <si>
    <t xml:space="preserve">DARNEL COPA VENECIA FLEX 5oz (Copa y Pie) </t>
  </si>
  <si>
    <t>0089DARCHPOL208</t>
  </si>
  <si>
    <t>0089DARCHPOLT108</t>
  </si>
  <si>
    <t>TAPA VASO POLIPAPEL NATURAL 8 y 12oz BEB. CALIENTE</t>
  </si>
  <si>
    <t>LISTA DE PRECIOS de 26 DE OCTUBRE  2026 (B18)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</si>
</sst>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_ ;_ &quot;$&quot;\ * \-#,##0_ ;_ &quot;$&quot;\ * &quot;-&quot;??_ ;_ @_ "/>
    <numFmt numFmtId="166" formatCode="_ * #,##0_ ;_ * \-#,##0_ ;_ * &quot;-&quot;??_ ;_ @_ "/>
    <numFmt numFmtId="167" formatCode="###,##0.00"/>
    <numFmt numFmtId="168" formatCode="_-&quot;$&quot;\ * #,##0_-;\-&quot;$&quot;\ * #,##0_-;_-&quot;$&quot;\ * &quot;-&quot;??_-;_-@_-"/>
    <numFmt numFmtId="169" formatCode="0_ ;\-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Calibri"/>
      <family val="2"/>
      <scheme val="minor"/>
    </font>
    <font>
      <b/>
      <sz val="9"/>
      <name val="Verdana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Verdana"/>
      <family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Verdana"/>
      <family val="2"/>
    </font>
    <font>
      <sz val="11"/>
      <color rgb="FFFF0000"/>
      <name val="Calibri"/>
      <family val="2"/>
      <scheme val="minor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9" fontId="1" fillId="0" borderId="0" applyFont="0" applyFill="0" applyBorder="0" applyAlignment="0" applyProtection="0"/>
    <xf numFmtId="0" fontId="25" fillId="0" borderId="0"/>
  </cellStyleXfs>
  <cellXfs count="3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1" fontId="7" fillId="0" borderId="2" xfId="0" applyNumberFormat="1" applyFont="1" applyBorder="1" applyAlignment="1" applyProtection="1">
      <alignment horizontal="center" vertical="center" wrapText="1"/>
      <protection locked="0"/>
    </xf>
    <xf numFmtId="1" fontId="7" fillId="0" borderId="4" xfId="0" applyNumberFormat="1" applyFont="1" applyBorder="1" applyAlignment="1" applyProtection="1">
      <alignment horizontal="center" vertical="center" wrapText="1"/>
      <protection locked="0"/>
    </xf>
    <xf numFmtId="1" fontId="7" fillId="0" borderId="14" xfId="0" applyNumberFormat="1" applyFont="1" applyBorder="1" applyAlignment="1" applyProtection="1">
      <alignment horizontal="center" vertical="center" wrapText="1"/>
      <protection locked="0"/>
    </xf>
    <xf numFmtId="165" fontId="7" fillId="0" borderId="16" xfId="0" applyNumberFormat="1" applyFont="1" applyBorder="1" applyAlignment="1" applyProtection="1">
      <alignment horizontal="center"/>
      <protection locked="0"/>
    </xf>
    <xf numFmtId="165" fontId="7" fillId="0" borderId="17" xfId="0" applyNumberFormat="1" applyFont="1" applyBorder="1" applyAlignment="1" applyProtection="1">
      <alignment horizontal="center"/>
      <protection locked="0"/>
    </xf>
    <xf numFmtId="165" fontId="7" fillId="0" borderId="17" xfId="0" applyNumberFormat="1" applyFont="1" applyBorder="1" applyAlignment="1" applyProtection="1">
      <alignment horizontal="center" vertical="center" wrapText="1"/>
      <protection locked="0"/>
    </xf>
    <xf numFmtId="165" fontId="7" fillId="0" borderId="19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0" xfId="0" applyFont="1" applyBorder="1"/>
    <xf numFmtId="0" fontId="9" fillId="0" borderId="21" xfId="0" applyFont="1" applyBorder="1"/>
    <xf numFmtId="0" fontId="9" fillId="0" borderId="21" xfId="0" applyFont="1" applyBorder="1" applyAlignment="1">
      <alignment horizontal="center"/>
    </xf>
    <xf numFmtId="0" fontId="9" fillId="0" borderId="6" xfId="0" applyFont="1" applyBorder="1"/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10" xfId="0" applyFont="1" applyBorder="1"/>
    <xf numFmtId="0" fontId="0" fillId="0" borderId="3" xfId="0" applyBorder="1"/>
    <xf numFmtId="165" fontId="7" fillId="0" borderId="25" xfId="0" applyNumberFormat="1" applyFont="1" applyBorder="1" applyAlignment="1" applyProtection="1">
      <alignment horizontal="center"/>
      <protection locked="0"/>
    </xf>
    <xf numFmtId="165" fontId="12" fillId="0" borderId="3" xfId="0" applyNumberFormat="1" applyFont="1" applyBorder="1" applyAlignment="1" applyProtection="1">
      <alignment horizontal="center"/>
      <protection locked="0"/>
    </xf>
    <xf numFmtId="165" fontId="12" fillId="0" borderId="4" xfId="0" applyNumberFormat="1" applyFont="1" applyBorder="1" applyAlignment="1" applyProtection="1">
      <alignment horizontal="center"/>
      <protection locked="0"/>
    </xf>
    <xf numFmtId="166" fontId="12" fillId="0" borderId="4" xfId="1" applyNumberFormat="1" applyFont="1" applyBorder="1" applyAlignment="1" applyProtection="1">
      <alignment horizontal="center"/>
      <protection locked="0"/>
    </xf>
    <xf numFmtId="165" fontId="12" fillId="0" borderId="7" xfId="0" applyNumberFormat="1" applyFont="1" applyBorder="1" applyAlignment="1" applyProtection="1">
      <alignment horizontal="center"/>
      <protection locked="0"/>
    </xf>
    <xf numFmtId="166" fontId="12" fillId="0" borderId="7" xfId="1" applyNumberFormat="1" applyFont="1" applyBorder="1" applyAlignment="1" applyProtection="1">
      <alignment horizontal="center"/>
      <protection locked="0"/>
    </xf>
    <xf numFmtId="165" fontId="12" fillId="0" borderId="13" xfId="0" applyNumberFormat="1" applyFont="1" applyBorder="1" applyAlignment="1" applyProtection="1">
      <alignment horizontal="center"/>
      <protection locked="0"/>
    </xf>
    <xf numFmtId="165" fontId="12" fillId="0" borderId="14" xfId="0" applyNumberFormat="1" applyFont="1" applyBorder="1" applyAlignment="1" applyProtection="1">
      <alignment horizontal="center"/>
      <protection locked="0"/>
    </xf>
    <xf numFmtId="166" fontId="12" fillId="0" borderId="14" xfId="1" applyNumberFormat="1" applyFont="1" applyBorder="1" applyAlignment="1" applyProtection="1">
      <alignment horizontal="center"/>
      <protection locked="0"/>
    </xf>
    <xf numFmtId="165" fontId="12" fillId="0" borderId="4" xfId="0" applyNumberFormat="1" applyFont="1" applyBorder="1" applyAlignment="1" applyProtection="1">
      <alignment horizontal="center" vertical="center" wrapText="1"/>
      <protection locked="0"/>
    </xf>
    <xf numFmtId="165" fontId="12" fillId="0" borderId="20" xfId="0" applyNumberFormat="1" applyFont="1" applyBorder="1" applyAlignment="1" applyProtection="1">
      <alignment horizontal="center"/>
      <protection locked="0"/>
    </xf>
    <xf numFmtId="165" fontId="12" fillId="0" borderId="21" xfId="0" applyNumberFormat="1" applyFont="1" applyBorder="1" applyAlignment="1" applyProtection="1">
      <alignment horizontal="center"/>
      <protection locked="0"/>
    </xf>
    <xf numFmtId="166" fontId="12" fillId="0" borderId="21" xfId="1" applyNumberFormat="1" applyFont="1" applyBorder="1" applyAlignment="1" applyProtection="1">
      <alignment horizontal="center"/>
      <protection locked="0"/>
    </xf>
    <xf numFmtId="165" fontId="12" fillId="0" borderId="3" xfId="0" applyNumberFormat="1" applyFont="1" applyBorder="1" applyAlignment="1" applyProtection="1">
      <alignment horizontal="center" vertical="center" wrapText="1"/>
      <protection locked="0"/>
    </xf>
    <xf numFmtId="166" fontId="12" fillId="0" borderId="4" xfId="1" applyNumberFormat="1" applyFont="1" applyBorder="1" applyAlignment="1" applyProtection="1">
      <alignment horizontal="center" vertical="center" wrapText="1"/>
      <protection locked="0"/>
    </xf>
    <xf numFmtId="165" fontId="12" fillId="0" borderId="13" xfId="0" applyNumberFormat="1" applyFont="1" applyBorder="1" applyAlignment="1" applyProtection="1">
      <alignment horizontal="center" vertical="center" wrapText="1"/>
      <protection locked="0"/>
    </xf>
    <xf numFmtId="165" fontId="12" fillId="0" borderId="14" xfId="0" applyNumberFormat="1" applyFont="1" applyBorder="1" applyAlignment="1" applyProtection="1">
      <alignment horizontal="center" vertical="center" wrapText="1"/>
      <protection locked="0"/>
    </xf>
    <xf numFmtId="166" fontId="12" fillId="0" borderId="14" xfId="1" applyNumberFormat="1" applyFont="1" applyBorder="1" applyAlignment="1" applyProtection="1">
      <alignment horizontal="center" vertical="center" wrapText="1"/>
      <protection locked="0"/>
    </xf>
    <xf numFmtId="165" fontId="12" fillId="0" borderId="1" xfId="0" applyNumberFormat="1" applyFont="1" applyBorder="1" applyAlignment="1" applyProtection="1">
      <alignment horizontal="center"/>
      <protection locked="0"/>
    </xf>
    <xf numFmtId="165" fontId="12" fillId="0" borderId="2" xfId="0" applyNumberFormat="1" applyFont="1" applyBorder="1" applyAlignment="1" applyProtection="1">
      <alignment horizontal="center"/>
      <protection locked="0"/>
    </xf>
    <xf numFmtId="166" fontId="12" fillId="0" borderId="2" xfId="1" applyNumberFormat="1" applyFont="1" applyBorder="1" applyAlignment="1" applyProtection="1">
      <alignment horizontal="center"/>
      <protection locked="0"/>
    </xf>
    <xf numFmtId="1" fontId="12" fillId="0" borderId="1" xfId="0" applyNumberFormat="1" applyFont="1" applyBorder="1" applyAlignment="1" applyProtection="1">
      <alignment horizontal="center" vertical="center" wrapText="1"/>
      <protection locked="0"/>
    </xf>
    <xf numFmtId="1" fontId="12" fillId="0" borderId="2" xfId="0" applyNumberFormat="1" applyFont="1" applyBorder="1" applyAlignment="1" applyProtection="1">
      <alignment horizontal="center" vertical="center" wrapText="1"/>
      <protection locked="0"/>
    </xf>
    <xf numFmtId="1" fontId="12" fillId="0" borderId="3" xfId="0" applyNumberFormat="1" applyFont="1" applyBorder="1" applyAlignment="1" applyProtection="1">
      <alignment horizontal="center" vertical="center" wrapText="1"/>
      <protection locked="0"/>
    </xf>
    <xf numFmtId="1" fontId="12" fillId="0" borderId="4" xfId="0" applyNumberFormat="1" applyFont="1" applyBorder="1" applyAlignment="1" applyProtection="1">
      <alignment horizontal="center" vertical="center" wrapText="1"/>
      <protection locked="0"/>
    </xf>
    <xf numFmtId="1" fontId="12" fillId="0" borderId="13" xfId="0" applyNumberFormat="1" applyFont="1" applyBorder="1" applyAlignment="1" applyProtection="1">
      <alignment horizontal="center" vertical="center" wrapText="1"/>
      <protection locked="0"/>
    </xf>
    <xf numFmtId="1" fontId="12" fillId="0" borderId="14" xfId="0" applyNumberFormat="1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/>
    <xf numFmtId="0" fontId="5" fillId="0" borderId="28" xfId="0" applyFont="1" applyBorder="1"/>
    <xf numFmtId="0" fontId="0" fillId="0" borderId="4" xfId="0" applyBorder="1"/>
    <xf numFmtId="3" fontId="0" fillId="0" borderId="5" xfId="0" applyNumberFormat="1" applyBorder="1"/>
    <xf numFmtId="0" fontId="4" fillId="0" borderId="0" xfId="0" applyFont="1" applyAlignment="1">
      <alignment horizontal="right"/>
    </xf>
    <xf numFmtId="0" fontId="5" fillId="0" borderId="29" xfId="0" applyFont="1" applyBorder="1" applyAlignment="1">
      <alignment horizontal="right"/>
    </xf>
    <xf numFmtId="3" fontId="4" fillId="0" borderId="5" xfId="2" applyNumberFormat="1" applyFont="1" applyBorder="1" applyAlignment="1" applyProtection="1">
      <alignment horizontal="right"/>
      <protection locked="0"/>
    </xf>
    <xf numFmtId="3" fontId="4" fillId="0" borderId="15" xfId="2" applyNumberFormat="1" applyFont="1" applyBorder="1" applyAlignment="1" applyProtection="1">
      <alignment horizontal="right"/>
      <protection locked="0"/>
    </xf>
    <xf numFmtId="0" fontId="7" fillId="0" borderId="0" xfId="0" applyFont="1" applyAlignment="1">
      <alignment horizontal="right"/>
    </xf>
    <xf numFmtId="3" fontId="4" fillId="0" borderId="12" xfId="2" applyNumberFormat="1" applyFont="1" applyBorder="1" applyAlignment="1" applyProtection="1">
      <alignment horizontal="right"/>
      <protection locked="0"/>
    </xf>
    <xf numFmtId="3" fontId="12" fillId="0" borderId="5" xfId="2" applyNumberFormat="1" applyFont="1" applyBorder="1" applyAlignment="1" applyProtection="1">
      <alignment horizontal="right"/>
      <protection locked="0"/>
    </xf>
    <xf numFmtId="3" fontId="12" fillId="0" borderId="12" xfId="2" applyNumberFormat="1" applyFont="1" applyBorder="1" applyAlignment="1" applyProtection="1">
      <alignment horizontal="right"/>
      <protection locked="0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3" fontId="0" fillId="0" borderId="12" xfId="0" applyNumberFormat="1" applyBorder="1"/>
    <xf numFmtId="165" fontId="6" fillId="0" borderId="17" xfId="0" applyNumberFormat="1" applyFont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5" xfId="0" applyNumberFormat="1" applyBorder="1"/>
    <xf numFmtId="0" fontId="0" fillId="0" borderId="1" xfId="0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3" fontId="0" fillId="0" borderId="8" xfId="0" applyNumberFormat="1" applyBorder="1"/>
    <xf numFmtId="0" fontId="5" fillId="0" borderId="28" xfId="0" applyFont="1" applyBorder="1" applyAlignment="1">
      <alignment horizontal="center"/>
    </xf>
    <xf numFmtId="0" fontId="0" fillId="0" borderId="0" xfId="0" applyAlignment="1">
      <alignment horizontal="left"/>
    </xf>
    <xf numFmtId="3" fontId="0" fillId="0" borderId="34" xfId="0" applyNumberFormat="1" applyBorder="1"/>
    <xf numFmtId="0" fontId="5" fillId="0" borderId="10" xfId="0" applyFont="1" applyBorder="1" applyAlignment="1">
      <alignment horizontal="center"/>
    </xf>
    <xf numFmtId="167" fontId="0" fillId="0" borderId="0" xfId="0" applyNumberFormat="1" applyAlignment="1">
      <alignment horizontal="right"/>
    </xf>
    <xf numFmtId="1" fontId="12" fillId="0" borderId="16" xfId="0" applyNumberFormat="1" applyFont="1" applyBorder="1" applyAlignment="1" applyProtection="1">
      <alignment horizontal="center" vertical="center" wrapText="1"/>
      <protection locked="0"/>
    </xf>
    <xf numFmtId="1" fontId="12" fillId="0" borderId="17" xfId="0" applyNumberFormat="1" applyFont="1" applyBorder="1" applyAlignment="1" applyProtection="1">
      <alignment horizontal="center" vertical="center" wrapText="1"/>
      <protection locked="0"/>
    </xf>
    <xf numFmtId="0" fontId="0" fillId="0" borderId="20" xfId="0" applyBorder="1"/>
    <xf numFmtId="0" fontId="0" fillId="0" borderId="6" xfId="0" applyBorder="1"/>
    <xf numFmtId="0" fontId="0" fillId="0" borderId="1" xfId="0" applyBorder="1"/>
    <xf numFmtId="0" fontId="0" fillId="0" borderId="13" xfId="0" applyBorder="1"/>
    <xf numFmtId="3" fontId="12" fillId="0" borderId="15" xfId="2" applyNumberFormat="1" applyFont="1" applyBorder="1" applyAlignment="1" applyProtection="1">
      <alignment horizontal="right"/>
      <protection locked="0"/>
    </xf>
    <xf numFmtId="3" fontId="12" fillId="0" borderId="34" xfId="2" applyNumberFormat="1" applyFont="1" applyBorder="1" applyAlignment="1" applyProtection="1">
      <alignment horizontal="right"/>
      <protection locked="0"/>
    </xf>
    <xf numFmtId="0" fontId="0" fillId="2" borderId="3" xfId="0" applyFill="1" applyBorder="1"/>
    <xf numFmtId="165" fontId="6" fillId="0" borderId="18" xfId="0" applyNumberFormat="1" applyFont="1" applyBorder="1" applyAlignment="1" applyProtection="1">
      <alignment horizontal="center"/>
      <protection locked="0"/>
    </xf>
    <xf numFmtId="1" fontId="6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center"/>
    </xf>
    <xf numFmtId="165" fontId="13" fillId="0" borderId="17" xfId="0" applyNumberFormat="1" applyFont="1" applyBorder="1" applyAlignment="1" applyProtection="1">
      <alignment horizontal="center"/>
      <protection locked="0"/>
    </xf>
    <xf numFmtId="165" fontId="13" fillId="0" borderId="2" xfId="0" applyNumberFormat="1" applyFont="1" applyBorder="1" applyAlignment="1" applyProtection="1">
      <alignment horizontal="center"/>
      <protection locked="0"/>
    </xf>
    <xf numFmtId="165" fontId="13" fillId="0" borderId="4" xfId="0" applyNumberFormat="1" applyFont="1" applyBorder="1" applyAlignment="1" applyProtection="1">
      <alignment horizontal="center"/>
      <protection locked="0"/>
    </xf>
    <xf numFmtId="165" fontId="13" fillId="0" borderId="14" xfId="0" applyNumberFormat="1" applyFont="1" applyBorder="1" applyAlignment="1" applyProtection="1">
      <alignment horizontal="center"/>
      <protection locked="0"/>
    </xf>
    <xf numFmtId="0" fontId="5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3" fontId="12" fillId="0" borderId="39" xfId="2" applyNumberFormat="1" applyFont="1" applyBorder="1" applyAlignment="1" applyProtection="1">
      <alignment horizontal="right"/>
      <protection locked="0"/>
    </xf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12" fillId="0" borderId="6" xfId="0" applyNumberFormat="1" applyFont="1" applyBorder="1" applyAlignment="1" applyProtection="1">
      <alignment horizontal="center" vertical="center" wrapText="1"/>
      <protection locked="0"/>
    </xf>
    <xf numFmtId="1" fontId="12" fillId="0" borderId="7" xfId="0" applyNumberFormat="1" applyFont="1" applyBorder="1" applyAlignment="1" applyProtection="1">
      <alignment horizontal="center" vertical="center" wrapText="1"/>
      <protection locked="0"/>
    </xf>
    <xf numFmtId="1" fontId="12" fillId="0" borderId="22" xfId="0" applyNumberFormat="1" applyFont="1" applyBorder="1" applyAlignment="1" applyProtection="1">
      <alignment horizontal="center" vertical="center" wrapText="1"/>
      <protection locked="0"/>
    </xf>
    <xf numFmtId="1" fontId="12" fillId="0" borderId="23" xfId="0" applyNumberFormat="1" applyFont="1" applyBorder="1" applyAlignment="1" applyProtection="1">
      <alignment horizontal="center" vertical="center" wrapText="1"/>
      <protection locked="0"/>
    </xf>
    <xf numFmtId="1" fontId="12" fillId="0" borderId="42" xfId="0" applyNumberFormat="1" applyFont="1" applyBorder="1" applyAlignment="1" applyProtection="1">
      <alignment horizontal="center" vertical="center" wrapText="1"/>
      <protection locked="0"/>
    </xf>
    <xf numFmtId="1" fontId="12" fillId="0" borderId="20" xfId="0" applyNumberFormat="1" applyFont="1" applyBorder="1" applyAlignment="1" applyProtection="1">
      <alignment horizontal="center" vertical="center" wrapText="1"/>
      <protection locked="0"/>
    </xf>
    <xf numFmtId="1" fontId="12" fillId="0" borderId="21" xfId="0" applyNumberFormat="1" applyFont="1" applyBorder="1" applyAlignment="1" applyProtection="1">
      <alignment horizontal="center" vertical="center" wrapText="1"/>
      <protection locked="0"/>
    </xf>
    <xf numFmtId="1" fontId="7" fillId="0" borderId="21" xfId="0" applyNumberFormat="1" applyFont="1" applyBorder="1" applyAlignment="1" applyProtection="1">
      <alignment horizontal="center" vertical="center" wrapText="1"/>
      <protection locked="0"/>
    </xf>
    <xf numFmtId="3" fontId="4" fillId="0" borderId="34" xfId="2" applyNumberFormat="1" applyFont="1" applyBorder="1" applyAlignment="1" applyProtection="1">
      <alignment horizontal="right"/>
      <protection locked="0"/>
    </xf>
    <xf numFmtId="1" fontId="7" fillId="0" borderId="7" xfId="0" applyNumberFormat="1" applyFont="1" applyBorder="1" applyAlignment="1" applyProtection="1">
      <alignment horizontal="center" vertical="center" wrapText="1"/>
      <protection locked="0"/>
    </xf>
    <xf numFmtId="1" fontId="6" fillId="0" borderId="2" xfId="0" applyNumberFormat="1" applyFont="1" applyBorder="1" applyAlignment="1" applyProtection="1">
      <alignment horizontal="center" vertical="center" wrapText="1"/>
      <protection locked="0"/>
    </xf>
    <xf numFmtId="1" fontId="6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165" fontId="7" fillId="0" borderId="19" xfId="0" applyNumberFormat="1" applyFont="1" applyBorder="1" applyAlignment="1" applyProtection="1">
      <alignment horizontal="center"/>
      <protection locked="0"/>
    </xf>
    <xf numFmtId="165" fontId="12" fillId="0" borderId="43" xfId="0" applyNumberFormat="1" applyFont="1" applyBorder="1" applyAlignment="1" applyProtection="1">
      <alignment horizontal="center"/>
      <protection locked="0"/>
    </xf>
    <xf numFmtId="165" fontId="12" fillId="0" borderId="44" xfId="0" applyNumberFormat="1" applyFont="1" applyBorder="1" applyAlignment="1" applyProtection="1">
      <alignment horizontal="center"/>
      <protection locked="0"/>
    </xf>
    <xf numFmtId="166" fontId="12" fillId="0" borderId="44" xfId="1" applyNumberFormat="1" applyFont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>
      <alignment horizontal="center"/>
    </xf>
    <xf numFmtId="3" fontId="0" fillId="0" borderId="45" xfId="0" applyNumberFormat="1" applyBorder="1"/>
    <xf numFmtId="166" fontId="12" fillId="0" borderId="4" xfId="1" applyNumberFormat="1" applyFont="1" applyBorder="1" applyAlignment="1" applyProtection="1">
      <alignment horizontal="left"/>
      <protection locked="0"/>
    </xf>
    <xf numFmtId="0" fontId="9" fillId="0" borderId="41" xfId="0" applyFont="1" applyBorder="1" applyAlignment="1">
      <alignment horizontal="center"/>
    </xf>
    <xf numFmtId="165" fontId="12" fillId="0" borderId="6" xfId="0" applyNumberFormat="1" applyFont="1" applyBorder="1" applyAlignment="1" applyProtection="1">
      <alignment horizontal="center" vertical="center" wrapText="1"/>
      <protection locked="0"/>
    </xf>
    <xf numFmtId="165" fontId="12" fillId="0" borderId="7" xfId="0" applyNumberFormat="1" applyFont="1" applyBorder="1" applyAlignment="1" applyProtection="1">
      <alignment horizontal="center" vertical="center" wrapText="1"/>
      <protection locked="0"/>
    </xf>
    <xf numFmtId="166" fontId="12" fillId="0" borderId="7" xfId="1" applyNumberFormat="1" applyFont="1" applyBorder="1" applyAlignment="1" applyProtection="1">
      <alignment horizontal="center" vertical="center" wrapText="1"/>
      <protection locked="0"/>
    </xf>
    <xf numFmtId="165" fontId="7" fillId="0" borderId="18" xfId="0" applyNumberFormat="1" applyFont="1" applyBorder="1" applyAlignment="1" applyProtection="1">
      <alignment horizontal="center" vertical="center" wrapText="1"/>
      <protection locked="0"/>
    </xf>
    <xf numFmtId="0" fontId="9" fillId="0" borderId="37" xfId="0" applyFont="1" applyBorder="1"/>
    <xf numFmtId="0" fontId="9" fillId="0" borderId="38" xfId="0" applyFont="1" applyBorder="1" applyAlignment="1">
      <alignment horizontal="center"/>
    </xf>
    <xf numFmtId="3" fontId="0" fillId="0" borderId="39" xfId="0" applyNumberFormat="1" applyBorder="1"/>
    <xf numFmtId="165" fontId="7" fillId="0" borderId="4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/>
      <protection locked="0"/>
    </xf>
    <xf numFmtId="0" fontId="5" fillId="0" borderId="4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0" fillId="0" borderId="0" xfId="0" applyNumberFormat="1"/>
    <xf numFmtId="0" fontId="0" fillId="0" borderId="7" xfId="0" applyBorder="1"/>
    <xf numFmtId="3" fontId="0" fillId="0" borderId="7" xfId="0" applyNumberFormat="1" applyBorder="1"/>
    <xf numFmtId="3" fontId="4" fillId="0" borderId="39" xfId="2" applyNumberFormat="1" applyFont="1" applyBorder="1" applyAlignment="1" applyProtection="1">
      <alignment horizontal="right"/>
      <protection locked="0"/>
    </xf>
    <xf numFmtId="3" fontId="4" fillId="0" borderId="45" xfId="2" applyNumberFormat="1" applyFont="1" applyBorder="1" applyAlignment="1" applyProtection="1">
      <alignment horizontal="right"/>
      <protection locked="0"/>
    </xf>
    <xf numFmtId="1" fontId="17" fillId="0" borderId="2" xfId="0" applyNumberFormat="1" applyFont="1" applyBorder="1" applyAlignment="1" applyProtection="1">
      <alignment horizontal="center" vertical="center" wrapText="1"/>
      <protection locked="0"/>
    </xf>
    <xf numFmtId="1" fontId="17" fillId="0" borderId="4" xfId="0" applyNumberFormat="1" applyFont="1" applyBorder="1" applyAlignment="1" applyProtection="1">
      <alignment horizontal="center" vertical="center" wrapText="1"/>
      <protection locked="0"/>
    </xf>
    <xf numFmtId="1" fontId="17" fillId="0" borderId="14" xfId="0" applyNumberFormat="1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3" fontId="12" fillId="0" borderId="45" xfId="2" applyNumberFormat="1" applyFont="1" applyBorder="1" applyAlignment="1" applyProtection="1">
      <alignment horizontal="right"/>
      <protection locked="0"/>
    </xf>
    <xf numFmtId="3" fontId="0" fillId="0" borderId="4" xfId="0" applyNumberFormat="1" applyBorder="1"/>
    <xf numFmtId="165" fontId="12" fillId="0" borderId="41" xfId="0" applyNumberFormat="1" applyFont="1" applyBorder="1" applyAlignment="1" applyProtection="1">
      <alignment horizontal="center"/>
      <protection locked="0"/>
    </xf>
    <xf numFmtId="3" fontId="0" fillId="0" borderId="21" xfId="0" applyNumberFormat="1" applyBorder="1"/>
    <xf numFmtId="165" fontId="12" fillId="0" borderId="6" xfId="0" applyNumberFormat="1" applyFont="1" applyBorder="1" applyAlignment="1" applyProtection="1">
      <alignment horizontal="center"/>
      <protection locked="0"/>
    </xf>
    <xf numFmtId="165" fontId="7" fillId="0" borderId="18" xfId="0" applyNumberFormat="1" applyFont="1" applyBorder="1" applyAlignment="1" applyProtection="1">
      <alignment horizontal="center"/>
      <protection locked="0"/>
    </xf>
    <xf numFmtId="165" fontId="13" fillId="0" borderId="25" xfId="0" applyNumberFormat="1" applyFont="1" applyBorder="1" applyAlignment="1" applyProtection="1">
      <alignment horizontal="center"/>
      <protection locked="0"/>
    </xf>
    <xf numFmtId="165" fontId="13" fillId="0" borderId="21" xfId="0" applyNumberFormat="1" applyFont="1" applyBorder="1" applyAlignment="1" applyProtection="1">
      <alignment horizontal="center"/>
      <protection locked="0"/>
    </xf>
    <xf numFmtId="165" fontId="13" fillId="0" borderId="7" xfId="0" applyNumberFormat="1" applyFont="1" applyBorder="1" applyAlignment="1" applyProtection="1">
      <alignment horizontal="center"/>
      <protection locked="0"/>
    </xf>
    <xf numFmtId="165" fontId="12" fillId="0" borderId="46" xfId="0" applyNumberFormat="1" applyFont="1" applyBorder="1" applyAlignment="1" applyProtection="1">
      <alignment horizontal="center" vertical="center" wrapText="1"/>
      <protection locked="0"/>
    </xf>
    <xf numFmtId="165" fontId="12" fillId="0" borderId="41" xfId="0" applyNumberFormat="1" applyFont="1" applyBorder="1" applyAlignment="1" applyProtection="1">
      <alignment horizontal="center" vertical="center" wrapText="1"/>
      <protection locked="0"/>
    </xf>
    <xf numFmtId="166" fontId="12" fillId="0" borderId="41" xfId="1" applyNumberFormat="1" applyFont="1" applyBorder="1" applyAlignment="1" applyProtection="1">
      <alignment horizontal="center" vertical="center" wrapText="1"/>
      <protection locked="0"/>
    </xf>
    <xf numFmtId="165" fontId="7" fillId="0" borderId="47" xfId="0" applyNumberFormat="1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37" xfId="0" applyFont="1" applyBorder="1" applyAlignment="1" applyProtection="1">
      <alignment horizontal="center" vertical="center" wrapText="1"/>
      <protection locked="0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0" fillId="0" borderId="31" xfId="0" applyBorder="1"/>
    <xf numFmtId="0" fontId="0" fillId="0" borderId="33" xfId="0" applyBorder="1"/>
    <xf numFmtId="0" fontId="0" fillId="0" borderId="27" xfId="0" applyBorder="1"/>
    <xf numFmtId="0" fontId="0" fillId="2" borderId="20" xfId="0" applyFill="1" applyBorder="1"/>
    <xf numFmtId="0" fontId="15" fillId="2" borderId="21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12" fillId="0" borderId="46" xfId="0" applyNumberFormat="1" applyFont="1" applyBorder="1" applyAlignment="1" applyProtection="1">
      <alignment horizontal="center" vertical="center" wrapText="1"/>
      <protection locked="0"/>
    </xf>
    <xf numFmtId="0" fontId="0" fillId="0" borderId="41" xfId="0" applyBorder="1" applyAlignment="1">
      <alignment horizontal="center"/>
    </xf>
    <xf numFmtId="0" fontId="8" fillId="0" borderId="7" xfId="0" applyFont="1" applyBorder="1" applyAlignment="1">
      <alignment horizontal="center"/>
    </xf>
    <xf numFmtId="3" fontId="12" fillId="0" borderId="8" xfId="2" applyNumberFormat="1" applyFont="1" applyBorder="1" applyAlignment="1" applyProtection="1">
      <alignment horizontal="right"/>
      <protection locked="0"/>
    </xf>
    <xf numFmtId="1" fontId="12" fillId="0" borderId="41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1" fillId="3" borderId="7" xfId="0" applyFont="1" applyFill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168" fontId="23" fillId="3" borderId="4" xfId="2" applyNumberFormat="1" applyFont="1" applyFill="1" applyBorder="1"/>
    <xf numFmtId="9" fontId="24" fillId="2" borderId="4" xfId="4" applyFont="1" applyFill="1" applyBorder="1"/>
    <xf numFmtId="9" fontId="19" fillId="0" borderId="4" xfId="0" applyNumberFormat="1" applyFont="1" applyBorder="1" applyAlignment="1">
      <alignment horizontal="center"/>
    </xf>
    <xf numFmtId="0" fontId="0" fillId="4" borderId="4" xfId="0" applyFill="1" applyBorder="1"/>
    <xf numFmtId="0" fontId="0" fillId="2" borderId="4" xfId="0" applyFill="1" applyBorder="1"/>
    <xf numFmtId="0" fontId="0" fillId="2" borderId="0" xfId="0" applyFill="1"/>
    <xf numFmtId="0" fontId="22" fillId="0" borderId="0" xfId="0" applyFont="1"/>
    <xf numFmtId="0" fontId="19" fillId="0" borderId="21" xfId="0" applyFont="1" applyBorder="1"/>
    <xf numFmtId="0" fontId="0" fillId="0" borderId="21" xfId="0" applyBorder="1"/>
    <xf numFmtId="9" fontId="22" fillId="0" borderId="4" xfId="0" applyNumberFormat="1" applyFont="1" applyBorder="1" applyAlignment="1">
      <alignment horizontal="center"/>
    </xf>
    <xf numFmtId="0" fontId="19" fillId="0" borderId="4" xfId="0" applyFont="1" applyBorder="1"/>
    <xf numFmtId="9" fontId="0" fillId="0" borderId="0" xfId="4" applyFont="1"/>
    <xf numFmtId="0" fontId="24" fillId="0" borderId="0" xfId="0" applyFont="1"/>
    <xf numFmtId="0" fontId="19" fillId="0" borderId="0" xfId="0" applyFont="1" applyAlignment="1">
      <alignment horizontal="center"/>
    </xf>
    <xf numFmtId="168" fontId="0" fillId="0" borderId="0" xfId="0" applyNumberFormat="1"/>
    <xf numFmtId="168" fontId="20" fillId="2" borderId="7" xfId="2" applyNumberFormat="1" applyFont="1" applyFill="1" applyBorder="1" applyAlignment="1">
      <alignment horizontal="center"/>
    </xf>
    <xf numFmtId="168" fontId="23" fillId="2" borderId="4" xfId="2" applyNumberFormat="1" applyFont="1" applyFill="1" applyBorder="1"/>
    <xf numFmtId="168" fontId="8" fillId="2" borderId="0" xfId="2" applyNumberFormat="1" applyFont="1" applyFill="1"/>
    <xf numFmtId="0" fontId="0" fillId="5" borderId="0" xfId="0" applyFill="1"/>
    <xf numFmtId="168" fontId="0" fillId="0" borderId="34" xfId="2" applyNumberFormat="1" applyFont="1" applyBorder="1"/>
    <xf numFmtId="168" fontId="0" fillId="0" borderId="5" xfId="2" applyNumberFormat="1" applyFont="1" applyBorder="1"/>
    <xf numFmtId="168" fontId="0" fillId="0" borderId="8" xfId="2" applyNumberFormat="1" applyFont="1" applyBorder="1"/>
    <xf numFmtId="168" fontId="0" fillId="0" borderId="12" xfId="2" applyNumberFormat="1" applyFont="1" applyBorder="1"/>
    <xf numFmtId="168" fontId="0" fillId="0" borderId="15" xfId="2" applyNumberFormat="1" applyFont="1" applyBorder="1"/>
    <xf numFmtId="168" fontId="4" fillId="0" borderId="35" xfId="2" applyNumberFormat="1" applyFont="1" applyBorder="1" applyAlignment="1" applyProtection="1">
      <alignment horizontal="right"/>
      <protection locked="0"/>
    </xf>
    <xf numFmtId="168" fontId="4" fillId="0" borderId="36" xfId="2" applyNumberFormat="1" applyFont="1" applyBorder="1" applyAlignment="1" applyProtection="1">
      <alignment horizontal="right"/>
      <protection locked="0"/>
    </xf>
    <xf numFmtId="168" fontId="4" fillId="0" borderId="5" xfId="2" applyNumberFormat="1" applyFont="1" applyBorder="1" applyAlignment="1" applyProtection="1">
      <alignment horizontal="right"/>
      <protection locked="0"/>
    </xf>
    <xf numFmtId="168" fontId="4" fillId="0" borderId="15" xfId="2" applyNumberFormat="1" applyFont="1" applyBorder="1" applyAlignment="1" applyProtection="1">
      <alignment horizontal="right"/>
      <protection locked="0"/>
    </xf>
    <xf numFmtId="168" fontId="4" fillId="0" borderId="12" xfId="2" applyNumberFormat="1" applyFont="1" applyBorder="1" applyAlignment="1" applyProtection="1">
      <alignment horizontal="right"/>
      <protection locked="0"/>
    </xf>
    <xf numFmtId="168" fontId="4" fillId="0" borderId="40" xfId="2" applyNumberFormat="1" applyFont="1" applyBorder="1" applyAlignment="1" applyProtection="1">
      <alignment horizontal="right"/>
      <protection locked="0"/>
    </xf>
    <xf numFmtId="0" fontId="0" fillId="0" borderId="46" xfId="0" applyBorder="1" applyAlignment="1">
      <alignment horizontal="center"/>
    </xf>
    <xf numFmtId="165" fontId="6" fillId="0" borderId="47" xfId="0" applyNumberFormat="1" applyFont="1" applyBorder="1" applyAlignment="1" applyProtection="1">
      <alignment horizontal="center"/>
      <protection locked="0"/>
    </xf>
    <xf numFmtId="165" fontId="6" fillId="0" borderId="14" xfId="0" applyNumberFormat="1" applyFont="1" applyBorder="1" applyAlignment="1" applyProtection="1">
      <alignment horizontal="center"/>
      <protection locked="0"/>
    </xf>
    <xf numFmtId="166" fontId="12" fillId="0" borderId="2" xfId="1" applyNumberFormat="1" applyFont="1" applyBorder="1" applyAlignment="1" applyProtection="1">
      <alignment horizontal="left"/>
      <protection locked="0"/>
    </xf>
    <xf numFmtId="165" fontId="6" fillId="0" borderId="16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/>
    <xf numFmtId="0" fontId="0" fillId="0" borderId="44" xfId="0" applyBorder="1" applyAlignment="1">
      <alignment horizontal="center"/>
    </xf>
    <xf numFmtId="0" fontId="0" fillId="2" borderId="14" xfId="0" applyFill="1" applyBorder="1"/>
    <xf numFmtId="169" fontId="12" fillId="0" borderId="2" xfId="1" applyNumberFormat="1" applyFont="1" applyBorder="1" applyAlignment="1" applyProtection="1">
      <alignment horizontal="center"/>
      <protection locked="0"/>
    </xf>
    <xf numFmtId="169" fontId="12" fillId="0" borderId="4" xfId="1" applyNumberFormat="1" applyFont="1" applyBorder="1" applyAlignment="1" applyProtection="1">
      <alignment horizontal="center"/>
      <protection locked="0"/>
    </xf>
    <xf numFmtId="169" fontId="12" fillId="0" borderId="14" xfId="1" applyNumberFormat="1" applyFont="1" applyBorder="1" applyAlignment="1" applyProtection="1">
      <alignment horizontal="center"/>
      <protection locked="0"/>
    </xf>
    <xf numFmtId="165" fontId="7" fillId="0" borderId="2" xfId="0" applyNumberFormat="1" applyFont="1" applyBorder="1" applyAlignment="1" applyProtection="1">
      <alignment horizontal="center"/>
      <protection locked="0"/>
    </xf>
    <xf numFmtId="0" fontId="0" fillId="2" borderId="13" xfId="0" applyFill="1" applyBorder="1"/>
    <xf numFmtId="1" fontId="12" fillId="0" borderId="2" xfId="1" applyNumberFormat="1" applyFont="1" applyBorder="1" applyAlignment="1" applyProtection="1">
      <alignment horizontal="center"/>
      <protection locked="0"/>
    </xf>
    <xf numFmtId="1" fontId="12" fillId="0" borderId="4" xfId="1" applyNumberFormat="1" applyFont="1" applyBorder="1" applyAlignment="1" applyProtection="1">
      <alignment horizontal="center"/>
      <protection locked="0"/>
    </xf>
    <xf numFmtId="1" fontId="0" fillId="0" borderId="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2" borderId="2" xfId="0" applyFill="1" applyBorder="1"/>
    <xf numFmtId="0" fontId="26" fillId="0" borderId="24" xfId="0" applyFont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1" fontId="12" fillId="0" borderId="21" xfId="1" applyNumberFormat="1" applyFont="1" applyBorder="1" applyAlignment="1" applyProtection="1">
      <alignment horizontal="center"/>
      <protection locked="0"/>
    </xf>
    <xf numFmtId="0" fontId="0" fillId="2" borderId="21" xfId="0" applyFill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3" fontId="12" fillId="0" borderId="5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11" fillId="0" borderId="9" xfId="0" applyNumberFormat="1" applyFont="1" applyBorder="1" applyAlignment="1" applyProtection="1">
      <alignment horizontal="center"/>
      <protection locked="0"/>
    </xf>
    <xf numFmtId="165" fontId="11" fillId="0" borderId="10" xfId="0" applyNumberFormat="1" applyFont="1" applyBorder="1" applyAlignment="1" applyProtection="1">
      <alignment horizontal="center"/>
      <protection locked="0"/>
    </xf>
    <xf numFmtId="165" fontId="11" fillId="0" borderId="11" xfId="0" applyNumberFormat="1" applyFont="1" applyBorder="1" applyAlignment="1" applyProtection="1">
      <alignment horizontal="center"/>
      <protection locked="0"/>
    </xf>
    <xf numFmtId="165" fontId="11" fillId="0" borderId="31" xfId="0" applyNumberFormat="1" applyFont="1" applyBorder="1" applyAlignment="1" applyProtection="1">
      <alignment horizontal="center"/>
      <protection locked="0"/>
    </xf>
    <xf numFmtId="165" fontId="11" fillId="0" borderId="26" xfId="0" applyNumberFormat="1" applyFont="1" applyBorder="1" applyAlignment="1" applyProtection="1">
      <alignment horizontal="center"/>
      <protection locked="0"/>
    </xf>
    <xf numFmtId="165" fontId="11" fillId="0" borderId="30" xfId="0" applyNumberFormat="1" applyFont="1" applyBorder="1" applyAlignment="1" applyProtection="1">
      <alignment horizontal="center"/>
      <protection locked="0"/>
    </xf>
    <xf numFmtId="165" fontId="11" fillId="0" borderId="27" xfId="0" applyNumberFormat="1" applyFont="1" applyBorder="1" applyAlignment="1" applyProtection="1">
      <alignment horizontal="center"/>
      <protection locked="0"/>
    </xf>
    <xf numFmtId="165" fontId="11" fillId="0" borderId="28" xfId="0" applyNumberFormat="1" applyFont="1" applyBorder="1" applyAlignment="1" applyProtection="1">
      <alignment horizontal="center"/>
      <protection locked="0"/>
    </xf>
    <xf numFmtId="165" fontId="11" fillId="0" borderId="29" xfId="0" applyNumberFormat="1" applyFont="1" applyBorder="1" applyAlignment="1" applyProtection="1">
      <alignment horizontal="center"/>
      <protection locked="0"/>
    </xf>
    <xf numFmtId="0" fontId="5" fillId="0" borderId="31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" fontId="13" fillId="0" borderId="9" xfId="0" applyNumberFormat="1" applyFont="1" applyBorder="1" applyAlignment="1" applyProtection="1">
      <alignment horizontal="center" vertical="center" wrapText="1"/>
      <protection locked="0"/>
    </xf>
    <xf numFmtId="1" fontId="13" fillId="0" borderId="10" xfId="0" applyNumberFormat="1" applyFont="1" applyBorder="1" applyAlignment="1" applyProtection="1">
      <alignment horizontal="center" vertical="center" wrapText="1"/>
      <protection locked="0"/>
    </xf>
    <xf numFmtId="1" fontId="13" fillId="0" borderId="11" xfId="0" applyNumberFormat="1" applyFont="1" applyBorder="1" applyAlignment="1" applyProtection="1">
      <alignment horizontal="center" vertical="center" wrapText="1"/>
      <protection locked="0"/>
    </xf>
    <xf numFmtId="1" fontId="13" fillId="0" borderId="31" xfId="0" applyNumberFormat="1" applyFont="1" applyBorder="1" applyAlignment="1" applyProtection="1">
      <alignment horizontal="center" vertical="center" wrapText="1"/>
      <protection locked="0"/>
    </xf>
    <xf numFmtId="1" fontId="13" fillId="0" borderId="26" xfId="0" applyNumberFormat="1" applyFont="1" applyBorder="1" applyAlignment="1" applyProtection="1">
      <alignment horizontal="center" vertical="center" wrapText="1"/>
      <protection locked="0"/>
    </xf>
    <xf numFmtId="1" fontId="13" fillId="0" borderId="30" xfId="0" applyNumberFormat="1" applyFont="1" applyBorder="1" applyAlignment="1" applyProtection="1">
      <alignment horizontal="center" vertical="center" wrapText="1"/>
      <protection locked="0"/>
    </xf>
    <xf numFmtId="1" fontId="13" fillId="0" borderId="27" xfId="0" applyNumberFormat="1" applyFont="1" applyBorder="1" applyAlignment="1" applyProtection="1">
      <alignment horizontal="center" vertical="center" wrapText="1"/>
      <protection locked="0"/>
    </xf>
    <xf numFmtId="1" fontId="13" fillId="0" borderId="28" xfId="0" applyNumberFormat="1" applyFont="1" applyBorder="1" applyAlignment="1" applyProtection="1">
      <alignment horizontal="center" vertical="center" wrapText="1"/>
      <protection locked="0"/>
    </xf>
    <xf numFmtId="1" fontId="13" fillId="0" borderId="29" xfId="0" applyNumberFormat="1" applyFont="1" applyBorder="1" applyAlignment="1" applyProtection="1">
      <alignment horizontal="center" vertical="center" wrapText="1"/>
      <protection locked="0"/>
    </xf>
    <xf numFmtId="165" fontId="13" fillId="0" borderId="27" xfId="0" applyNumberFormat="1" applyFont="1" applyBorder="1" applyAlignment="1" applyProtection="1">
      <alignment horizontal="center" vertical="center" wrapText="1"/>
      <protection locked="0"/>
    </xf>
    <xf numFmtId="165" fontId="13" fillId="0" borderId="28" xfId="0" applyNumberFormat="1" applyFont="1" applyBorder="1" applyAlignment="1" applyProtection="1">
      <alignment horizontal="center" vertical="center" wrapText="1"/>
      <protection locked="0"/>
    </xf>
    <xf numFmtId="165" fontId="13" fillId="0" borderId="29" xfId="0" applyNumberFormat="1" applyFont="1" applyBorder="1" applyAlignment="1" applyProtection="1">
      <alignment horizontal="center" vertical="center" wrapText="1"/>
      <protection locked="0"/>
    </xf>
    <xf numFmtId="165" fontId="13" fillId="0" borderId="9" xfId="0" applyNumberFormat="1" applyFont="1" applyBorder="1" applyAlignment="1" applyProtection="1">
      <alignment horizontal="center" vertical="center" wrapText="1"/>
      <protection locked="0"/>
    </xf>
    <xf numFmtId="165" fontId="13" fillId="0" borderId="10" xfId="0" applyNumberFormat="1" applyFont="1" applyBorder="1" applyAlignment="1" applyProtection="1">
      <alignment horizontal="center" vertical="center" wrapText="1"/>
      <protection locked="0"/>
    </xf>
    <xf numFmtId="165" fontId="13" fillId="0" borderId="11" xfId="0" applyNumberFormat="1" applyFont="1" applyBorder="1" applyAlignment="1" applyProtection="1">
      <alignment horizontal="center" vertical="center" wrapText="1"/>
      <protection locked="0"/>
    </xf>
    <xf numFmtId="165" fontId="13" fillId="0" borderId="31" xfId="0" applyNumberFormat="1" applyFont="1" applyBorder="1" applyAlignment="1" applyProtection="1">
      <alignment horizontal="center" vertical="center" wrapText="1"/>
      <protection locked="0"/>
    </xf>
    <xf numFmtId="165" fontId="13" fillId="0" borderId="26" xfId="0" applyNumberFormat="1" applyFont="1" applyBorder="1" applyAlignment="1" applyProtection="1">
      <alignment horizontal="center" vertical="center" wrapText="1"/>
      <protection locked="0"/>
    </xf>
    <xf numFmtId="165" fontId="13" fillId="0" borderId="30" xfId="0" applyNumberFormat="1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6" fillId="0" borderId="3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2" xfId="0" applyFont="1" applyBorder="1" applyAlignment="1">
      <alignment horizontal="center"/>
    </xf>
  </cellXfs>
  <cellStyles count="6">
    <cellStyle name="Millares" xfId="1" builtinId="3"/>
    <cellStyle name="Moneda" xfId="2" builtinId="4"/>
    <cellStyle name="Normal" xfId="0" builtinId="0"/>
    <cellStyle name="Normal 10" xfId="3" xr:uid="{1A197DD5-6817-4875-AF27-E0E0F7704F3F}"/>
    <cellStyle name="Normal 11" xfId="5" xr:uid="{C7694BBF-35D6-45E8-80D7-8A8376CB6B5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3771-3A0F-4332-8602-F45626D8203E}">
  <dimension ref="A1:H768"/>
  <sheetViews>
    <sheetView workbookViewId="0">
      <selection activeCell="C2" sqref="C2:C694"/>
    </sheetView>
  </sheetViews>
  <sheetFormatPr baseColWidth="10" defaultRowHeight="15" x14ac:dyDescent="0.25"/>
  <cols>
    <col min="1" max="1" width="18.85546875" bestFit="1" customWidth="1"/>
    <col min="2" max="2" width="58.42578125" customWidth="1"/>
    <col min="3" max="3" width="11.42578125" style="221" customWidth="1"/>
    <col min="4" max="4" width="1" style="216" customWidth="1"/>
    <col min="5" max="5" width="12.5703125" style="217" customWidth="1"/>
  </cols>
  <sheetData>
    <row r="1" spans="1:8" s="3" customFormat="1" x14ac:dyDescent="0.25">
      <c r="A1" s="201" t="s">
        <v>2513</v>
      </c>
      <c r="B1" s="201" t="s">
        <v>2514</v>
      </c>
      <c r="C1" s="219" t="s">
        <v>2515</v>
      </c>
      <c r="D1" s="202"/>
      <c r="E1" s="203"/>
    </row>
    <row r="2" spans="1:8" x14ac:dyDescent="0.25">
      <c r="A2" s="64"/>
      <c r="B2" s="64" t="s">
        <v>1062</v>
      </c>
      <c r="C2" s="220">
        <v>27511</v>
      </c>
      <c r="D2" s="205"/>
      <c r="E2" s="206">
        <v>0</v>
      </c>
      <c r="F2" s="218">
        <f>ROUND(C2,0)</f>
        <v>27511</v>
      </c>
      <c r="H2" t="e">
        <f ca="1">_xlfn.XLOOKUP(A2,Hoja1!A:A,Hoja1!G:G,0,0)</f>
        <v>#NAME?</v>
      </c>
    </row>
    <row r="3" spans="1:8" x14ac:dyDescent="0.25">
      <c r="A3" s="64" t="s">
        <v>1064</v>
      </c>
      <c r="B3" s="64" t="s">
        <v>1065</v>
      </c>
      <c r="C3" s="220">
        <v>27511</v>
      </c>
      <c r="D3" s="205"/>
      <c r="E3" s="206">
        <v>0</v>
      </c>
      <c r="F3" s="218">
        <f t="shared" ref="F3:F66" si="0">ROUND(C3,0)</f>
        <v>27511</v>
      </c>
      <c r="H3" t="e">
        <f ca="1">_xlfn.XLOOKUP(A3,Hoja1!A:A,Hoja1!G:G,0,0)</f>
        <v>#NAME?</v>
      </c>
    </row>
    <row r="4" spans="1:8" x14ac:dyDescent="0.25">
      <c r="A4" s="64" t="s">
        <v>1066</v>
      </c>
      <c r="B4" s="64" t="s">
        <v>1067</v>
      </c>
      <c r="C4" s="220">
        <v>27511</v>
      </c>
      <c r="D4" s="205"/>
      <c r="E4" s="206">
        <v>0</v>
      </c>
      <c r="F4" s="218">
        <f t="shared" si="0"/>
        <v>27511</v>
      </c>
      <c r="H4" t="e">
        <f ca="1">_xlfn.XLOOKUP(A4,Hoja1!A:A,Hoja1!G:G,0,0)</f>
        <v>#NAME?</v>
      </c>
    </row>
    <row r="5" spans="1:8" x14ac:dyDescent="0.25">
      <c r="A5" s="64" t="s">
        <v>1068</v>
      </c>
      <c r="B5" s="64" t="s">
        <v>1069</v>
      </c>
      <c r="C5" s="220">
        <v>27511</v>
      </c>
      <c r="D5" s="205"/>
      <c r="E5" s="206">
        <v>0</v>
      </c>
      <c r="F5" s="218">
        <f t="shared" si="0"/>
        <v>27511</v>
      </c>
      <c r="H5" t="e">
        <f ca="1">_xlfn.XLOOKUP(A5,Hoja1!A:A,Hoja1!G:G,0,0)</f>
        <v>#NAME?</v>
      </c>
    </row>
    <row r="6" spans="1:8" x14ac:dyDescent="0.25">
      <c r="A6" s="64" t="s">
        <v>1070</v>
      </c>
      <c r="B6" s="64" t="s">
        <v>1071</v>
      </c>
      <c r="C6" s="220">
        <v>27511</v>
      </c>
      <c r="D6" s="205"/>
      <c r="E6" s="206">
        <v>0</v>
      </c>
      <c r="F6" s="218">
        <f t="shared" si="0"/>
        <v>27511</v>
      </c>
      <c r="H6" t="e">
        <f ca="1">_xlfn.XLOOKUP(A6,Hoja1!A:A,Hoja1!G:G,0,0)</f>
        <v>#NAME?</v>
      </c>
    </row>
    <row r="7" spans="1:8" x14ac:dyDescent="0.25">
      <c r="A7" s="64" t="s">
        <v>1072</v>
      </c>
      <c r="B7" s="64" t="s">
        <v>1073</v>
      </c>
      <c r="C7" s="220">
        <v>27511</v>
      </c>
      <c r="D7" s="205"/>
      <c r="E7" s="206">
        <v>0</v>
      </c>
      <c r="F7" s="218">
        <f t="shared" si="0"/>
        <v>27511</v>
      </c>
      <c r="H7" t="e">
        <f ca="1">_xlfn.XLOOKUP(A7,Hoja1!A:A,Hoja1!G:G,0,0)</f>
        <v>#NAME?</v>
      </c>
    </row>
    <row r="8" spans="1:8" x14ac:dyDescent="0.25">
      <c r="A8" s="64" t="s">
        <v>1074</v>
      </c>
      <c r="B8" s="64" t="s">
        <v>1075</v>
      </c>
      <c r="C8" s="220">
        <v>27511</v>
      </c>
      <c r="D8" s="205"/>
      <c r="E8" s="206">
        <v>0</v>
      </c>
      <c r="F8" s="218">
        <f t="shared" si="0"/>
        <v>27511</v>
      </c>
      <c r="H8" t="e">
        <f ca="1">_xlfn.XLOOKUP(A8,Hoja1!A:A,Hoja1!G:G,0,0)</f>
        <v>#NAME?</v>
      </c>
    </row>
    <row r="9" spans="1:8" x14ac:dyDescent="0.25">
      <c r="A9" s="64" t="s">
        <v>1076</v>
      </c>
      <c r="B9" s="64" t="s">
        <v>1077</v>
      </c>
      <c r="C9" s="220">
        <v>27511</v>
      </c>
      <c r="D9" s="205"/>
      <c r="E9" s="206">
        <v>0</v>
      </c>
      <c r="F9" s="218">
        <f t="shared" si="0"/>
        <v>27511</v>
      </c>
      <c r="H9" t="e">
        <f ca="1">_xlfn.XLOOKUP(A9,Hoja1!A:A,Hoja1!G:G,0,0)</f>
        <v>#NAME?</v>
      </c>
    </row>
    <row r="10" spans="1:8" x14ac:dyDescent="0.25">
      <c r="A10" s="64" t="s">
        <v>1078</v>
      </c>
      <c r="B10" s="64" t="s">
        <v>1079</v>
      </c>
      <c r="C10" s="220">
        <v>27511</v>
      </c>
      <c r="D10" s="205"/>
      <c r="E10" s="206">
        <v>0</v>
      </c>
      <c r="F10" s="218">
        <f t="shared" si="0"/>
        <v>27511</v>
      </c>
      <c r="H10" t="e">
        <f ca="1">_xlfn.XLOOKUP(A10,Hoja1!A:A,Hoja1!G:G,0,0)</f>
        <v>#NAME?</v>
      </c>
    </row>
    <row r="11" spans="1:8" x14ac:dyDescent="0.25">
      <c r="A11" s="64" t="s">
        <v>1080</v>
      </c>
      <c r="B11" s="64" t="s">
        <v>1081</v>
      </c>
      <c r="C11" s="220">
        <v>27511</v>
      </c>
      <c r="D11" s="205"/>
      <c r="E11" s="206">
        <v>0</v>
      </c>
      <c r="F11" s="218">
        <f t="shared" si="0"/>
        <v>27511</v>
      </c>
      <c r="H11" t="e">
        <f ca="1">_xlfn.XLOOKUP(A11,Hoja1!A:A,Hoja1!G:G,0,0)</f>
        <v>#NAME?</v>
      </c>
    </row>
    <row r="12" spans="1:8" x14ac:dyDescent="0.25">
      <c r="A12" s="64" t="s">
        <v>1082</v>
      </c>
      <c r="B12" s="64" t="s">
        <v>2516</v>
      </c>
      <c r="C12" s="220">
        <v>27511</v>
      </c>
      <c r="D12" s="205"/>
      <c r="E12" s="206">
        <v>0</v>
      </c>
      <c r="F12" s="218">
        <f t="shared" si="0"/>
        <v>27511</v>
      </c>
      <c r="H12" t="e">
        <f ca="1">_xlfn.XLOOKUP(A12,Hoja1!A:A,Hoja1!G:G,0,0)</f>
        <v>#NAME?</v>
      </c>
    </row>
    <row r="13" spans="1:8" x14ac:dyDescent="0.25">
      <c r="A13" s="64" t="s">
        <v>1084</v>
      </c>
      <c r="B13" s="64" t="s">
        <v>1085</v>
      </c>
      <c r="C13" s="220">
        <v>27511</v>
      </c>
      <c r="D13" s="205"/>
      <c r="E13" s="206">
        <v>0</v>
      </c>
      <c r="F13" s="218">
        <f t="shared" si="0"/>
        <v>27511</v>
      </c>
      <c r="H13" t="e">
        <f ca="1">_xlfn.XLOOKUP(A13,Hoja1!A:A,Hoja1!G:G,0,0)</f>
        <v>#NAME?</v>
      </c>
    </row>
    <row r="14" spans="1:8" x14ac:dyDescent="0.25">
      <c r="A14" s="64" t="s">
        <v>1086</v>
      </c>
      <c r="B14" s="64" t="s">
        <v>1087</v>
      </c>
      <c r="C14" s="220">
        <v>36341</v>
      </c>
      <c r="D14" s="205"/>
      <c r="E14" s="206">
        <v>0</v>
      </c>
      <c r="F14" s="218">
        <f t="shared" si="0"/>
        <v>36341</v>
      </c>
      <c r="H14" t="e">
        <f ca="1">_xlfn.XLOOKUP(A14,Hoja1!A:A,Hoja1!G:G,0,0)</f>
        <v>#NAME?</v>
      </c>
    </row>
    <row r="15" spans="1:8" x14ac:dyDescent="0.25">
      <c r="A15" s="64" t="s">
        <v>1088</v>
      </c>
      <c r="B15" s="64" t="s">
        <v>1089</v>
      </c>
      <c r="C15" s="220">
        <v>36341</v>
      </c>
      <c r="D15" s="205"/>
      <c r="E15" s="206">
        <v>0</v>
      </c>
      <c r="F15" s="218">
        <f t="shared" si="0"/>
        <v>36341</v>
      </c>
      <c r="H15" t="e">
        <f ca="1">_xlfn.XLOOKUP(A15,Hoja1!A:A,Hoja1!G:G,0,0)</f>
        <v>#NAME?</v>
      </c>
    </row>
    <row r="16" spans="1:8" x14ac:dyDescent="0.25">
      <c r="A16" s="64" t="s">
        <v>1090</v>
      </c>
      <c r="B16" s="64" t="s">
        <v>1091</v>
      </c>
      <c r="C16" s="220">
        <v>36341</v>
      </c>
      <c r="D16" s="205"/>
      <c r="E16" s="206">
        <v>0</v>
      </c>
      <c r="F16" s="218">
        <f t="shared" si="0"/>
        <v>36341</v>
      </c>
      <c r="H16" t="e">
        <f ca="1">_xlfn.XLOOKUP(A16,Hoja1!A:A,Hoja1!G:G,0,0)</f>
        <v>#NAME?</v>
      </c>
    </row>
    <row r="17" spans="1:8" x14ac:dyDescent="0.25">
      <c r="A17" s="64" t="s">
        <v>1092</v>
      </c>
      <c r="B17" s="64" t="s">
        <v>1093</v>
      </c>
      <c r="C17" s="220">
        <v>36341</v>
      </c>
      <c r="D17" s="205"/>
      <c r="E17" s="206">
        <v>0</v>
      </c>
      <c r="F17" s="218">
        <f t="shared" si="0"/>
        <v>36341</v>
      </c>
      <c r="H17" t="e">
        <f ca="1">_xlfn.XLOOKUP(A17,Hoja1!A:A,Hoja1!G:G,0,0)</f>
        <v>#NAME?</v>
      </c>
    </row>
    <row r="18" spans="1:8" x14ac:dyDescent="0.25">
      <c r="A18" s="64" t="s">
        <v>1094</v>
      </c>
      <c r="B18" s="64" t="s">
        <v>1095</v>
      </c>
      <c r="C18" s="220">
        <v>36341</v>
      </c>
      <c r="D18" s="205"/>
      <c r="E18" s="206">
        <v>0</v>
      </c>
      <c r="F18" s="218">
        <f t="shared" si="0"/>
        <v>36341</v>
      </c>
      <c r="H18" t="e">
        <f ca="1">_xlfn.XLOOKUP(A18,Hoja1!A:A,Hoja1!G:G,0,0)</f>
        <v>#NAME?</v>
      </c>
    </row>
    <row r="19" spans="1:8" x14ac:dyDescent="0.25">
      <c r="A19" s="64" t="s">
        <v>1096</v>
      </c>
      <c r="B19" s="64" t="s">
        <v>1097</v>
      </c>
      <c r="C19" s="220">
        <v>36341</v>
      </c>
      <c r="D19" s="205"/>
      <c r="E19" s="206">
        <v>0</v>
      </c>
      <c r="F19" s="218">
        <f t="shared" si="0"/>
        <v>36341</v>
      </c>
      <c r="H19" t="e">
        <f ca="1">_xlfn.XLOOKUP(A19,Hoja1!A:A,Hoja1!G:G,0,0)</f>
        <v>#NAME?</v>
      </c>
    </row>
    <row r="20" spans="1:8" x14ac:dyDescent="0.25">
      <c r="A20" s="64" t="s">
        <v>1098</v>
      </c>
      <c r="B20" s="64" t="s">
        <v>1099</v>
      </c>
      <c r="C20" s="220">
        <v>36341</v>
      </c>
      <c r="D20" s="205"/>
      <c r="E20" s="206">
        <v>0</v>
      </c>
      <c r="F20" s="218">
        <f t="shared" si="0"/>
        <v>36341</v>
      </c>
      <c r="H20" t="e">
        <f ca="1">_xlfn.XLOOKUP(A20,Hoja1!A:A,Hoja1!G:G,0,0)</f>
        <v>#NAME?</v>
      </c>
    </row>
    <row r="21" spans="1:8" x14ac:dyDescent="0.25">
      <c r="A21" s="64" t="s">
        <v>1100</v>
      </c>
      <c r="B21" s="64" t="s">
        <v>1101</v>
      </c>
      <c r="C21" s="220">
        <v>72428</v>
      </c>
      <c r="D21" s="205"/>
      <c r="E21" s="206">
        <v>7.0000000000000062E-2</v>
      </c>
      <c r="F21" s="218">
        <f t="shared" si="0"/>
        <v>72428</v>
      </c>
      <c r="H21" t="e">
        <f ca="1">_xlfn.XLOOKUP(A21,Hoja1!A:A,Hoja1!G:G,0,0)</f>
        <v>#NAME?</v>
      </c>
    </row>
    <row r="22" spans="1:8" x14ac:dyDescent="0.25">
      <c r="A22" s="64" t="s">
        <v>0</v>
      </c>
      <c r="B22" s="64" t="s">
        <v>1</v>
      </c>
      <c r="C22" s="220">
        <v>72428</v>
      </c>
      <c r="D22" s="205"/>
      <c r="E22" s="206">
        <v>7.0000000000000062E-2</v>
      </c>
      <c r="F22" s="218">
        <f t="shared" si="0"/>
        <v>72428</v>
      </c>
      <c r="H22" t="e">
        <f ca="1">_xlfn.XLOOKUP(A22,Hoja1!A:A,Hoja1!G:G,0,0)</f>
        <v>#NAME?</v>
      </c>
    </row>
    <row r="23" spans="1:8" x14ac:dyDescent="0.25">
      <c r="A23" s="64" t="s">
        <v>2</v>
      </c>
      <c r="B23" s="64" t="s">
        <v>3</v>
      </c>
      <c r="C23" s="220">
        <v>72428</v>
      </c>
      <c r="D23" s="205"/>
      <c r="E23" s="206">
        <v>7.0000000000000062E-2</v>
      </c>
      <c r="F23" s="218">
        <f t="shared" si="0"/>
        <v>72428</v>
      </c>
      <c r="H23" t="e">
        <f ca="1">_xlfn.XLOOKUP(A23,Hoja1!A:A,Hoja1!G:G,0,0)</f>
        <v>#NAME?</v>
      </c>
    </row>
    <row r="24" spans="1:8" x14ac:dyDescent="0.25">
      <c r="A24" s="64" t="s">
        <v>4</v>
      </c>
      <c r="B24" s="64" t="s">
        <v>5</v>
      </c>
      <c r="C24" s="220">
        <v>72428</v>
      </c>
      <c r="D24" s="205"/>
      <c r="E24" s="206">
        <v>7.0000000000000062E-2</v>
      </c>
      <c r="F24" s="218">
        <f t="shared" si="0"/>
        <v>72428</v>
      </c>
      <c r="H24" t="e">
        <f ca="1">_xlfn.XLOOKUP(A24,Hoja1!A:A,Hoja1!G:G,0,0)</f>
        <v>#NAME?</v>
      </c>
    </row>
    <row r="25" spans="1:8" x14ac:dyDescent="0.25">
      <c r="A25" s="64" t="s">
        <v>6</v>
      </c>
      <c r="B25" s="64" t="s">
        <v>7</v>
      </c>
      <c r="C25" s="220">
        <v>72428</v>
      </c>
      <c r="D25" s="205"/>
      <c r="E25" s="206">
        <v>7.0000000000000062E-2</v>
      </c>
      <c r="F25" s="218">
        <f t="shared" si="0"/>
        <v>72428</v>
      </c>
      <c r="H25" t="e">
        <f ca="1">_xlfn.XLOOKUP(A25,Hoja1!A:A,Hoja1!G:G,0,0)</f>
        <v>#NAME?</v>
      </c>
    </row>
    <row r="26" spans="1:8" x14ac:dyDescent="0.25">
      <c r="A26" s="64" t="s">
        <v>1102</v>
      </c>
      <c r="B26" s="64" t="s">
        <v>1103</v>
      </c>
      <c r="C26" s="220">
        <v>5228</v>
      </c>
      <c r="D26" s="205"/>
      <c r="E26" s="206">
        <v>0</v>
      </c>
      <c r="F26" s="218">
        <f t="shared" si="0"/>
        <v>5228</v>
      </c>
      <c r="H26" t="e">
        <f ca="1">_xlfn.XLOOKUP(A26,Hoja1!A:A,Hoja1!G:G,0,0)</f>
        <v>#NAME?</v>
      </c>
    </row>
    <row r="27" spans="1:8" x14ac:dyDescent="0.25">
      <c r="A27" s="64" t="s">
        <v>1105</v>
      </c>
      <c r="B27" s="64" t="s">
        <v>1106</v>
      </c>
      <c r="C27" s="220">
        <v>4656</v>
      </c>
      <c r="D27" s="205"/>
      <c r="E27" s="206">
        <v>0</v>
      </c>
      <c r="F27" s="218">
        <f t="shared" si="0"/>
        <v>4656</v>
      </c>
      <c r="H27" t="e">
        <f ca="1">_xlfn.XLOOKUP(A27,Hoja1!A:A,Hoja1!G:G,0,0)</f>
        <v>#NAME?</v>
      </c>
    </row>
    <row r="28" spans="1:8" x14ac:dyDescent="0.25">
      <c r="A28" s="207" t="s">
        <v>1107</v>
      </c>
      <c r="B28" s="64" t="s">
        <v>1108</v>
      </c>
      <c r="C28" s="220">
        <v>2225</v>
      </c>
      <c r="D28" s="205"/>
      <c r="E28" s="206">
        <v>0.5</v>
      </c>
      <c r="F28" s="218">
        <f t="shared" si="0"/>
        <v>2225</v>
      </c>
      <c r="H28" t="e">
        <f ca="1">_xlfn.XLOOKUP(A28,Hoja1!A:A,Hoja1!G:G,0,0)</f>
        <v>#NAME?</v>
      </c>
    </row>
    <row r="29" spans="1:8" x14ac:dyDescent="0.25">
      <c r="A29" s="207" t="s">
        <v>1109</v>
      </c>
      <c r="B29" s="64" t="s">
        <v>1110</v>
      </c>
      <c r="C29" s="220">
        <v>2307</v>
      </c>
      <c r="D29" s="205"/>
      <c r="E29" s="206">
        <v>0.10000000000000009</v>
      </c>
      <c r="F29" s="218">
        <f t="shared" si="0"/>
        <v>2307</v>
      </c>
      <c r="H29" t="e">
        <f ca="1">_xlfn.XLOOKUP(A29,Hoja1!A:A,Hoja1!G:G,0,0)</f>
        <v>#NAME?</v>
      </c>
    </row>
    <row r="30" spans="1:8" x14ac:dyDescent="0.25">
      <c r="A30" s="64" t="s">
        <v>10</v>
      </c>
      <c r="B30" s="64" t="s">
        <v>198</v>
      </c>
      <c r="C30" s="220">
        <v>64589</v>
      </c>
      <c r="D30" s="205"/>
      <c r="E30" s="206">
        <v>0.14999999999999991</v>
      </c>
      <c r="F30" s="218">
        <f t="shared" si="0"/>
        <v>64589</v>
      </c>
      <c r="H30" t="e">
        <f ca="1">_xlfn.XLOOKUP(A30,Hoja1!A:A,Hoja1!G:G,0,0)</f>
        <v>#NAME?</v>
      </c>
    </row>
    <row r="31" spans="1:8" x14ac:dyDescent="0.25">
      <c r="A31" s="64" t="s">
        <v>11</v>
      </c>
      <c r="B31" s="64" t="s">
        <v>200</v>
      </c>
      <c r="C31" s="220">
        <v>64589</v>
      </c>
      <c r="D31" s="205"/>
      <c r="E31" s="206">
        <v>0</v>
      </c>
      <c r="F31" s="218">
        <f t="shared" si="0"/>
        <v>64589</v>
      </c>
      <c r="H31" t="e">
        <f ca="1">_xlfn.XLOOKUP(A31,Hoja1!A:A,Hoja1!G:G,0,0)</f>
        <v>#NAME?</v>
      </c>
    </row>
    <row r="32" spans="1:8" x14ac:dyDescent="0.25">
      <c r="A32" s="64" t="s">
        <v>12</v>
      </c>
      <c r="B32" s="64" t="s">
        <v>1113</v>
      </c>
      <c r="C32" s="220">
        <v>64589</v>
      </c>
      <c r="D32" s="205"/>
      <c r="E32" s="206">
        <v>0</v>
      </c>
      <c r="F32" s="218">
        <f t="shared" si="0"/>
        <v>64589</v>
      </c>
      <c r="H32" t="e">
        <f ca="1">_xlfn.XLOOKUP(A32,Hoja1!A:A,Hoja1!G:G,0,0)</f>
        <v>#NAME?</v>
      </c>
    </row>
    <row r="33" spans="1:8" x14ac:dyDescent="0.25">
      <c r="A33" s="64" t="s">
        <v>13</v>
      </c>
      <c r="B33" s="64" t="s">
        <v>202</v>
      </c>
      <c r="C33" s="220">
        <v>64589</v>
      </c>
      <c r="D33" s="205"/>
      <c r="E33" s="206">
        <v>0</v>
      </c>
      <c r="F33" s="218">
        <f t="shared" si="0"/>
        <v>64589</v>
      </c>
      <c r="H33" t="e">
        <f ca="1">_xlfn.XLOOKUP(A33,Hoja1!A:A,Hoja1!G:G,0,0)</f>
        <v>#NAME?</v>
      </c>
    </row>
    <row r="34" spans="1:8" x14ac:dyDescent="0.25">
      <c r="A34" s="64" t="s">
        <v>14</v>
      </c>
      <c r="B34" s="64" t="s">
        <v>203</v>
      </c>
      <c r="C34" s="220">
        <v>64589</v>
      </c>
      <c r="D34" s="205"/>
      <c r="E34" s="206">
        <v>0</v>
      </c>
      <c r="F34" s="218">
        <f t="shared" si="0"/>
        <v>64589</v>
      </c>
      <c r="H34" t="e">
        <f ca="1">_xlfn.XLOOKUP(A34,Hoja1!A:A,Hoja1!G:G,0,0)</f>
        <v>#NAME?</v>
      </c>
    </row>
    <row r="35" spans="1:8" x14ac:dyDescent="0.25">
      <c r="A35" s="64" t="s">
        <v>15</v>
      </c>
      <c r="B35" s="64" t="s">
        <v>1115</v>
      </c>
      <c r="C35" s="220">
        <v>26092</v>
      </c>
      <c r="D35" s="205"/>
      <c r="E35" s="206">
        <v>0</v>
      </c>
      <c r="F35" s="218">
        <f t="shared" si="0"/>
        <v>26092</v>
      </c>
      <c r="H35" t="e">
        <f ca="1">_xlfn.XLOOKUP(A35,Hoja1!A:A,Hoja1!G:G,0,0)</f>
        <v>#NAME?</v>
      </c>
    </row>
    <row r="36" spans="1:8" x14ac:dyDescent="0.25">
      <c r="A36" s="64" t="s">
        <v>1116</v>
      </c>
      <c r="B36" s="64" t="s">
        <v>1117</v>
      </c>
      <c r="C36" s="220">
        <v>2543</v>
      </c>
      <c r="D36" s="205"/>
      <c r="E36" s="206">
        <v>0</v>
      </c>
      <c r="F36" s="218">
        <f t="shared" si="0"/>
        <v>2543</v>
      </c>
      <c r="H36" t="e">
        <f ca="1">_xlfn.XLOOKUP(A36,Hoja1!A:A,Hoja1!G:G,0,0)</f>
        <v>#NAME?</v>
      </c>
    </row>
    <row r="37" spans="1:8" x14ac:dyDescent="0.25">
      <c r="A37" s="64" t="s">
        <v>1118</v>
      </c>
      <c r="B37" s="64" t="s">
        <v>1119</v>
      </c>
      <c r="C37" s="220">
        <v>2543</v>
      </c>
      <c r="D37" s="205"/>
      <c r="E37" s="206">
        <v>0.10000000000000009</v>
      </c>
      <c r="F37" s="218">
        <f t="shared" si="0"/>
        <v>2543</v>
      </c>
      <c r="H37" t="e">
        <f ca="1">_xlfn.XLOOKUP(A37,Hoja1!A:A,Hoja1!G:G,0,0)</f>
        <v>#NAME?</v>
      </c>
    </row>
    <row r="38" spans="1:8" x14ac:dyDescent="0.25">
      <c r="A38" s="64" t="s">
        <v>1120</v>
      </c>
      <c r="B38" s="64" t="s">
        <v>1121</v>
      </c>
      <c r="C38" s="220">
        <v>4362</v>
      </c>
      <c r="D38" s="205"/>
      <c r="E38" s="206">
        <v>0.10000000000000009</v>
      </c>
      <c r="F38" s="218">
        <f t="shared" si="0"/>
        <v>4362</v>
      </c>
      <c r="H38" t="e">
        <f ca="1">_xlfn.XLOOKUP(A38,Hoja1!A:A,Hoja1!G:G,0,0)</f>
        <v>#NAME?</v>
      </c>
    </row>
    <row r="39" spans="1:8" x14ac:dyDescent="0.25">
      <c r="A39" s="64" t="s">
        <v>1122</v>
      </c>
      <c r="B39" s="64" t="s">
        <v>1123</v>
      </c>
      <c r="C39" s="220">
        <v>4362</v>
      </c>
      <c r="D39" s="205"/>
      <c r="E39" s="206">
        <v>0</v>
      </c>
      <c r="F39" s="218">
        <f t="shared" si="0"/>
        <v>4362</v>
      </c>
      <c r="H39" t="e">
        <f ca="1">_xlfn.XLOOKUP(A39,Hoja1!A:A,Hoja1!G:G,0,0)</f>
        <v>#NAME?</v>
      </c>
    </row>
    <row r="40" spans="1:8" x14ac:dyDescent="0.25">
      <c r="A40" s="64" t="s">
        <v>1134</v>
      </c>
      <c r="B40" s="214" t="s">
        <v>1135</v>
      </c>
      <c r="C40" s="220">
        <v>12265</v>
      </c>
      <c r="D40" s="205"/>
      <c r="E40" s="206">
        <v>0</v>
      </c>
      <c r="F40" s="218">
        <f t="shared" si="0"/>
        <v>12265</v>
      </c>
      <c r="H40" t="e">
        <f ca="1">_xlfn.XLOOKUP(A40,Hoja1!A:A,Hoja1!G:G,0,0)</f>
        <v>#NAME?</v>
      </c>
    </row>
    <row r="41" spans="1:8" x14ac:dyDescent="0.25">
      <c r="A41" s="64" t="s">
        <v>1137</v>
      </c>
      <c r="B41" s="214" t="s">
        <v>1138</v>
      </c>
      <c r="C41" s="220">
        <v>13190</v>
      </c>
      <c r="D41" s="205"/>
      <c r="E41" s="206">
        <v>0</v>
      </c>
      <c r="F41" s="218">
        <f t="shared" si="0"/>
        <v>13190</v>
      </c>
      <c r="H41" t="e">
        <f ca="1">_xlfn.XLOOKUP(A41,Hoja1!A:A,Hoja1!G:G,0,0)</f>
        <v>#NAME?</v>
      </c>
    </row>
    <row r="42" spans="1:8" x14ac:dyDescent="0.25">
      <c r="A42" s="64" t="s">
        <v>1139</v>
      </c>
      <c r="B42" s="214" t="s">
        <v>1140</v>
      </c>
      <c r="C42" s="220">
        <v>15185</v>
      </c>
      <c r="D42" s="205"/>
      <c r="E42" s="206">
        <v>0</v>
      </c>
      <c r="F42" s="218">
        <f t="shared" si="0"/>
        <v>15185</v>
      </c>
      <c r="H42" t="e">
        <f ca="1">_xlfn.XLOOKUP(A42,Hoja1!A:A,Hoja1!G:G,0,0)</f>
        <v>#NAME?</v>
      </c>
    </row>
    <row r="43" spans="1:8" x14ac:dyDescent="0.25">
      <c r="A43" s="64" t="s">
        <v>1141</v>
      </c>
      <c r="B43" s="214" t="s">
        <v>1142</v>
      </c>
      <c r="C43" s="220">
        <v>17046</v>
      </c>
      <c r="D43" s="205"/>
      <c r="E43" s="206">
        <v>0</v>
      </c>
      <c r="F43" s="218">
        <f t="shared" si="0"/>
        <v>17046</v>
      </c>
      <c r="H43" t="e">
        <f ca="1">_xlfn.XLOOKUP(A43,Hoja1!A:A,Hoja1!G:G,0,0)</f>
        <v>#NAME?</v>
      </c>
    </row>
    <row r="44" spans="1:8" x14ac:dyDescent="0.25">
      <c r="A44" s="64" t="s">
        <v>1143</v>
      </c>
      <c r="B44" s="214" t="s">
        <v>1144</v>
      </c>
      <c r="C44" s="220">
        <v>17879</v>
      </c>
      <c r="D44" s="205"/>
      <c r="E44" s="206">
        <v>0</v>
      </c>
      <c r="F44" s="218">
        <f t="shared" si="0"/>
        <v>17879</v>
      </c>
      <c r="H44" t="e">
        <f ca="1">_xlfn.XLOOKUP(A44,Hoja1!A:A,Hoja1!G:G,0,0)</f>
        <v>#NAME?</v>
      </c>
    </row>
    <row r="45" spans="1:8" x14ac:dyDescent="0.25">
      <c r="A45" s="64" t="s">
        <v>1145</v>
      </c>
      <c r="B45" s="214" t="s">
        <v>1146</v>
      </c>
      <c r="C45" s="220">
        <v>19418</v>
      </c>
      <c r="D45" s="205"/>
      <c r="E45" s="206">
        <v>0</v>
      </c>
      <c r="F45" s="218">
        <f t="shared" si="0"/>
        <v>19418</v>
      </c>
      <c r="H45" t="e">
        <f ca="1">_xlfn.XLOOKUP(A45,Hoja1!A:A,Hoja1!G:G,0,0)</f>
        <v>#NAME?</v>
      </c>
    </row>
    <row r="46" spans="1:8" x14ac:dyDescent="0.25">
      <c r="A46" s="64" t="s">
        <v>1147</v>
      </c>
      <c r="B46" s="214" t="s">
        <v>1148</v>
      </c>
      <c r="C46" s="220">
        <v>22663</v>
      </c>
      <c r="D46" s="205"/>
      <c r="E46" s="206">
        <v>0</v>
      </c>
      <c r="F46" s="218">
        <f t="shared" si="0"/>
        <v>22663</v>
      </c>
      <c r="H46" t="e">
        <f ca="1">_xlfn.XLOOKUP(A46,Hoja1!A:A,Hoja1!G:G,0,0)</f>
        <v>#NAME?</v>
      </c>
    </row>
    <row r="47" spans="1:8" x14ac:dyDescent="0.25">
      <c r="A47" s="64" t="s">
        <v>1149</v>
      </c>
      <c r="B47" s="214" t="s">
        <v>1150</v>
      </c>
      <c r="C47" s="220">
        <v>24024</v>
      </c>
      <c r="D47" s="205"/>
      <c r="E47" s="206">
        <v>0</v>
      </c>
      <c r="F47" s="218">
        <f t="shared" si="0"/>
        <v>24024</v>
      </c>
      <c r="H47" t="e">
        <f ca="1">_xlfn.XLOOKUP(A47,Hoja1!A:A,Hoja1!G:G,0,0)</f>
        <v>#NAME?</v>
      </c>
    </row>
    <row r="48" spans="1:8" x14ac:dyDescent="0.25">
      <c r="A48" s="64" t="s">
        <v>1151</v>
      </c>
      <c r="B48" s="214" t="s">
        <v>1152</v>
      </c>
      <c r="C48" s="220">
        <v>31219</v>
      </c>
      <c r="D48" s="205"/>
      <c r="E48" s="206">
        <v>0</v>
      </c>
      <c r="F48" s="218">
        <f t="shared" si="0"/>
        <v>31219</v>
      </c>
      <c r="H48" t="e">
        <f ca="1">_xlfn.XLOOKUP(A48,Hoja1!A:A,Hoja1!G:G,0,0)</f>
        <v>#NAME?</v>
      </c>
    </row>
    <row r="49" spans="1:8" x14ac:dyDescent="0.25">
      <c r="A49" s="64" t="s">
        <v>1153</v>
      </c>
      <c r="B49" s="214" t="s">
        <v>1154</v>
      </c>
      <c r="C49" s="220">
        <v>34225</v>
      </c>
      <c r="D49" s="205"/>
      <c r="E49" s="206">
        <v>0</v>
      </c>
      <c r="F49" s="218">
        <f t="shared" si="0"/>
        <v>34225</v>
      </c>
      <c r="H49" t="e">
        <f ca="1">_xlfn.XLOOKUP(A49,Hoja1!A:A,Hoja1!G:G,0,0)</f>
        <v>#NAME?</v>
      </c>
    </row>
    <row r="50" spans="1:8" x14ac:dyDescent="0.25">
      <c r="A50" s="64" t="s">
        <v>17</v>
      </c>
      <c r="B50" s="64" t="s">
        <v>1155</v>
      </c>
      <c r="C50" s="220">
        <v>21515</v>
      </c>
      <c r="D50" s="205"/>
      <c r="E50" s="206">
        <v>0</v>
      </c>
      <c r="F50" s="218">
        <f t="shared" si="0"/>
        <v>21515</v>
      </c>
      <c r="H50" t="e">
        <f ca="1">_xlfn.XLOOKUP(A50,Hoja1!A:A,Hoja1!G:G,0,0)</f>
        <v>#NAME?</v>
      </c>
    </row>
    <row r="51" spans="1:8" x14ac:dyDescent="0.25">
      <c r="A51" s="64" t="s">
        <v>18</v>
      </c>
      <c r="B51" s="64" t="s">
        <v>1156</v>
      </c>
      <c r="C51" s="220">
        <v>26260</v>
      </c>
      <c r="D51" s="205"/>
      <c r="E51" s="206">
        <v>0</v>
      </c>
      <c r="F51" s="218">
        <f t="shared" si="0"/>
        <v>26260</v>
      </c>
      <c r="H51" t="e">
        <f ca="1">_xlfn.XLOOKUP(A51,Hoja1!A:A,Hoja1!G:G,0,0)</f>
        <v>#NAME?</v>
      </c>
    </row>
    <row r="52" spans="1:8" x14ac:dyDescent="0.25">
      <c r="A52" s="64" t="s">
        <v>1157</v>
      </c>
      <c r="B52" s="214" t="s">
        <v>1158</v>
      </c>
      <c r="C52" s="220">
        <v>14411</v>
      </c>
      <c r="D52" s="205"/>
      <c r="E52" s="206">
        <v>0</v>
      </c>
      <c r="F52" s="218">
        <f t="shared" si="0"/>
        <v>14411</v>
      </c>
      <c r="H52" t="e">
        <f ca="1">_xlfn.XLOOKUP(A52,Hoja1!A:A,Hoja1!G:G,0,0)</f>
        <v>#NAME?</v>
      </c>
    </row>
    <row r="53" spans="1:8" x14ac:dyDescent="0.25">
      <c r="A53" s="64" t="s">
        <v>1159</v>
      </c>
      <c r="B53" s="214" t="s">
        <v>1160</v>
      </c>
      <c r="C53" s="220">
        <v>16876</v>
      </c>
      <c r="D53" s="205"/>
      <c r="E53" s="206">
        <v>0</v>
      </c>
      <c r="F53" s="218">
        <f t="shared" si="0"/>
        <v>16876</v>
      </c>
      <c r="H53" t="e">
        <f ca="1">_xlfn.XLOOKUP(A53,Hoja1!A:A,Hoja1!G:G,0,0)</f>
        <v>#NAME?</v>
      </c>
    </row>
    <row r="54" spans="1:8" x14ac:dyDescent="0.25">
      <c r="A54" s="64" t="s">
        <v>1161</v>
      </c>
      <c r="B54" s="214" t="s">
        <v>1162</v>
      </c>
      <c r="C54" s="220">
        <v>18660</v>
      </c>
      <c r="D54" s="205"/>
      <c r="E54" s="206">
        <v>0</v>
      </c>
      <c r="F54" s="218">
        <f t="shared" si="0"/>
        <v>18660</v>
      </c>
      <c r="H54" t="e">
        <f ca="1">_xlfn.XLOOKUP(A54,Hoja1!A:A,Hoja1!G:G,0,0)</f>
        <v>#NAME?</v>
      </c>
    </row>
    <row r="55" spans="1:8" x14ac:dyDescent="0.25">
      <c r="A55" s="64" t="s">
        <v>1163</v>
      </c>
      <c r="B55" s="64" t="s">
        <v>1164</v>
      </c>
      <c r="C55" s="220">
        <v>21743</v>
      </c>
      <c r="D55" s="205"/>
      <c r="E55" s="206">
        <v>0</v>
      </c>
      <c r="F55" s="218">
        <f t="shared" si="0"/>
        <v>21743</v>
      </c>
      <c r="H55" t="e">
        <f ca="1">_xlfn.XLOOKUP(A55,Hoja1!A:A,Hoja1!G:G,0,0)</f>
        <v>#NAME?</v>
      </c>
    </row>
    <row r="56" spans="1:8" x14ac:dyDescent="0.25">
      <c r="A56" s="64" t="s">
        <v>1165</v>
      </c>
      <c r="B56" s="64" t="s">
        <v>1166</v>
      </c>
      <c r="C56" s="220">
        <v>22762</v>
      </c>
      <c r="D56" s="205"/>
      <c r="E56" s="206">
        <v>0</v>
      </c>
      <c r="F56" s="218">
        <f t="shared" si="0"/>
        <v>22762</v>
      </c>
      <c r="H56" t="e">
        <f ca="1">_xlfn.XLOOKUP(A56,Hoja1!A:A,Hoja1!G:G,0,0)</f>
        <v>#NAME?</v>
      </c>
    </row>
    <row r="57" spans="1:8" x14ac:dyDescent="0.25">
      <c r="A57" s="64" t="s">
        <v>1167</v>
      </c>
      <c r="B57" s="214" t="s">
        <v>1168</v>
      </c>
      <c r="C57" s="220">
        <v>25257</v>
      </c>
      <c r="D57" s="205"/>
      <c r="E57" s="206">
        <v>0</v>
      </c>
      <c r="F57" s="218">
        <f t="shared" si="0"/>
        <v>25257</v>
      </c>
      <c r="H57" t="e">
        <f ca="1">_xlfn.XLOOKUP(A57,Hoja1!A:A,Hoja1!G:G,0,0)</f>
        <v>#NAME?</v>
      </c>
    </row>
    <row r="58" spans="1:8" x14ac:dyDescent="0.25">
      <c r="A58" s="64" t="s">
        <v>1169</v>
      </c>
      <c r="B58" s="64" t="s">
        <v>1170</v>
      </c>
      <c r="C58" s="220">
        <v>27885</v>
      </c>
      <c r="D58" s="205"/>
      <c r="E58" s="206">
        <v>0</v>
      </c>
      <c r="F58" s="218">
        <f t="shared" si="0"/>
        <v>27885</v>
      </c>
      <c r="H58" t="e">
        <f ca="1">_xlfn.XLOOKUP(A58,Hoja1!A:A,Hoja1!G:G,0,0)</f>
        <v>#NAME?</v>
      </c>
    </row>
    <row r="59" spans="1:8" x14ac:dyDescent="0.25">
      <c r="A59" s="64" t="s">
        <v>1171</v>
      </c>
      <c r="B59" s="64" t="s">
        <v>1172</v>
      </c>
      <c r="C59" s="220">
        <v>30525</v>
      </c>
      <c r="D59" s="205"/>
      <c r="E59" s="206">
        <v>0</v>
      </c>
      <c r="F59" s="218">
        <f t="shared" si="0"/>
        <v>30525</v>
      </c>
      <c r="H59" t="e">
        <f ca="1">_xlfn.XLOOKUP(A59,Hoja1!A:A,Hoja1!G:G,0,0)</f>
        <v>#NAME?</v>
      </c>
    </row>
    <row r="60" spans="1:8" x14ac:dyDescent="0.25">
      <c r="A60" s="64" t="s">
        <v>1173</v>
      </c>
      <c r="B60" s="64" t="s">
        <v>1174</v>
      </c>
      <c r="C60" s="220">
        <v>36381</v>
      </c>
      <c r="D60" s="205"/>
      <c r="E60" s="206">
        <v>0</v>
      </c>
      <c r="F60" s="218">
        <f t="shared" si="0"/>
        <v>36381</v>
      </c>
      <c r="H60" t="e">
        <f ca="1">_xlfn.XLOOKUP(A60,Hoja1!A:A,Hoja1!G:G,0,0)</f>
        <v>#NAME?</v>
      </c>
    </row>
    <row r="61" spans="1:8" x14ac:dyDescent="0.25">
      <c r="A61" s="64" t="s">
        <v>1175</v>
      </c>
      <c r="B61" s="64" t="s">
        <v>1176</v>
      </c>
      <c r="C61" s="220">
        <v>43160</v>
      </c>
      <c r="D61" s="205"/>
      <c r="E61" s="206">
        <v>0</v>
      </c>
      <c r="F61" s="218">
        <f t="shared" si="0"/>
        <v>43160</v>
      </c>
      <c r="H61" t="e">
        <f ca="1">_xlfn.XLOOKUP(A61,Hoja1!A:A,Hoja1!G:G,0,0)</f>
        <v>#NAME?</v>
      </c>
    </row>
    <row r="62" spans="1:8" x14ac:dyDescent="0.25">
      <c r="A62" s="64" t="s">
        <v>1177</v>
      </c>
      <c r="B62" s="64" t="s">
        <v>1178</v>
      </c>
      <c r="C62" s="220">
        <v>7019</v>
      </c>
      <c r="D62" s="205"/>
      <c r="E62" s="206">
        <v>0</v>
      </c>
      <c r="F62" s="218">
        <f t="shared" si="0"/>
        <v>7019</v>
      </c>
      <c r="H62" t="e">
        <f ca="1">_xlfn.XLOOKUP(A62,Hoja1!A:A,Hoja1!G:G,0,0)</f>
        <v>#NAME?</v>
      </c>
    </row>
    <row r="63" spans="1:8" x14ac:dyDescent="0.25">
      <c r="A63" s="64" t="s">
        <v>1180</v>
      </c>
      <c r="B63" s="64" t="s">
        <v>1181</v>
      </c>
      <c r="C63" s="220">
        <v>11129</v>
      </c>
      <c r="D63" s="205"/>
      <c r="E63" s="206">
        <v>0</v>
      </c>
      <c r="F63" s="218">
        <f t="shared" si="0"/>
        <v>11129</v>
      </c>
      <c r="H63" t="e">
        <f ca="1">_xlfn.XLOOKUP(A63,Hoja1!A:A,Hoja1!G:G,0,0)</f>
        <v>#NAME?</v>
      </c>
    </row>
    <row r="64" spans="1:8" x14ac:dyDescent="0.25">
      <c r="A64" s="64" t="s">
        <v>20</v>
      </c>
      <c r="B64" s="64" t="s">
        <v>1184</v>
      </c>
      <c r="C64" s="220">
        <v>21216</v>
      </c>
      <c r="D64" s="205"/>
      <c r="E64" s="206">
        <v>0</v>
      </c>
      <c r="F64" s="218">
        <f t="shared" si="0"/>
        <v>21216</v>
      </c>
      <c r="H64" t="e">
        <f ca="1">_xlfn.XLOOKUP(A64,Hoja1!A:A,Hoja1!G:G,0,0)</f>
        <v>#NAME?</v>
      </c>
    </row>
    <row r="65" spans="1:8" x14ac:dyDescent="0.25">
      <c r="A65" s="64" t="s">
        <v>1185</v>
      </c>
      <c r="B65" s="64" t="s">
        <v>1186</v>
      </c>
      <c r="C65" s="220">
        <v>8836</v>
      </c>
      <c r="D65" s="205"/>
      <c r="E65" s="206">
        <v>0</v>
      </c>
      <c r="F65" s="218">
        <f t="shared" si="0"/>
        <v>8836</v>
      </c>
      <c r="H65" t="e">
        <f ca="1">_xlfn.XLOOKUP(A65,Hoja1!A:A,Hoja1!G:G,0,0)</f>
        <v>#NAME?</v>
      </c>
    </row>
    <row r="66" spans="1:8" x14ac:dyDescent="0.25">
      <c r="A66" s="64" t="s">
        <v>1187</v>
      </c>
      <c r="B66" s="214" t="s">
        <v>1188</v>
      </c>
      <c r="C66" s="220">
        <v>44684</v>
      </c>
      <c r="D66" s="205"/>
      <c r="E66" s="206">
        <v>0</v>
      </c>
      <c r="F66" s="218">
        <f t="shared" si="0"/>
        <v>44684</v>
      </c>
      <c r="H66" t="e">
        <f ca="1">_xlfn.XLOOKUP(A66,Hoja1!A:A,Hoja1!G:G,0,0)</f>
        <v>#NAME?</v>
      </c>
    </row>
    <row r="67" spans="1:8" x14ac:dyDescent="0.25">
      <c r="A67" s="64" t="s">
        <v>1189</v>
      </c>
      <c r="B67" s="214" t="s">
        <v>1190</v>
      </c>
      <c r="C67" s="220">
        <v>50782</v>
      </c>
      <c r="D67" s="205"/>
      <c r="E67" s="206">
        <v>0</v>
      </c>
      <c r="F67" s="218">
        <f t="shared" ref="F67:F130" si="1">ROUND(C67,0)</f>
        <v>50782</v>
      </c>
      <c r="H67" t="e">
        <f ca="1">_xlfn.XLOOKUP(A67,Hoja1!A:A,Hoja1!G:G,0,0)</f>
        <v>#NAME?</v>
      </c>
    </row>
    <row r="68" spans="1:8" x14ac:dyDescent="0.25">
      <c r="A68" s="64" t="s">
        <v>1191</v>
      </c>
      <c r="B68" s="64" t="s">
        <v>1192</v>
      </c>
      <c r="C68" s="220">
        <v>39274</v>
      </c>
      <c r="D68" s="205"/>
      <c r="E68" s="206">
        <v>0</v>
      </c>
      <c r="F68" s="218">
        <f t="shared" si="1"/>
        <v>39274</v>
      </c>
      <c r="H68" t="e">
        <f ca="1">_xlfn.XLOOKUP(A68,Hoja1!A:A,Hoja1!G:G,0,0)</f>
        <v>#NAME?</v>
      </c>
    </row>
    <row r="69" spans="1:8" x14ac:dyDescent="0.25">
      <c r="A69" s="64" t="s">
        <v>1193</v>
      </c>
      <c r="B69" s="214" t="s">
        <v>1194</v>
      </c>
      <c r="C69" s="220">
        <v>28661</v>
      </c>
      <c r="D69" s="205"/>
      <c r="E69" s="206">
        <v>0</v>
      </c>
      <c r="F69" s="218">
        <f t="shared" si="1"/>
        <v>28661</v>
      </c>
      <c r="H69" t="e">
        <f ca="1">_xlfn.XLOOKUP(A69,Hoja1!A:A,Hoja1!G:G,0,0)</f>
        <v>#NAME?</v>
      </c>
    </row>
    <row r="70" spans="1:8" x14ac:dyDescent="0.25">
      <c r="A70" s="64" t="s">
        <v>1195</v>
      </c>
      <c r="B70" s="64" t="s">
        <v>1196</v>
      </c>
      <c r="C70" s="220">
        <v>25453</v>
      </c>
      <c r="D70" s="205"/>
      <c r="E70" s="206">
        <v>0</v>
      </c>
      <c r="F70" s="218">
        <f t="shared" si="1"/>
        <v>25453</v>
      </c>
      <c r="H70" t="e">
        <f ca="1">_xlfn.XLOOKUP(A70,Hoja1!A:A,Hoja1!G:G,0,0)</f>
        <v>#NAME?</v>
      </c>
    </row>
    <row r="71" spans="1:8" x14ac:dyDescent="0.25">
      <c r="A71" s="64" t="s">
        <v>1197</v>
      </c>
      <c r="B71" s="64" t="s">
        <v>1198</v>
      </c>
      <c r="C71" s="220">
        <v>6101</v>
      </c>
      <c r="D71" s="205"/>
      <c r="E71" s="206">
        <v>5.0000000000000044E-2</v>
      </c>
      <c r="F71" s="218">
        <f t="shared" si="1"/>
        <v>6101</v>
      </c>
      <c r="H71" t="e">
        <f ca="1">_xlfn.XLOOKUP(A71,Hoja1!A:A,Hoja1!G:G,0,0)</f>
        <v>#NAME?</v>
      </c>
    </row>
    <row r="72" spans="1:8" x14ac:dyDescent="0.25">
      <c r="A72" s="64" t="s">
        <v>1199</v>
      </c>
      <c r="B72" s="64" t="s">
        <v>1200</v>
      </c>
      <c r="C72" s="220">
        <v>17964</v>
      </c>
      <c r="D72" s="205"/>
      <c r="E72" s="206">
        <v>0</v>
      </c>
      <c r="F72" s="218">
        <f t="shared" si="1"/>
        <v>17964</v>
      </c>
      <c r="H72" t="e">
        <f ca="1">_xlfn.XLOOKUP(A72,Hoja1!A:A,Hoja1!G:G,0,0)</f>
        <v>#NAME?</v>
      </c>
    </row>
    <row r="73" spans="1:8" x14ac:dyDescent="0.25">
      <c r="A73" s="64" t="s">
        <v>1201</v>
      </c>
      <c r="B73" s="64" t="s">
        <v>1202</v>
      </c>
      <c r="C73" s="220">
        <v>2851</v>
      </c>
      <c r="D73" s="205"/>
      <c r="E73" s="206">
        <v>0</v>
      </c>
      <c r="F73" s="218">
        <f t="shared" si="1"/>
        <v>2851</v>
      </c>
      <c r="H73" t="e">
        <f ca="1">_xlfn.XLOOKUP(A73,Hoja1!A:A,Hoja1!G:G,0,0)</f>
        <v>#NAME?</v>
      </c>
    </row>
    <row r="74" spans="1:8" x14ac:dyDescent="0.25">
      <c r="A74" s="64" t="s">
        <v>1203</v>
      </c>
      <c r="B74" s="64" t="s">
        <v>1204</v>
      </c>
      <c r="C74" s="220">
        <v>1579</v>
      </c>
      <c r="D74" s="205"/>
      <c r="E74" s="206">
        <v>0</v>
      </c>
      <c r="F74" s="218">
        <f t="shared" si="1"/>
        <v>1579</v>
      </c>
      <c r="H74" t="e">
        <f ca="1">_xlfn.XLOOKUP(A74,Hoja1!A:A,Hoja1!G:G,0,0)</f>
        <v>#NAME?</v>
      </c>
    </row>
    <row r="75" spans="1:8" x14ac:dyDescent="0.25">
      <c r="A75" s="64" t="s">
        <v>1205</v>
      </c>
      <c r="B75" s="64" t="s">
        <v>1206</v>
      </c>
      <c r="C75" s="220">
        <v>1579</v>
      </c>
      <c r="D75" s="205"/>
      <c r="E75" s="206">
        <v>0</v>
      </c>
      <c r="F75" s="218">
        <f t="shared" si="1"/>
        <v>1579</v>
      </c>
      <c r="H75" t="e">
        <f ca="1">_xlfn.XLOOKUP(A75,Hoja1!A:A,Hoja1!G:G,0,0)</f>
        <v>#NAME?</v>
      </c>
    </row>
    <row r="76" spans="1:8" x14ac:dyDescent="0.25">
      <c r="A76" s="64" t="s">
        <v>1207</v>
      </c>
      <c r="B76" s="64" t="s">
        <v>1208</v>
      </c>
      <c r="C76" s="220">
        <v>4104</v>
      </c>
      <c r="D76" s="205"/>
      <c r="E76" s="206">
        <v>0</v>
      </c>
      <c r="F76" s="218">
        <f t="shared" si="1"/>
        <v>4104</v>
      </c>
      <c r="H76" t="e">
        <f ca="1">_xlfn.XLOOKUP(A76,Hoja1!A:A,Hoja1!G:G,0,0)</f>
        <v>#NAME?</v>
      </c>
    </row>
    <row r="77" spans="1:8" x14ac:dyDescent="0.25">
      <c r="A77" s="64" t="s">
        <v>1209</v>
      </c>
      <c r="B77" s="64" t="s">
        <v>1210</v>
      </c>
      <c r="C77" s="220">
        <v>4607</v>
      </c>
      <c r="D77" s="205"/>
      <c r="E77" s="206">
        <v>0</v>
      </c>
      <c r="F77" s="218">
        <f t="shared" si="1"/>
        <v>4607</v>
      </c>
      <c r="H77" t="e">
        <f ca="1">_xlfn.XLOOKUP(A77,Hoja1!A:A,Hoja1!G:G,0,0)</f>
        <v>#NAME?</v>
      </c>
    </row>
    <row r="78" spans="1:8" x14ac:dyDescent="0.25">
      <c r="A78" s="64" t="s">
        <v>1211</v>
      </c>
      <c r="B78" s="64" t="s">
        <v>1212</v>
      </c>
      <c r="C78" s="220">
        <v>5766</v>
      </c>
      <c r="D78" s="205"/>
      <c r="E78" s="206">
        <v>0</v>
      </c>
      <c r="F78" s="218">
        <f t="shared" si="1"/>
        <v>5766</v>
      </c>
      <c r="H78" t="e">
        <f ca="1">_xlfn.XLOOKUP(A78,Hoja1!A:A,Hoja1!G:G,0,0)</f>
        <v>#NAME?</v>
      </c>
    </row>
    <row r="79" spans="1:8" x14ac:dyDescent="0.25">
      <c r="A79" s="64" t="s">
        <v>1213</v>
      </c>
      <c r="B79" s="64" t="s">
        <v>1214</v>
      </c>
      <c r="C79" s="220">
        <v>7395</v>
      </c>
      <c r="D79" s="205"/>
      <c r="E79" s="206">
        <v>0.14999999999999991</v>
      </c>
      <c r="F79" s="218">
        <f t="shared" si="1"/>
        <v>7395</v>
      </c>
      <c r="H79" t="e">
        <f ca="1">_xlfn.XLOOKUP(A79,Hoja1!A:A,Hoja1!G:G,0,0)</f>
        <v>#NAME?</v>
      </c>
    </row>
    <row r="80" spans="1:8" x14ac:dyDescent="0.25">
      <c r="A80" s="64" t="s">
        <v>1215</v>
      </c>
      <c r="B80" s="64" t="s">
        <v>1216</v>
      </c>
      <c r="C80" s="220">
        <v>9390</v>
      </c>
      <c r="D80" s="205"/>
      <c r="E80" s="206">
        <v>0.14999999999999991</v>
      </c>
      <c r="F80" s="218">
        <f t="shared" si="1"/>
        <v>9390</v>
      </c>
      <c r="H80" t="e">
        <f ca="1">_xlfn.XLOOKUP(A80,Hoja1!A:A,Hoja1!G:G,0,0)</f>
        <v>#NAME?</v>
      </c>
    </row>
    <row r="81" spans="1:8" x14ac:dyDescent="0.25">
      <c r="A81" s="64" t="s">
        <v>1217</v>
      </c>
      <c r="B81" s="64" t="s">
        <v>1218</v>
      </c>
      <c r="C81" s="220">
        <v>12216</v>
      </c>
      <c r="D81" s="205"/>
      <c r="E81" s="206">
        <v>0.14999999999999991</v>
      </c>
      <c r="F81" s="218">
        <f t="shared" si="1"/>
        <v>12216</v>
      </c>
      <c r="H81" t="e">
        <f ca="1">_xlfn.XLOOKUP(A81,Hoja1!A:A,Hoja1!G:G,0,0)</f>
        <v>#NAME?</v>
      </c>
    </row>
    <row r="82" spans="1:8" x14ac:dyDescent="0.25">
      <c r="A82" s="64" t="s">
        <v>1219</v>
      </c>
      <c r="B82" s="64" t="s">
        <v>1220</v>
      </c>
      <c r="C82" s="220">
        <v>15561</v>
      </c>
      <c r="D82" s="205"/>
      <c r="E82" s="206"/>
      <c r="F82" s="218">
        <f t="shared" si="1"/>
        <v>15561</v>
      </c>
      <c r="H82" s="222" t="e">
        <f ca="1">_xlfn.XLOOKUP(A82,Hoja1!A:A,Hoja1!G:G,0,0)</f>
        <v>#NAME?</v>
      </c>
    </row>
    <row r="83" spans="1:8" x14ac:dyDescent="0.25">
      <c r="A83" s="64" t="s">
        <v>463</v>
      </c>
      <c r="B83" s="64" t="s">
        <v>2517</v>
      </c>
      <c r="C83" s="220">
        <v>37544</v>
      </c>
      <c r="D83" s="205"/>
      <c r="E83" s="206">
        <v>7.0000000000000062E-2</v>
      </c>
      <c r="F83" s="218">
        <f t="shared" si="1"/>
        <v>37544</v>
      </c>
      <c r="H83" t="e">
        <f ca="1">_xlfn.XLOOKUP(A83,Hoja1!A:A,Hoja1!G:G,0,0)</f>
        <v>#NAME?</v>
      </c>
    </row>
    <row r="84" spans="1:8" x14ac:dyDescent="0.25">
      <c r="A84" s="64" t="s">
        <v>1222</v>
      </c>
      <c r="B84" s="64" t="s">
        <v>2518</v>
      </c>
      <c r="C84" s="220">
        <v>32214</v>
      </c>
      <c r="D84" s="205"/>
      <c r="E84" s="206"/>
      <c r="F84" s="218">
        <f t="shared" si="1"/>
        <v>32214</v>
      </c>
      <c r="H84" s="222" t="e">
        <f ca="1">_xlfn.XLOOKUP(A84,Hoja1!A:A,Hoja1!G:G,0,0)</f>
        <v>#NAME?</v>
      </c>
    </row>
    <row r="85" spans="1:8" x14ac:dyDescent="0.25">
      <c r="A85" s="64" t="s">
        <v>1224</v>
      </c>
      <c r="B85" s="64" t="s">
        <v>2519</v>
      </c>
      <c r="C85" s="220">
        <v>20915</v>
      </c>
      <c r="D85" s="205"/>
      <c r="E85" s="206"/>
      <c r="F85" s="218">
        <f t="shared" si="1"/>
        <v>20915</v>
      </c>
      <c r="H85" s="222" t="e">
        <f ca="1">_xlfn.XLOOKUP(A85,Hoja1!A:A,Hoja1!G:G,0,0)</f>
        <v>#NAME?</v>
      </c>
    </row>
    <row r="86" spans="1:8" x14ac:dyDescent="0.25">
      <c r="A86" s="64" t="s">
        <v>1226</v>
      </c>
      <c r="B86" s="64" t="s">
        <v>2520</v>
      </c>
      <c r="C86" s="220">
        <v>22142</v>
      </c>
      <c r="D86" s="205"/>
      <c r="E86" s="206">
        <v>7.0000000000000062E-2</v>
      </c>
      <c r="F86" s="218">
        <f t="shared" si="1"/>
        <v>22142</v>
      </c>
      <c r="H86" t="e">
        <f ca="1">_xlfn.XLOOKUP(A86,Hoja1!A:A,Hoja1!G:G,0,0)</f>
        <v>#NAME?</v>
      </c>
    </row>
    <row r="87" spans="1:8" x14ac:dyDescent="0.25">
      <c r="A87" s="64" t="s">
        <v>1228</v>
      </c>
      <c r="B87" s="64" t="s">
        <v>2521</v>
      </c>
      <c r="C87" s="220">
        <v>25437</v>
      </c>
      <c r="D87" s="205"/>
      <c r="E87" s="206">
        <v>7.0000000000000062E-2</v>
      </c>
      <c r="F87" s="218">
        <f t="shared" si="1"/>
        <v>25437</v>
      </c>
      <c r="H87" t="e">
        <f ca="1">_xlfn.XLOOKUP(A87,Hoja1!A:A,Hoja1!G:G,0,0)</f>
        <v>#NAME?</v>
      </c>
    </row>
    <row r="88" spans="1:8" x14ac:dyDescent="0.25">
      <c r="A88" s="64" t="s">
        <v>1230</v>
      </c>
      <c r="B88" s="64" t="s">
        <v>2522</v>
      </c>
      <c r="C88" s="220">
        <v>33184</v>
      </c>
      <c r="D88" s="205"/>
      <c r="E88" s="206">
        <v>0</v>
      </c>
      <c r="F88" s="218">
        <f t="shared" si="1"/>
        <v>33184</v>
      </c>
      <c r="H88" t="e">
        <f ca="1">_xlfn.XLOOKUP(A88,Hoja1!A:A,Hoja1!G:G,0,0)</f>
        <v>#NAME?</v>
      </c>
    </row>
    <row r="89" spans="1:8" x14ac:dyDescent="0.25">
      <c r="A89" s="64" t="s">
        <v>1232</v>
      </c>
      <c r="B89" s="64" t="s">
        <v>2523</v>
      </c>
      <c r="C89" s="220">
        <v>21092</v>
      </c>
      <c r="D89" s="205"/>
      <c r="E89" s="206">
        <v>3.0000000000000027E-2</v>
      </c>
      <c r="F89" s="218">
        <f t="shared" si="1"/>
        <v>21092</v>
      </c>
      <c r="H89" t="e">
        <f ca="1">_xlfn.XLOOKUP(A89,Hoja1!A:A,Hoja1!G:G,0,0)</f>
        <v>#NAME?</v>
      </c>
    </row>
    <row r="90" spans="1:8" x14ac:dyDescent="0.25">
      <c r="A90" s="64" t="s">
        <v>1234</v>
      </c>
      <c r="B90" s="64" t="s">
        <v>1235</v>
      </c>
      <c r="C90" s="220">
        <v>18340</v>
      </c>
      <c r="D90" s="205"/>
      <c r="E90" s="206">
        <v>2.0000000000000018E-2</v>
      </c>
      <c r="F90" s="218">
        <f t="shared" si="1"/>
        <v>18340</v>
      </c>
      <c r="H90" t="e">
        <f ca="1">_xlfn.XLOOKUP(A90,Hoja1!A:A,Hoja1!G:G,0,0)</f>
        <v>#NAME?</v>
      </c>
    </row>
    <row r="91" spans="1:8" x14ac:dyDescent="0.25">
      <c r="A91" s="208" t="s">
        <v>474</v>
      </c>
      <c r="B91" s="64" t="s">
        <v>1236</v>
      </c>
      <c r="C91" s="220">
        <v>37414</v>
      </c>
      <c r="D91" s="205"/>
      <c r="E91" s="206">
        <v>3.0000000000000027E-2</v>
      </c>
      <c r="F91" s="218">
        <f t="shared" si="1"/>
        <v>37414</v>
      </c>
      <c r="H91" t="e">
        <f ca="1">_xlfn.XLOOKUP(A91,Hoja1!A:A,Hoja1!G:G,0,0)</f>
        <v>#NAME?</v>
      </c>
    </row>
    <row r="92" spans="1:8" x14ac:dyDescent="0.25">
      <c r="A92" s="208" t="s">
        <v>482</v>
      </c>
      <c r="B92" s="64" t="s">
        <v>1237</v>
      </c>
      <c r="C92" s="220">
        <v>43394</v>
      </c>
      <c r="D92" s="205"/>
      <c r="E92" s="206">
        <v>2.0000000000000018E-2</v>
      </c>
      <c r="F92" s="218">
        <f t="shared" si="1"/>
        <v>43394</v>
      </c>
      <c r="H92" t="e">
        <f ca="1">_xlfn.XLOOKUP(A92,Hoja1!A:A,Hoja1!G:G,0,0)</f>
        <v>#NAME?</v>
      </c>
    </row>
    <row r="93" spans="1:8" x14ac:dyDescent="0.25">
      <c r="A93" s="64" t="s">
        <v>483</v>
      </c>
      <c r="B93" s="64" t="s">
        <v>1238</v>
      </c>
      <c r="C93" s="220">
        <v>54601</v>
      </c>
      <c r="D93" s="205"/>
      <c r="E93" s="206">
        <v>2.0000000000000018E-2</v>
      </c>
      <c r="F93" s="218">
        <f t="shared" si="1"/>
        <v>54601</v>
      </c>
      <c r="H93" t="e">
        <f ca="1">_xlfn.XLOOKUP(A93,Hoja1!A:A,Hoja1!G:G,0,0)</f>
        <v>#NAME?</v>
      </c>
    </row>
    <row r="94" spans="1:8" x14ac:dyDescent="0.25">
      <c r="A94" s="64" t="s">
        <v>484</v>
      </c>
      <c r="B94" s="64" t="s">
        <v>1239</v>
      </c>
      <c r="C94" s="220">
        <v>33720</v>
      </c>
      <c r="D94" s="205"/>
      <c r="E94" s="206">
        <v>2.0000000000000018E-2</v>
      </c>
      <c r="F94" s="218">
        <f t="shared" si="1"/>
        <v>33720</v>
      </c>
      <c r="H94" t="e">
        <f ca="1">_xlfn.XLOOKUP(A94,Hoja1!A:A,Hoja1!G:G,0,0)</f>
        <v>#NAME?</v>
      </c>
    </row>
    <row r="95" spans="1:8" x14ac:dyDescent="0.25">
      <c r="A95" s="64" t="s">
        <v>469</v>
      </c>
      <c r="B95" s="64" t="s">
        <v>1240</v>
      </c>
      <c r="C95" s="220">
        <v>28301</v>
      </c>
      <c r="D95" s="205"/>
      <c r="E95" s="206">
        <v>2.0000000000000018E-2</v>
      </c>
      <c r="F95" s="218">
        <f t="shared" si="1"/>
        <v>28301</v>
      </c>
      <c r="H95" t="e">
        <f ca="1">_xlfn.XLOOKUP(A95,Hoja1!A:A,Hoja1!G:G,0,0)</f>
        <v>#NAME?</v>
      </c>
    </row>
    <row r="96" spans="1:8" x14ac:dyDescent="0.25">
      <c r="A96" s="64" t="s">
        <v>470</v>
      </c>
      <c r="B96" s="64" t="s">
        <v>1241</v>
      </c>
      <c r="C96" s="220">
        <v>34372</v>
      </c>
      <c r="D96" s="205"/>
      <c r="E96" s="206">
        <v>2.0000000000000018E-2</v>
      </c>
      <c r="F96" s="218">
        <f t="shared" si="1"/>
        <v>34372</v>
      </c>
      <c r="H96" t="e">
        <f ca="1">_xlfn.XLOOKUP(A96,Hoja1!A:A,Hoja1!G:G,0,0)</f>
        <v>#NAME?</v>
      </c>
    </row>
    <row r="97" spans="1:8" x14ac:dyDescent="0.25">
      <c r="A97" s="64" t="s">
        <v>1242</v>
      </c>
      <c r="B97" s="64" t="s">
        <v>1243</v>
      </c>
      <c r="C97" s="220">
        <v>24235</v>
      </c>
      <c r="D97" s="205"/>
      <c r="E97" s="206">
        <v>2.0000000000000018E-2</v>
      </c>
      <c r="F97" s="218">
        <f t="shared" si="1"/>
        <v>24235</v>
      </c>
      <c r="H97" t="e">
        <f ca="1">_xlfn.XLOOKUP(A97,Hoja1!A:A,Hoja1!G:G,0,0)</f>
        <v>#NAME?</v>
      </c>
    </row>
    <row r="98" spans="1:8" s="209" customFormat="1" x14ac:dyDescent="0.25">
      <c r="A98" s="64" t="s">
        <v>1244</v>
      </c>
      <c r="B98" s="64" t="s">
        <v>1245</v>
      </c>
      <c r="C98" s="220">
        <v>24145</v>
      </c>
      <c r="D98" s="205"/>
      <c r="E98" s="206">
        <v>2.0000000000000018E-2</v>
      </c>
      <c r="F98" s="218">
        <f t="shared" si="1"/>
        <v>24145</v>
      </c>
      <c r="H98" t="e">
        <f ca="1">_xlfn.XLOOKUP(A98,Hoja1!A:A,Hoja1!G:G,0,0)</f>
        <v>#NAME?</v>
      </c>
    </row>
    <row r="99" spans="1:8" x14ac:dyDescent="0.25">
      <c r="A99" s="64" t="s">
        <v>1246</v>
      </c>
      <c r="B99" s="64" t="s">
        <v>1247</v>
      </c>
      <c r="C99" s="220">
        <v>24145</v>
      </c>
      <c r="D99" s="205"/>
      <c r="E99" s="206">
        <v>2.0000000000000018E-2</v>
      </c>
      <c r="F99" s="218">
        <f t="shared" si="1"/>
        <v>24145</v>
      </c>
      <c r="H99" t="e">
        <f ca="1">_xlfn.XLOOKUP(A99,Hoja1!A:A,Hoja1!G:G,0,0)</f>
        <v>#NAME?</v>
      </c>
    </row>
    <row r="100" spans="1:8" x14ac:dyDescent="0.25">
      <c r="A100" s="64" t="s">
        <v>1248</v>
      </c>
      <c r="B100" s="64" t="s">
        <v>1249</v>
      </c>
      <c r="C100" s="220">
        <v>33002</v>
      </c>
      <c r="D100" s="205"/>
      <c r="E100" s="206">
        <v>2.0000000000000018E-2</v>
      </c>
      <c r="F100" s="218">
        <f t="shared" si="1"/>
        <v>33002</v>
      </c>
      <c r="H100" t="e">
        <f ca="1">_xlfn.XLOOKUP(A100,Hoja1!A:A,Hoja1!G:G,0,0)</f>
        <v>#NAME?</v>
      </c>
    </row>
    <row r="101" spans="1:8" x14ac:dyDescent="0.25">
      <c r="A101" s="64" t="s">
        <v>1250</v>
      </c>
      <c r="B101" s="64" t="s">
        <v>1251</v>
      </c>
      <c r="C101" s="220">
        <v>32815</v>
      </c>
      <c r="D101" s="205"/>
      <c r="E101" s="206">
        <v>2.0000000000000018E-2</v>
      </c>
      <c r="F101" s="218">
        <f t="shared" si="1"/>
        <v>32815</v>
      </c>
      <c r="H101" t="e">
        <f ca="1">_xlfn.XLOOKUP(A101,Hoja1!A:A,Hoja1!G:G,0,0)</f>
        <v>#NAME?</v>
      </c>
    </row>
    <row r="102" spans="1:8" x14ac:dyDescent="0.25">
      <c r="A102" s="64" t="s">
        <v>1252</v>
      </c>
      <c r="B102" s="64" t="s">
        <v>1253</v>
      </c>
      <c r="C102" s="220">
        <v>40712</v>
      </c>
      <c r="D102" s="205"/>
      <c r="E102" s="206">
        <v>2.0000000000000018E-2</v>
      </c>
      <c r="F102" s="218">
        <f t="shared" si="1"/>
        <v>40712</v>
      </c>
      <c r="H102" t="e">
        <f ca="1">_xlfn.XLOOKUP(A102,Hoja1!A:A,Hoja1!G:G,0,0)</f>
        <v>#NAME?</v>
      </c>
    </row>
    <row r="103" spans="1:8" x14ac:dyDescent="0.25">
      <c r="A103" s="64" t="s">
        <v>1254</v>
      </c>
      <c r="B103" s="64" t="s">
        <v>1255</v>
      </c>
      <c r="C103" s="220">
        <v>44501</v>
      </c>
      <c r="D103" s="205"/>
      <c r="E103" s="206">
        <v>0.14999999999999991</v>
      </c>
      <c r="F103" s="218">
        <f t="shared" si="1"/>
        <v>44501</v>
      </c>
      <c r="H103" t="e">
        <f ca="1">_xlfn.XLOOKUP(A103,Hoja1!A:A,Hoja1!G:G,0,0)</f>
        <v>#NAME?</v>
      </c>
    </row>
    <row r="104" spans="1:8" x14ac:dyDescent="0.25">
      <c r="A104" s="64" t="s">
        <v>1256</v>
      </c>
      <c r="B104" s="64" t="s">
        <v>1257</v>
      </c>
      <c r="C104" s="220">
        <v>31727</v>
      </c>
      <c r="D104" s="205"/>
      <c r="E104" s="206">
        <v>0.14999999999999991</v>
      </c>
      <c r="F104" s="218">
        <f t="shared" si="1"/>
        <v>31727</v>
      </c>
      <c r="H104" t="e">
        <f ca="1">_xlfn.XLOOKUP(A104,Hoja1!A:A,Hoja1!G:G,0,0)</f>
        <v>#NAME?</v>
      </c>
    </row>
    <row r="105" spans="1:8" x14ac:dyDescent="0.25">
      <c r="A105" s="64" t="s">
        <v>1258</v>
      </c>
      <c r="B105" s="64" t="s">
        <v>1259</v>
      </c>
      <c r="C105" s="220">
        <v>19691</v>
      </c>
      <c r="D105" s="205"/>
      <c r="E105" s="206">
        <v>0.14999999999999991</v>
      </c>
      <c r="F105" s="218">
        <f t="shared" si="1"/>
        <v>19691</v>
      </c>
      <c r="H105" t="e">
        <f ca="1">_xlfn.XLOOKUP(A105,Hoja1!A:A,Hoja1!G:G,0,0)</f>
        <v>#NAME?</v>
      </c>
    </row>
    <row r="106" spans="1:8" x14ac:dyDescent="0.25">
      <c r="A106" s="64" t="s">
        <v>1260</v>
      </c>
      <c r="B106" s="64" t="s">
        <v>1261</v>
      </c>
      <c r="C106" s="220">
        <v>27541</v>
      </c>
      <c r="D106" s="205"/>
      <c r="E106" s="206">
        <v>0.14999999999999991</v>
      </c>
      <c r="F106" s="218">
        <f t="shared" si="1"/>
        <v>27541</v>
      </c>
      <c r="H106" t="e">
        <f ca="1">_xlfn.XLOOKUP(A106,Hoja1!A:A,Hoja1!G:G,0,0)</f>
        <v>#NAME?</v>
      </c>
    </row>
    <row r="107" spans="1:8" x14ac:dyDescent="0.25">
      <c r="A107" s="64" t="s">
        <v>1262</v>
      </c>
      <c r="B107" s="64" t="s">
        <v>1263</v>
      </c>
      <c r="C107" s="220">
        <v>28761</v>
      </c>
      <c r="D107" s="205"/>
      <c r="E107" s="206">
        <v>5.0000000000000044E-2</v>
      </c>
      <c r="F107" s="218">
        <f t="shared" si="1"/>
        <v>28761</v>
      </c>
      <c r="H107" t="e">
        <f ca="1">_xlfn.XLOOKUP(A107,Hoja1!A:A,Hoja1!G:G,0,0)</f>
        <v>#NAME?</v>
      </c>
    </row>
    <row r="108" spans="1:8" x14ac:dyDescent="0.25">
      <c r="A108" s="64" t="s">
        <v>1264</v>
      </c>
      <c r="B108" s="64" t="s">
        <v>1265</v>
      </c>
      <c r="C108" s="220">
        <v>41028</v>
      </c>
      <c r="D108" s="205"/>
      <c r="E108" s="206">
        <v>5.0000000000000044E-2</v>
      </c>
      <c r="F108" s="218">
        <f t="shared" si="1"/>
        <v>41028</v>
      </c>
      <c r="H108" t="e">
        <f ca="1">_xlfn.XLOOKUP(A108,Hoja1!A:A,Hoja1!G:G,0,0)</f>
        <v>#NAME?</v>
      </c>
    </row>
    <row r="109" spans="1:8" x14ac:dyDescent="0.25">
      <c r="A109" s="64" t="s">
        <v>1266</v>
      </c>
      <c r="B109" s="64" t="s">
        <v>1267</v>
      </c>
      <c r="C109" s="220">
        <v>58877</v>
      </c>
      <c r="D109" s="205"/>
      <c r="E109" s="206">
        <v>0</v>
      </c>
      <c r="F109" s="218">
        <f t="shared" si="1"/>
        <v>58877</v>
      </c>
      <c r="H109" t="e">
        <f ca="1">_xlfn.XLOOKUP(A109,Hoja1!A:A,Hoja1!G:G,0,0)</f>
        <v>#NAME?</v>
      </c>
    </row>
    <row r="110" spans="1:8" x14ac:dyDescent="0.25">
      <c r="A110" s="64" t="s">
        <v>1010</v>
      </c>
      <c r="B110" s="64" t="s">
        <v>1043</v>
      </c>
      <c r="C110" s="220">
        <v>47151</v>
      </c>
      <c r="D110" s="205"/>
      <c r="E110" s="206">
        <v>5.0000000000000044E-2</v>
      </c>
      <c r="F110" s="218">
        <f t="shared" si="1"/>
        <v>47151</v>
      </c>
      <c r="H110" t="e">
        <f ca="1">_xlfn.XLOOKUP(A110,Hoja1!A:A,Hoja1!G:G,0,0)</f>
        <v>#NAME?</v>
      </c>
    </row>
    <row r="111" spans="1:8" x14ac:dyDescent="0.25">
      <c r="A111" s="64" t="s">
        <v>1012</v>
      </c>
      <c r="B111" s="64" t="s">
        <v>1044</v>
      </c>
      <c r="C111" s="220">
        <v>68591</v>
      </c>
      <c r="D111" s="205"/>
      <c r="E111" s="206">
        <v>5.0000000000000044E-2</v>
      </c>
      <c r="F111" s="218">
        <f t="shared" si="1"/>
        <v>68591</v>
      </c>
      <c r="H111" t="e">
        <f ca="1">_xlfn.XLOOKUP(A111,Hoja1!A:A,Hoja1!G:G,0,0)</f>
        <v>#NAME?</v>
      </c>
    </row>
    <row r="112" spans="1:8" x14ac:dyDescent="0.25">
      <c r="A112" s="64" t="s">
        <v>2000</v>
      </c>
      <c r="B112" s="64" t="s">
        <v>2079</v>
      </c>
      <c r="C112" s="220">
        <v>73442</v>
      </c>
      <c r="D112" s="205"/>
      <c r="E112" s="206">
        <v>5.0000000000000044E-2</v>
      </c>
      <c r="F112" s="218">
        <f t="shared" si="1"/>
        <v>73442</v>
      </c>
      <c r="H112" t="e">
        <f ca="1">_xlfn.XLOOKUP(A112,Hoja1!A:A,Hoja1!G:G,0,0)</f>
        <v>#NAME?</v>
      </c>
    </row>
    <row r="113" spans="1:8" x14ac:dyDescent="0.25">
      <c r="A113" s="64" t="s">
        <v>1014</v>
      </c>
      <c r="B113" s="64" t="s">
        <v>1045</v>
      </c>
      <c r="C113" s="220">
        <v>80488</v>
      </c>
      <c r="D113" s="205"/>
      <c r="E113" s="206">
        <v>5.0000000000000044E-2</v>
      </c>
      <c r="F113" s="218">
        <f t="shared" si="1"/>
        <v>80488</v>
      </c>
      <c r="H113" t="e">
        <f ca="1">_xlfn.XLOOKUP(A113,Hoja1!A:A,Hoja1!G:G,0,0)</f>
        <v>#NAME?</v>
      </c>
    </row>
    <row r="114" spans="1:8" x14ac:dyDescent="0.25">
      <c r="A114" s="64" t="s">
        <v>2002</v>
      </c>
      <c r="B114" s="64" t="s">
        <v>2080</v>
      </c>
      <c r="C114" s="220">
        <v>50051</v>
      </c>
      <c r="D114" s="205"/>
      <c r="E114" s="206">
        <v>5.0000000000000044E-2</v>
      </c>
      <c r="F114" s="218">
        <f t="shared" si="1"/>
        <v>50051</v>
      </c>
      <c r="H114" t="e">
        <f ca="1">_xlfn.XLOOKUP(A114,Hoja1!A:A,Hoja1!G:G,0,0)</f>
        <v>#NAME?</v>
      </c>
    </row>
    <row r="115" spans="1:8" x14ac:dyDescent="0.25">
      <c r="A115" s="64" t="s">
        <v>1994</v>
      </c>
      <c r="B115" s="64" t="s">
        <v>2081</v>
      </c>
      <c r="C115" s="220">
        <v>33150</v>
      </c>
      <c r="D115" s="205"/>
      <c r="E115" s="206">
        <v>5.0000000000000044E-2</v>
      </c>
      <c r="F115" s="218">
        <f t="shared" si="1"/>
        <v>33150</v>
      </c>
      <c r="H115" t="e">
        <f ca="1">_xlfn.XLOOKUP(A115,Hoja1!A:A,Hoja1!G:G,0,0)</f>
        <v>#NAME?</v>
      </c>
    </row>
    <row r="116" spans="1:8" x14ac:dyDescent="0.25">
      <c r="A116" s="64" t="s">
        <v>1016</v>
      </c>
      <c r="B116" s="64" t="s">
        <v>1046</v>
      </c>
      <c r="C116" s="220">
        <v>33056</v>
      </c>
      <c r="D116" s="205"/>
      <c r="E116" s="206">
        <v>0</v>
      </c>
      <c r="F116" s="218">
        <f t="shared" si="1"/>
        <v>33056</v>
      </c>
      <c r="H116" t="e">
        <f ca="1">_xlfn.XLOOKUP(A116,Hoja1!A:A,Hoja1!G:G,0,0)</f>
        <v>#NAME?</v>
      </c>
    </row>
    <row r="117" spans="1:8" x14ac:dyDescent="0.25">
      <c r="A117" s="64" t="s">
        <v>1018</v>
      </c>
      <c r="B117" s="64" t="s">
        <v>1047</v>
      </c>
      <c r="C117" s="220">
        <v>60322</v>
      </c>
      <c r="D117" s="205"/>
      <c r="E117" s="206">
        <v>0</v>
      </c>
      <c r="F117" s="218">
        <f t="shared" si="1"/>
        <v>60322</v>
      </c>
      <c r="H117" t="e">
        <f ca="1">_xlfn.XLOOKUP(A117,Hoja1!A:A,Hoja1!G:G,0,0)</f>
        <v>#NAME?</v>
      </c>
    </row>
    <row r="118" spans="1:8" x14ac:dyDescent="0.25">
      <c r="A118" s="64" t="s">
        <v>1020</v>
      </c>
      <c r="B118" s="64" t="s">
        <v>1048</v>
      </c>
      <c r="C118" s="220">
        <v>81948</v>
      </c>
      <c r="D118" s="205"/>
      <c r="E118" s="206">
        <v>0</v>
      </c>
      <c r="F118" s="218">
        <f t="shared" si="1"/>
        <v>81948</v>
      </c>
      <c r="H118" t="e">
        <f ca="1">_xlfn.XLOOKUP(A118,Hoja1!A:A,Hoja1!G:G,0,0)</f>
        <v>#NAME?</v>
      </c>
    </row>
    <row r="119" spans="1:8" x14ac:dyDescent="0.25">
      <c r="A119" s="64" t="s">
        <v>2004</v>
      </c>
      <c r="B119" s="64" t="s">
        <v>2082</v>
      </c>
      <c r="C119" s="220">
        <v>50375</v>
      </c>
      <c r="D119" s="205"/>
      <c r="E119" s="206">
        <v>0</v>
      </c>
      <c r="F119" s="218">
        <f t="shared" si="1"/>
        <v>50375</v>
      </c>
      <c r="H119" t="e">
        <f ca="1">_xlfn.XLOOKUP(A119,Hoja1!A:A,Hoja1!G:G,0,0)</f>
        <v>#NAME?</v>
      </c>
    </row>
    <row r="120" spans="1:8" x14ac:dyDescent="0.25">
      <c r="A120" s="64" t="s">
        <v>1996</v>
      </c>
      <c r="B120" s="64" t="s">
        <v>2083</v>
      </c>
      <c r="C120" s="220">
        <v>33406</v>
      </c>
      <c r="D120" s="205"/>
      <c r="E120" s="206">
        <v>0</v>
      </c>
      <c r="F120" s="218">
        <f t="shared" si="1"/>
        <v>33406</v>
      </c>
      <c r="H120" t="e">
        <f ca="1">_xlfn.XLOOKUP(A120,Hoja1!A:A,Hoja1!G:G,0,0)</f>
        <v>#NAME?</v>
      </c>
    </row>
    <row r="121" spans="1:8" x14ac:dyDescent="0.25">
      <c r="A121" s="64" t="s">
        <v>1022</v>
      </c>
      <c r="B121" s="64" t="s">
        <v>1049</v>
      </c>
      <c r="C121" s="220">
        <v>43116</v>
      </c>
      <c r="D121" s="205"/>
      <c r="E121" s="206">
        <v>0</v>
      </c>
      <c r="F121" s="218">
        <f t="shared" si="1"/>
        <v>43116</v>
      </c>
      <c r="H121" t="e">
        <f ca="1">_xlfn.XLOOKUP(A121,Hoja1!A:A,Hoja1!G:G,0,0)</f>
        <v>#NAME?</v>
      </c>
    </row>
    <row r="122" spans="1:8" x14ac:dyDescent="0.25">
      <c r="A122" s="64" t="s">
        <v>1024</v>
      </c>
      <c r="B122" s="64" t="s">
        <v>1050</v>
      </c>
      <c r="C122" s="220">
        <v>62476</v>
      </c>
      <c r="D122" s="205"/>
      <c r="E122" s="206">
        <v>0</v>
      </c>
      <c r="F122" s="218">
        <f t="shared" si="1"/>
        <v>62476</v>
      </c>
      <c r="H122" t="e">
        <f ca="1">_xlfn.XLOOKUP(A122,Hoja1!A:A,Hoja1!G:G,0,0)</f>
        <v>#NAME?</v>
      </c>
    </row>
    <row r="123" spans="1:8" x14ac:dyDescent="0.25">
      <c r="A123" s="64" t="s">
        <v>1026</v>
      </c>
      <c r="B123" s="64" t="s">
        <v>1051</v>
      </c>
      <c r="C123" s="220">
        <v>67949</v>
      </c>
      <c r="D123" s="205"/>
      <c r="E123" s="206">
        <v>0</v>
      </c>
      <c r="F123" s="218">
        <f t="shared" si="1"/>
        <v>67949</v>
      </c>
      <c r="H123" t="e">
        <f ca="1">_xlfn.XLOOKUP(A123,Hoja1!A:A,Hoja1!G:G,0,0)</f>
        <v>#NAME?</v>
      </c>
    </row>
    <row r="124" spans="1:8" x14ac:dyDescent="0.25">
      <c r="A124" s="64" t="s">
        <v>1028</v>
      </c>
      <c r="B124" s="64" t="s">
        <v>1052</v>
      </c>
      <c r="C124" s="220">
        <v>74222</v>
      </c>
      <c r="D124" s="205"/>
      <c r="E124" s="206">
        <v>0</v>
      </c>
      <c r="F124" s="218">
        <f t="shared" si="1"/>
        <v>74222</v>
      </c>
      <c r="H124" t="e">
        <f ca="1">_xlfn.XLOOKUP(A124,Hoja1!A:A,Hoja1!G:G,0,0)</f>
        <v>#NAME?</v>
      </c>
    </row>
    <row r="125" spans="1:8" x14ac:dyDescent="0.25">
      <c r="A125" s="64" t="s">
        <v>1030</v>
      </c>
      <c r="B125" s="64" t="s">
        <v>1053</v>
      </c>
      <c r="C125" s="220">
        <v>29445</v>
      </c>
      <c r="D125" s="205"/>
      <c r="E125" s="206"/>
      <c r="F125" s="218">
        <f t="shared" si="1"/>
        <v>29445</v>
      </c>
      <c r="H125" s="209" t="e">
        <f ca="1">_xlfn.XLOOKUP(A125,Hoja1!A:A,Hoja1!G:G,0,0)</f>
        <v>#NAME?</v>
      </c>
    </row>
    <row r="126" spans="1:8" x14ac:dyDescent="0.25">
      <c r="A126" s="64" t="s">
        <v>1031</v>
      </c>
      <c r="B126" s="64" t="s">
        <v>1054</v>
      </c>
      <c r="C126" s="220">
        <v>72723</v>
      </c>
      <c r="D126" s="205"/>
      <c r="E126" s="206">
        <v>0</v>
      </c>
      <c r="F126" s="218">
        <f t="shared" si="1"/>
        <v>72723</v>
      </c>
      <c r="H126" t="e">
        <f ca="1">_xlfn.XLOOKUP(A126,Hoja1!A:A,Hoja1!G:G,0,0)</f>
        <v>#NAME?</v>
      </c>
    </row>
    <row r="127" spans="1:8" x14ac:dyDescent="0.25">
      <c r="A127" s="64" t="s">
        <v>1033</v>
      </c>
      <c r="B127" s="64" t="s">
        <v>1055</v>
      </c>
      <c r="C127" s="220">
        <v>79883</v>
      </c>
      <c r="D127" s="205"/>
      <c r="E127" s="206">
        <v>0</v>
      </c>
      <c r="F127" s="218">
        <f t="shared" si="1"/>
        <v>79883</v>
      </c>
      <c r="H127" t="e">
        <f ca="1">_xlfn.XLOOKUP(A127,Hoja1!A:A,Hoja1!G:G,0,0)</f>
        <v>#NAME?</v>
      </c>
    </row>
    <row r="128" spans="1:8" x14ac:dyDescent="0.25">
      <c r="A128" s="64" t="s">
        <v>1035</v>
      </c>
      <c r="B128" s="64" t="s">
        <v>1056</v>
      </c>
      <c r="C128" s="220">
        <v>45268</v>
      </c>
      <c r="D128" s="205"/>
      <c r="E128" s="206">
        <v>0</v>
      </c>
      <c r="F128" s="218">
        <f t="shared" si="1"/>
        <v>45268</v>
      </c>
      <c r="H128" t="e">
        <f ca="1">_xlfn.XLOOKUP(A128,Hoja1!A:A,Hoja1!G:G,0,0)</f>
        <v>#NAME?</v>
      </c>
    </row>
    <row r="129" spans="1:8" x14ac:dyDescent="0.25">
      <c r="A129" s="64" t="s">
        <v>1998</v>
      </c>
      <c r="B129" s="64" t="s">
        <v>2084</v>
      </c>
      <c r="C129" s="220">
        <v>67623</v>
      </c>
      <c r="D129" s="205"/>
      <c r="E129" s="206">
        <v>0</v>
      </c>
      <c r="F129" s="218">
        <f t="shared" si="1"/>
        <v>67623</v>
      </c>
      <c r="H129" t="e">
        <f ca="1">_xlfn.XLOOKUP(A129,Hoja1!A:A,Hoja1!G:G,0,0)</f>
        <v>#NAME?</v>
      </c>
    </row>
    <row r="130" spans="1:8" x14ac:dyDescent="0.25">
      <c r="A130" s="64" t="s">
        <v>1037</v>
      </c>
      <c r="B130" s="64" t="s">
        <v>1057</v>
      </c>
      <c r="C130" s="220">
        <v>44059</v>
      </c>
      <c r="D130" s="205"/>
      <c r="E130" s="206">
        <v>0</v>
      </c>
      <c r="F130" s="218">
        <f t="shared" si="1"/>
        <v>44059</v>
      </c>
      <c r="H130" t="e">
        <f ca="1">_xlfn.XLOOKUP(A130,Hoja1!A:A,Hoja1!G:G,0,0)</f>
        <v>#NAME?</v>
      </c>
    </row>
    <row r="131" spans="1:8" x14ac:dyDescent="0.25">
      <c r="A131" s="64" t="s">
        <v>1039</v>
      </c>
      <c r="B131" s="64" t="s">
        <v>1058</v>
      </c>
      <c r="C131" s="220">
        <v>45245</v>
      </c>
      <c r="D131" s="205"/>
      <c r="E131" s="206">
        <v>0</v>
      </c>
      <c r="F131" s="218">
        <f t="shared" ref="F131:F194" si="2">ROUND(C131,0)</f>
        <v>45245</v>
      </c>
      <c r="H131" t="e">
        <f ca="1">_xlfn.XLOOKUP(A131,Hoja1!A:A,Hoja1!G:G,0,0)</f>
        <v>#NAME?</v>
      </c>
    </row>
    <row r="132" spans="1:8" x14ac:dyDescent="0.25">
      <c r="A132" s="64" t="s">
        <v>1041</v>
      </c>
      <c r="B132" s="64" t="s">
        <v>1059</v>
      </c>
      <c r="C132" s="220">
        <v>55794</v>
      </c>
      <c r="D132" s="205"/>
      <c r="E132" s="206">
        <v>0</v>
      </c>
      <c r="F132" s="218">
        <f t="shared" si="2"/>
        <v>55794</v>
      </c>
      <c r="H132" t="e">
        <f ca="1">_xlfn.XLOOKUP(A132,Hoja1!A:A,Hoja1!G:G,0,0)</f>
        <v>#NAME?</v>
      </c>
    </row>
    <row r="133" spans="1:8" x14ac:dyDescent="0.25">
      <c r="A133" s="64" t="s">
        <v>1287</v>
      </c>
      <c r="B133" s="64" t="s">
        <v>1288</v>
      </c>
      <c r="C133" s="220">
        <v>15059</v>
      </c>
      <c r="D133" s="205"/>
      <c r="E133" s="206">
        <v>0</v>
      </c>
      <c r="F133" s="218">
        <f t="shared" si="2"/>
        <v>15059</v>
      </c>
      <c r="H133" t="e">
        <f ca="1">_xlfn.XLOOKUP(A133,Hoja1!A:A,Hoja1!G:G,0,0)</f>
        <v>#NAME?</v>
      </c>
    </row>
    <row r="134" spans="1:8" x14ac:dyDescent="0.25">
      <c r="A134" s="64" t="s">
        <v>465</v>
      </c>
      <c r="B134" s="64" t="s">
        <v>1289</v>
      </c>
      <c r="C134" s="220">
        <v>97504</v>
      </c>
      <c r="D134" s="205"/>
      <c r="E134" s="206">
        <v>0</v>
      </c>
      <c r="F134" s="218">
        <f t="shared" si="2"/>
        <v>97504</v>
      </c>
      <c r="H134" t="e">
        <f ca="1">_xlfn.XLOOKUP(A134,Hoja1!A:A,Hoja1!G:G,0,0)</f>
        <v>#NAME?</v>
      </c>
    </row>
    <row r="135" spans="1:8" x14ac:dyDescent="0.25">
      <c r="A135" s="64" t="s">
        <v>485</v>
      </c>
      <c r="B135" s="64" t="s">
        <v>1290</v>
      </c>
      <c r="C135" s="220">
        <v>54611</v>
      </c>
      <c r="D135" s="205"/>
      <c r="E135" s="206">
        <v>0</v>
      </c>
      <c r="F135" s="218">
        <f t="shared" si="2"/>
        <v>54611</v>
      </c>
      <c r="H135" t="e">
        <f ca="1">_xlfn.XLOOKUP(A135,Hoja1!A:A,Hoja1!G:G,0,0)</f>
        <v>#NAME?</v>
      </c>
    </row>
    <row r="136" spans="1:8" x14ac:dyDescent="0.25">
      <c r="A136" s="64" t="s">
        <v>1291</v>
      </c>
      <c r="B136" s="64" t="s">
        <v>1292</v>
      </c>
      <c r="C136" s="220">
        <v>3948</v>
      </c>
      <c r="D136" s="205"/>
      <c r="E136" s="206">
        <v>0</v>
      </c>
      <c r="F136" s="218">
        <f t="shared" si="2"/>
        <v>3948</v>
      </c>
      <c r="H136" t="e">
        <f ca="1">_xlfn.XLOOKUP(A136,Hoja1!A:A,Hoja1!G:G,0,0)</f>
        <v>#NAME?</v>
      </c>
    </row>
    <row r="137" spans="1:8" x14ac:dyDescent="0.25">
      <c r="A137" s="64" t="s">
        <v>1293</v>
      </c>
      <c r="B137" s="64" t="s">
        <v>1294</v>
      </c>
      <c r="C137" s="220">
        <v>16733</v>
      </c>
      <c r="D137" s="205"/>
      <c r="E137" s="206">
        <v>0</v>
      </c>
      <c r="F137" s="218">
        <f t="shared" si="2"/>
        <v>16733</v>
      </c>
      <c r="H137" t="e">
        <f ca="1">_xlfn.XLOOKUP(A137,Hoja1!A:A,Hoja1!G:G,0,0)</f>
        <v>#NAME?</v>
      </c>
    </row>
    <row r="138" spans="1:8" x14ac:dyDescent="0.25">
      <c r="A138" s="64" t="s">
        <v>1295</v>
      </c>
      <c r="B138" s="64" t="s">
        <v>1296</v>
      </c>
      <c r="C138" s="220">
        <v>16733</v>
      </c>
      <c r="D138" s="205"/>
      <c r="E138" s="206">
        <v>0</v>
      </c>
      <c r="F138" s="218">
        <f t="shared" si="2"/>
        <v>16733</v>
      </c>
      <c r="H138" t="e">
        <f ca="1">_xlfn.XLOOKUP(A138,Hoja1!A:A,Hoja1!G:G,0,0)</f>
        <v>#NAME?</v>
      </c>
    </row>
    <row r="139" spans="1:8" x14ac:dyDescent="0.25">
      <c r="A139" s="64" t="s">
        <v>1297</v>
      </c>
      <c r="B139" s="64" t="s">
        <v>1298</v>
      </c>
      <c r="C139" s="220">
        <v>16733</v>
      </c>
      <c r="D139" s="205"/>
      <c r="E139" s="206">
        <v>0</v>
      </c>
      <c r="F139" s="218">
        <f t="shared" si="2"/>
        <v>16733</v>
      </c>
      <c r="H139" t="e">
        <f ca="1">_xlfn.XLOOKUP(A139,Hoja1!A:A,Hoja1!G:G,0,0)</f>
        <v>#NAME?</v>
      </c>
    </row>
    <row r="140" spans="1:8" x14ac:dyDescent="0.25">
      <c r="A140" s="64" t="s">
        <v>1299</v>
      </c>
      <c r="B140" s="64" t="s">
        <v>1300</v>
      </c>
      <c r="C140" s="220">
        <v>16733</v>
      </c>
      <c r="D140" s="205"/>
      <c r="E140" s="206">
        <v>0</v>
      </c>
      <c r="F140" s="218">
        <f t="shared" si="2"/>
        <v>16733</v>
      </c>
      <c r="H140" t="e">
        <f ca="1">_xlfn.XLOOKUP(A140,Hoja1!A:A,Hoja1!G:G,0,0)</f>
        <v>#NAME?</v>
      </c>
    </row>
    <row r="141" spans="1:8" x14ac:dyDescent="0.25">
      <c r="A141" s="64" t="s">
        <v>1301</v>
      </c>
      <c r="B141" s="64" t="s">
        <v>1302</v>
      </c>
      <c r="C141" s="220">
        <v>16733</v>
      </c>
      <c r="D141" s="205"/>
      <c r="E141" s="206">
        <v>0</v>
      </c>
      <c r="F141" s="218">
        <f t="shared" si="2"/>
        <v>16733</v>
      </c>
      <c r="H141" t="e">
        <f ca="1">_xlfn.XLOOKUP(A141,Hoja1!A:A,Hoja1!G:G,0,0)</f>
        <v>#NAME?</v>
      </c>
    </row>
    <row r="142" spans="1:8" x14ac:dyDescent="0.25">
      <c r="A142" s="64" t="s">
        <v>1303</v>
      </c>
      <c r="B142" s="64" t="s">
        <v>1304</v>
      </c>
      <c r="C142" s="220">
        <v>16733</v>
      </c>
      <c r="D142" s="205"/>
      <c r="E142" s="206">
        <v>0</v>
      </c>
      <c r="F142" s="218">
        <f t="shared" si="2"/>
        <v>16733</v>
      </c>
      <c r="H142" t="e">
        <f ca="1">_xlfn.XLOOKUP(A142,Hoja1!A:A,Hoja1!G:G,0,0)</f>
        <v>#NAME?</v>
      </c>
    </row>
    <row r="143" spans="1:8" x14ac:dyDescent="0.25">
      <c r="A143" s="64" t="s">
        <v>1305</v>
      </c>
      <c r="B143" s="64" t="s">
        <v>1306</v>
      </c>
      <c r="C143" s="220">
        <v>1487</v>
      </c>
      <c r="D143" s="205"/>
      <c r="E143" s="206">
        <v>0.95</v>
      </c>
      <c r="F143" s="218">
        <f t="shared" si="2"/>
        <v>1487</v>
      </c>
      <c r="H143" t="e">
        <f ca="1">_xlfn.XLOOKUP(A143,Hoja1!A:A,Hoja1!G:G,0,0)</f>
        <v>#NAME?</v>
      </c>
    </row>
    <row r="144" spans="1:8" x14ac:dyDescent="0.25">
      <c r="A144" s="64" t="s">
        <v>1307</v>
      </c>
      <c r="B144" s="64" t="s">
        <v>1308</v>
      </c>
      <c r="C144" s="220">
        <v>5319</v>
      </c>
      <c r="D144" s="205"/>
      <c r="E144" s="206">
        <v>0.95</v>
      </c>
      <c r="F144" s="218">
        <f t="shared" si="2"/>
        <v>5319</v>
      </c>
      <c r="H144" t="e">
        <f ca="1">_xlfn.XLOOKUP(A144,Hoja1!A:A,Hoja1!G:G,0,0)</f>
        <v>#NAME?</v>
      </c>
    </row>
    <row r="145" spans="1:8" s="3" customFormat="1" x14ac:dyDescent="0.25">
      <c r="A145" s="64" t="s">
        <v>2524</v>
      </c>
      <c r="B145" s="64" t="s">
        <v>2525</v>
      </c>
      <c r="C145" s="220">
        <v>9103</v>
      </c>
      <c r="D145" s="205"/>
      <c r="E145" s="206">
        <v>0.95</v>
      </c>
      <c r="F145" s="218">
        <f t="shared" si="2"/>
        <v>9103</v>
      </c>
      <c r="H145" t="e">
        <f ca="1">_xlfn.XLOOKUP(A145,Hoja1!A:A,Hoja1!G:G,0,0)</f>
        <v>#NAME?</v>
      </c>
    </row>
    <row r="146" spans="1:8" s="3" customFormat="1" x14ac:dyDescent="0.25">
      <c r="A146" s="64" t="s">
        <v>1309</v>
      </c>
      <c r="B146" s="64" t="s">
        <v>1310</v>
      </c>
      <c r="C146" s="220">
        <v>10160</v>
      </c>
      <c r="D146" s="205"/>
      <c r="E146" s="206">
        <v>0.95</v>
      </c>
      <c r="F146" s="218">
        <f t="shared" si="2"/>
        <v>10160</v>
      </c>
      <c r="H146" t="e">
        <f ca="1">_xlfn.XLOOKUP(A146,Hoja1!A:A,Hoja1!G:G,0,0)</f>
        <v>#NAME?</v>
      </c>
    </row>
    <row r="147" spans="1:8" s="3" customFormat="1" x14ac:dyDescent="0.25">
      <c r="A147" s="64" t="s">
        <v>1311</v>
      </c>
      <c r="B147" s="64" t="s">
        <v>1312</v>
      </c>
      <c r="C147" s="220">
        <v>4285</v>
      </c>
      <c r="D147" s="205"/>
      <c r="E147" s="206">
        <v>0.95</v>
      </c>
      <c r="F147" s="218">
        <f t="shared" si="2"/>
        <v>4285</v>
      </c>
      <c r="H147" t="e">
        <f ca="1">_xlfn.XLOOKUP(A147,Hoja1!A:A,Hoja1!G:G,0,0)</f>
        <v>#NAME?</v>
      </c>
    </row>
    <row r="148" spans="1:8" s="3" customFormat="1" x14ac:dyDescent="0.25">
      <c r="A148" s="64" t="s">
        <v>1313</v>
      </c>
      <c r="B148" s="64" t="s">
        <v>1314</v>
      </c>
      <c r="C148" s="220">
        <v>10337</v>
      </c>
      <c r="D148" s="205"/>
      <c r="E148" s="206">
        <v>0.95</v>
      </c>
      <c r="F148" s="218">
        <f t="shared" si="2"/>
        <v>10337</v>
      </c>
      <c r="H148" t="e">
        <f ca="1">_xlfn.XLOOKUP(A148,Hoja1!A:A,Hoja1!G:G,0,0)</f>
        <v>#NAME?</v>
      </c>
    </row>
    <row r="149" spans="1:8" s="3" customFormat="1" x14ac:dyDescent="0.25">
      <c r="A149" s="64" t="s">
        <v>1315</v>
      </c>
      <c r="B149" s="64" t="s">
        <v>1316</v>
      </c>
      <c r="C149" s="220">
        <v>75090</v>
      </c>
      <c r="D149" s="205"/>
      <c r="E149" s="206">
        <v>0</v>
      </c>
      <c r="F149" s="218">
        <f t="shared" si="2"/>
        <v>75090</v>
      </c>
      <c r="H149" t="e">
        <f ca="1">_xlfn.XLOOKUP(A149,Hoja1!A:A,Hoja1!G:G,0,0)</f>
        <v>#NAME?</v>
      </c>
    </row>
    <row r="150" spans="1:8" s="3" customFormat="1" x14ac:dyDescent="0.25">
      <c r="A150" s="64" t="s">
        <v>1319</v>
      </c>
      <c r="B150" s="64" t="s">
        <v>1320</v>
      </c>
      <c r="C150" s="220">
        <v>69659</v>
      </c>
      <c r="D150" s="205"/>
      <c r="E150" s="206">
        <v>0.5</v>
      </c>
      <c r="F150" s="218">
        <f t="shared" si="2"/>
        <v>69659</v>
      </c>
      <c r="H150" t="e">
        <f ca="1">_xlfn.XLOOKUP(A150,Hoja1!A:A,Hoja1!G:G,0,0)</f>
        <v>#NAME?</v>
      </c>
    </row>
    <row r="151" spans="1:8" s="3" customFormat="1" x14ac:dyDescent="0.25">
      <c r="A151" s="64" t="s">
        <v>1321</v>
      </c>
      <c r="B151" s="64" t="s">
        <v>1322</v>
      </c>
      <c r="C151" s="220">
        <v>81973</v>
      </c>
      <c r="D151" s="205"/>
      <c r="E151" s="206">
        <v>1.5</v>
      </c>
      <c r="F151" s="218">
        <f t="shared" si="2"/>
        <v>81973</v>
      </c>
      <c r="H151" t="e">
        <f ca="1">_xlfn.XLOOKUP(A151,Hoja1!A:A,Hoja1!G:G,0,0)</f>
        <v>#NAME?</v>
      </c>
    </row>
    <row r="152" spans="1:8" x14ac:dyDescent="0.25">
      <c r="A152" s="64" t="s">
        <v>2526</v>
      </c>
      <c r="B152" s="64" t="s">
        <v>2527</v>
      </c>
      <c r="C152" s="220">
        <v>35879</v>
      </c>
      <c r="D152" s="205"/>
      <c r="E152" s="206"/>
      <c r="F152" s="218">
        <f t="shared" si="2"/>
        <v>35879</v>
      </c>
      <c r="H152" s="222" t="e">
        <f ca="1">_xlfn.XLOOKUP(A152,Hoja1!A:A,Hoja1!G:G,0,0)</f>
        <v>#NAME?</v>
      </c>
    </row>
    <row r="153" spans="1:8" x14ac:dyDescent="0.25">
      <c r="A153" s="64" t="s">
        <v>2528</v>
      </c>
      <c r="B153" s="64" t="s">
        <v>2529</v>
      </c>
      <c r="C153" s="220">
        <v>45017</v>
      </c>
      <c r="D153" s="205"/>
      <c r="E153" s="206"/>
      <c r="F153" s="218">
        <f t="shared" si="2"/>
        <v>45017</v>
      </c>
      <c r="H153" s="222" t="e">
        <f ca="1">_xlfn.XLOOKUP(A153,Hoja1!A:A,Hoja1!G:G,0,0)</f>
        <v>#NAME?</v>
      </c>
    </row>
    <row r="154" spans="1:8" x14ac:dyDescent="0.25">
      <c r="A154" s="64" t="s">
        <v>2530</v>
      </c>
      <c r="B154" s="64" t="s">
        <v>2531</v>
      </c>
      <c r="C154" s="220">
        <v>52940</v>
      </c>
      <c r="D154" s="205"/>
      <c r="E154" s="206"/>
      <c r="F154" s="218">
        <f t="shared" si="2"/>
        <v>52940</v>
      </c>
      <c r="H154" s="222" t="e">
        <f ca="1">_xlfn.XLOOKUP(A154,Hoja1!A:A,Hoja1!G:G,0,0)</f>
        <v>#NAME?</v>
      </c>
    </row>
    <row r="155" spans="1:8" x14ac:dyDescent="0.25">
      <c r="A155" s="64" t="s">
        <v>940</v>
      </c>
      <c r="B155" s="64" t="s">
        <v>954</v>
      </c>
      <c r="C155" s="220">
        <v>3157</v>
      </c>
      <c r="D155" s="205"/>
      <c r="E155" s="206">
        <v>0.12</v>
      </c>
      <c r="F155" s="218">
        <f t="shared" si="2"/>
        <v>3157</v>
      </c>
      <c r="H155" t="e">
        <f ca="1">_xlfn.XLOOKUP(A155,Hoja1!A:A,Hoja1!G:G,0,0)</f>
        <v>#NAME?</v>
      </c>
    </row>
    <row r="156" spans="1:8" x14ac:dyDescent="0.25">
      <c r="A156" s="64" t="s">
        <v>942</v>
      </c>
      <c r="B156" s="64" t="s">
        <v>2532</v>
      </c>
      <c r="C156" s="220">
        <v>9905</v>
      </c>
      <c r="D156" s="205"/>
      <c r="E156" s="206">
        <v>0.12</v>
      </c>
      <c r="F156" s="218">
        <f t="shared" si="2"/>
        <v>9905</v>
      </c>
      <c r="H156" t="e">
        <f ca="1">_xlfn.XLOOKUP(A156,Hoja1!A:A,Hoja1!G:G,0,0)</f>
        <v>#NAME?</v>
      </c>
    </row>
    <row r="157" spans="1:8" x14ac:dyDescent="0.25">
      <c r="A157" s="64" t="s">
        <v>944</v>
      </c>
      <c r="B157" s="64" t="s">
        <v>956</v>
      </c>
      <c r="C157" s="220">
        <v>33577</v>
      </c>
      <c r="D157" s="205"/>
      <c r="E157" s="206">
        <v>0.12</v>
      </c>
      <c r="F157" s="218">
        <f t="shared" si="2"/>
        <v>33577</v>
      </c>
      <c r="H157" t="e">
        <f ca="1">_xlfn.XLOOKUP(A157,Hoja1!A:A,Hoja1!G:G,0,0)</f>
        <v>#NAME?</v>
      </c>
    </row>
    <row r="158" spans="1:8" x14ac:dyDescent="0.25">
      <c r="A158" s="64" t="s">
        <v>426</v>
      </c>
      <c r="B158" s="64" t="s">
        <v>429</v>
      </c>
      <c r="C158" s="220">
        <v>34508</v>
      </c>
      <c r="D158" s="205"/>
      <c r="E158" s="206">
        <v>0.12</v>
      </c>
      <c r="F158" s="218">
        <f t="shared" si="2"/>
        <v>34508</v>
      </c>
      <c r="H158" t="e">
        <f ca="1">_xlfn.XLOOKUP(A158,Hoja1!A:A,Hoja1!G:G,0,0)</f>
        <v>#NAME?</v>
      </c>
    </row>
    <row r="159" spans="1:8" x14ac:dyDescent="0.25">
      <c r="A159" s="64" t="s">
        <v>430</v>
      </c>
      <c r="B159" s="64" t="s">
        <v>432</v>
      </c>
      <c r="C159" s="220">
        <v>43780</v>
      </c>
      <c r="D159" s="205"/>
      <c r="E159" s="206">
        <v>0.12</v>
      </c>
      <c r="F159" s="218">
        <f t="shared" si="2"/>
        <v>43780</v>
      </c>
      <c r="H159" t="e">
        <f ca="1">_xlfn.XLOOKUP(A159,Hoja1!A:A,Hoja1!G:G,0,0)</f>
        <v>#NAME?</v>
      </c>
    </row>
    <row r="160" spans="1:8" x14ac:dyDescent="0.25">
      <c r="A160" s="64" t="s">
        <v>433</v>
      </c>
      <c r="B160" s="64" t="s">
        <v>435</v>
      </c>
      <c r="C160" s="220">
        <v>51888</v>
      </c>
      <c r="D160" s="205"/>
      <c r="E160" s="206">
        <v>0.12</v>
      </c>
      <c r="F160" s="218">
        <f t="shared" si="2"/>
        <v>51888</v>
      </c>
      <c r="H160" t="e">
        <f ca="1">_xlfn.XLOOKUP(A160,Hoja1!A:A,Hoja1!G:G,0,0)</f>
        <v>#NAME?</v>
      </c>
    </row>
    <row r="161" spans="1:8" x14ac:dyDescent="0.25">
      <c r="A161" s="64" t="s">
        <v>1323</v>
      </c>
      <c r="B161" s="64" t="s">
        <v>1324</v>
      </c>
      <c r="C161" s="220">
        <v>49713</v>
      </c>
      <c r="D161" s="205"/>
      <c r="E161" s="206">
        <v>0.12</v>
      </c>
      <c r="F161" s="218">
        <f t="shared" si="2"/>
        <v>49713</v>
      </c>
      <c r="H161" t="e">
        <f ca="1">_xlfn.XLOOKUP(A161,Hoja1!A:A,Hoja1!G:G,0,0)</f>
        <v>#NAME?</v>
      </c>
    </row>
    <row r="162" spans="1:8" x14ac:dyDescent="0.25">
      <c r="A162" s="64" t="s">
        <v>2533</v>
      </c>
      <c r="B162" s="64" t="s">
        <v>2534</v>
      </c>
      <c r="C162" s="220">
        <v>41373</v>
      </c>
      <c r="D162" s="205"/>
      <c r="E162" s="206">
        <v>0.12</v>
      </c>
      <c r="F162" s="218">
        <f t="shared" si="2"/>
        <v>41373</v>
      </c>
      <c r="H162" t="e">
        <f ca="1">_xlfn.XLOOKUP(A162,Hoja1!A:A,Hoja1!G:G,0,0)</f>
        <v>#NAME?</v>
      </c>
    </row>
    <row r="163" spans="1:8" x14ac:dyDescent="0.25">
      <c r="A163" s="64" t="s">
        <v>2535</v>
      </c>
      <c r="B163" s="64" t="s">
        <v>2536</v>
      </c>
      <c r="C163" s="220">
        <v>49066</v>
      </c>
      <c r="D163" s="205"/>
      <c r="E163" s="206">
        <v>0.12</v>
      </c>
      <c r="F163" s="218">
        <f t="shared" si="2"/>
        <v>49066</v>
      </c>
      <c r="H163" t="e">
        <f ca="1">_xlfn.XLOOKUP(A163,Hoja1!A:A,Hoja1!G:G,0,0)</f>
        <v>#NAME?</v>
      </c>
    </row>
    <row r="164" spans="1:8" x14ac:dyDescent="0.25">
      <c r="A164" s="64" t="s">
        <v>2537</v>
      </c>
      <c r="B164" s="64" t="s">
        <v>2538</v>
      </c>
      <c r="C164" s="220">
        <v>48980</v>
      </c>
      <c r="D164" s="205"/>
      <c r="E164" s="206">
        <v>0.12</v>
      </c>
      <c r="F164" s="218">
        <f t="shared" si="2"/>
        <v>48980</v>
      </c>
      <c r="H164" t="e">
        <f ca="1">_xlfn.XLOOKUP(A164,Hoja1!A:A,Hoja1!G:G,0,0)</f>
        <v>#NAME?</v>
      </c>
    </row>
    <row r="165" spans="1:8" x14ac:dyDescent="0.25">
      <c r="A165" s="64" t="s">
        <v>436</v>
      </c>
      <c r="B165" s="64" t="s">
        <v>1325</v>
      </c>
      <c r="C165" s="220">
        <v>13086</v>
      </c>
      <c r="D165" s="205"/>
      <c r="E165" s="206">
        <v>0.12</v>
      </c>
      <c r="F165" s="218">
        <f t="shared" si="2"/>
        <v>13086</v>
      </c>
      <c r="H165" t="e">
        <f ca="1">_xlfn.XLOOKUP(A165,Hoja1!A:A,Hoja1!G:G,0,0)</f>
        <v>#NAME?</v>
      </c>
    </row>
    <row r="166" spans="1:8" x14ac:dyDescent="0.25">
      <c r="A166" s="64" t="s">
        <v>438</v>
      </c>
      <c r="B166" s="64" t="s">
        <v>1326</v>
      </c>
      <c r="C166" s="220">
        <v>16171</v>
      </c>
      <c r="D166" s="205"/>
      <c r="E166" s="206">
        <v>0.12</v>
      </c>
      <c r="F166" s="218">
        <f t="shared" si="2"/>
        <v>16171</v>
      </c>
      <c r="H166" t="e">
        <f ca="1">_xlfn.XLOOKUP(A166,Hoja1!A:A,Hoja1!G:G,0,0)</f>
        <v>#NAME?</v>
      </c>
    </row>
    <row r="167" spans="1:8" x14ac:dyDescent="0.25">
      <c r="A167" s="64" t="s">
        <v>440</v>
      </c>
      <c r="B167" s="64" t="s">
        <v>1327</v>
      </c>
      <c r="C167" s="220">
        <v>18876</v>
      </c>
      <c r="D167" s="205"/>
      <c r="E167" s="206">
        <v>0.12</v>
      </c>
      <c r="F167" s="218">
        <f t="shared" si="2"/>
        <v>18876</v>
      </c>
      <c r="H167" t="e">
        <f ca="1">_xlfn.XLOOKUP(A167,Hoja1!A:A,Hoja1!G:G,0,0)</f>
        <v>#NAME?</v>
      </c>
    </row>
    <row r="168" spans="1:8" x14ac:dyDescent="0.25">
      <c r="A168" s="64" t="s">
        <v>442</v>
      </c>
      <c r="B168" s="64" t="s">
        <v>1334</v>
      </c>
      <c r="C168" s="220">
        <v>22833</v>
      </c>
      <c r="D168" s="205"/>
      <c r="E168" s="206">
        <v>0.12</v>
      </c>
      <c r="F168" s="218">
        <f t="shared" si="2"/>
        <v>22833</v>
      </c>
      <c r="H168" t="e">
        <f ca="1">_xlfn.XLOOKUP(A168,Hoja1!A:A,Hoja1!G:G,0,0)</f>
        <v>#NAME?</v>
      </c>
    </row>
    <row r="169" spans="1:8" x14ac:dyDescent="0.25">
      <c r="A169" s="64" t="s">
        <v>443</v>
      </c>
      <c r="B169" s="64" t="s">
        <v>1335</v>
      </c>
      <c r="C169" s="220">
        <v>28920</v>
      </c>
      <c r="D169" s="205"/>
      <c r="E169" s="206">
        <v>0.12</v>
      </c>
      <c r="F169" s="218">
        <f t="shared" si="2"/>
        <v>28920</v>
      </c>
      <c r="H169" t="e">
        <f ca="1">_xlfn.XLOOKUP(A169,Hoja1!A:A,Hoja1!G:G,0,0)</f>
        <v>#NAME?</v>
      </c>
    </row>
    <row r="170" spans="1:8" x14ac:dyDescent="0.25">
      <c r="A170" s="64" t="s">
        <v>444</v>
      </c>
      <c r="B170" s="64" t="s">
        <v>1336</v>
      </c>
      <c r="C170" s="220">
        <v>33620</v>
      </c>
      <c r="D170" s="205"/>
      <c r="E170" s="206">
        <v>0.12</v>
      </c>
      <c r="F170" s="218">
        <f t="shared" si="2"/>
        <v>33620</v>
      </c>
      <c r="H170" t="e">
        <f ca="1">_xlfn.XLOOKUP(A170,Hoja1!A:A,Hoja1!G:G,0,0)</f>
        <v>#NAME?</v>
      </c>
    </row>
    <row r="171" spans="1:8" x14ac:dyDescent="0.25">
      <c r="A171" s="64" t="s">
        <v>1337</v>
      </c>
      <c r="B171" s="64" t="s">
        <v>1338</v>
      </c>
      <c r="C171" s="220">
        <v>108625</v>
      </c>
      <c r="D171" s="205"/>
      <c r="E171" s="206">
        <v>0.12</v>
      </c>
      <c r="F171" s="218">
        <f t="shared" si="2"/>
        <v>108625</v>
      </c>
      <c r="H171" t="e">
        <f ca="1">_xlfn.XLOOKUP(A171,Hoja1!A:A,Hoja1!G:G,0,0)</f>
        <v>#NAME?</v>
      </c>
    </row>
    <row r="172" spans="1:8" x14ac:dyDescent="0.25">
      <c r="A172" s="64" t="s">
        <v>1339</v>
      </c>
      <c r="B172" s="64" t="s">
        <v>1340</v>
      </c>
      <c r="C172" s="220">
        <v>139818</v>
      </c>
      <c r="D172" s="205"/>
      <c r="E172" s="206">
        <v>0.12</v>
      </c>
      <c r="F172" s="218">
        <f t="shared" si="2"/>
        <v>139818</v>
      </c>
      <c r="H172" t="e">
        <f ca="1">_xlfn.XLOOKUP(A172,Hoja1!A:A,Hoja1!G:G,0,0)</f>
        <v>#NAME?</v>
      </c>
    </row>
    <row r="173" spans="1:8" x14ac:dyDescent="0.25">
      <c r="A173" s="64" t="s">
        <v>1341</v>
      </c>
      <c r="B173" s="64" t="s">
        <v>1342</v>
      </c>
      <c r="C173" s="220">
        <v>161839</v>
      </c>
      <c r="D173" s="205"/>
      <c r="E173" s="206">
        <v>0.12</v>
      </c>
      <c r="F173" s="218">
        <f t="shared" si="2"/>
        <v>161839</v>
      </c>
      <c r="H173" t="e">
        <f ca="1">_xlfn.XLOOKUP(A173,Hoja1!A:A,Hoja1!G:G,0,0)</f>
        <v>#NAME?</v>
      </c>
    </row>
    <row r="174" spans="1:8" x14ac:dyDescent="0.25">
      <c r="A174" s="64" t="s">
        <v>1343</v>
      </c>
      <c r="B174" s="64" t="s">
        <v>1344</v>
      </c>
      <c r="C174" s="220">
        <v>259863</v>
      </c>
      <c r="D174" s="205"/>
      <c r="E174" s="206">
        <v>0.12</v>
      </c>
      <c r="F174" s="218">
        <f t="shared" si="2"/>
        <v>259863</v>
      </c>
      <c r="H174" t="e">
        <f ca="1">_xlfn.XLOOKUP(A174,Hoja1!A:A,Hoja1!G:G,0,0)</f>
        <v>#NAME?</v>
      </c>
    </row>
    <row r="175" spans="1:8" x14ac:dyDescent="0.25">
      <c r="A175" s="64" t="s">
        <v>1345</v>
      </c>
      <c r="B175" s="64" t="s">
        <v>1346</v>
      </c>
      <c r="C175" s="220">
        <v>259863</v>
      </c>
      <c r="D175" s="205"/>
      <c r="E175" s="206">
        <v>0.12</v>
      </c>
      <c r="F175" s="218">
        <f t="shared" si="2"/>
        <v>259863</v>
      </c>
      <c r="H175" t="e">
        <f ca="1">_xlfn.XLOOKUP(A175,Hoja1!A:A,Hoja1!G:G,0,0)</f>
        <v>#NAME?</v>
      </c>
    </row>
    <row r="176" spans="1:8" x14ac:dyDescent="0.25">
      <c r="A176" s="64" t="s">
        <v>1347</v>
      </c>
      <c r="B176" s="64" t="s">
        <v>1348</v>
      </c>
      <c r="C176" s="220">
        <v>329296</v>
      </c>
      <c r="D176" s="205"/>
      <c r="E176" s="206">
        <v>0.12</v>
      </c>
      <c r="F176" s="218">
        <f t="shared" si="2"/>
        <v>329296</v>
      </c>
      <c r="H176" t="e">
        <f ca="1">_xlfn.XLOOKUP(A176,Hoja1!A:A,Hoja1!G:G,0,0)</f>
        <v>#NAME?</v>
      </c>
    </row>
    <row r="177" spans="1:8" x14ac:dyDescent="0.25">
      <c r="A177" s="64" t="s">
        <v>1349</v>
      </c>
      <c r="B177" s="64" t="s">
        <v>1350</v>
      </c>
      <c r="C177" s="220">
        <v>329296</v>
      </c>
      <c r="D177" s="205"/>
      <c r="E177" s="206">
        <v>0.12</v>
      </c>
      <c r="F177" s="218">
        <f t="shared" si="2"/>
        <v>329296</v>
      </c>
      <c r="H177" t="e">
        <f ca="1">_xlfn.XLOOKUP(A177,Hoja1!A:A,Hoja1!G:G,0,0)</f>
        <v>#NAME?</v>
      </c>
    </row>
    <row r="178" spans="1:8" x14ac:dyDescent="0.25">
      <c r="A178" s="64" t="s">
        <v>1351</v>
      </c>
      <c r="B178" s="64" t="s">
        <v>1352</v>
      </c>
      <c r="C178" s="220">
        <v>395519</v>
      </c>
      <c r="D178" s="205"/>
      <c r="E178" s="206">
        <v>0.12</v>
      </c>
      <c r="F178" s="218">
        <f t="shared" si="2"/>
        <v>395519</v>
      </c>
      <c r="H178" t="e">
        <f ca="1">_xlfn.XLOOKUP(A178,Hoja1!A:A,Hoja1!G:G,0,0)</f>
        <v>#NAME?</v>
      </c>
    </row>
    <row r="179" spans="1:8" x14ac:dyDescent="0.25">
      <c r="A179" s="64" t="s">
        <v>1353</v>
      </c>
      <c r="B179" s="64" t="s">
        <v>1354</v>
      </c>
      <c r="C179" s="220">
        <v>395519</v>
      </c>
      <c r="D179" s="205"/>
      <c r="E179" s="206">
        <v>0.12</v>
      </c>
      <c r="F179" s="218">
        <f t="shared" si="2"/>
        <v>395519</v>
      </c>
      <c r="H179" t="e">
        <f ca="1">_xlfn.XLOOKUP(A179,Hoja1!A:A,Hoja1!G:G,0,0)</f>
        <v>#NAME?</v>
      </c>
    </row>
    <row r="180" spans="1:8" x14ac:dyDescent="0.25">
      <c r="A180" s="64" t="s">
        <v>445</v>
      </c>
      <c r="B180" s="64" t="s">
        <v>447</v>
      </c>
      <c r="C180" s="220">
        <v>10282</v>
      </c>
      <c r="D180" s="205"/>
      <c r="E180" s="206">
        <v>0.12</v>
      </c>
      <c r="F180" s="218">
        <f t="shared" si="2"/>
        <v>10282</v>
      </c>
      <c r="H180" t="e">
        <f ca="1">_xlfn.XLOOKUP(A180,Hoja1!A:A,Hoja1!G:G,0,0)</f>
        <v>#NAME?</v>
      </c>
    </row>
    <row r="181" spans="1:8" x14ac:dyDescent="0.25">
      <c r="A181" s="64" t="s">
        <v>946</v>
      </c>
      <c r="B181" s="64" t="s">
        <v>957</v>
      </c>
      <c r="C181" s="220">
        <v>12552</v>
      </c>
      <c r="D181" s="205"/>
      <c r="E181" s="206">
        <v>0.12</v>
      </c>
      <c r="F181" s="218">
        <f t="shared" si="2"/>
        <v>12552</v>
      </c>
      <c r="H181" t="e">
        <f ca="1">_xlfn.XLOOKUP(A181,Hoja1!A:A,Hoja1!G:G,0,0)</f>
        <v>#NAME?</v>
      </c>
    </row>
    <row r="182" spans="1:8" x14ac:dyDescent="0.25">
      <c r="A182" s="64" t="s">
        <v>448</v>
      </c>
      <c r="B182" s="64" t="s">
        <v>450</v>
      </c>
      <c r="C182" s="220">
        <v>13316</v>
      </c>
      <c r="D182" s="205"/>
      <c r="E182" s="206">
        <v>0.12</v>
      </c>
      <c r="F182" s="218">
        <f t="shared" si="2"/>
        <v>13316</v>
      </c>
      <c r="H182" t="e">
        <f ca="1">_xlfn.XLOOKUP(A182,Hoja1!A:A,Hoja1!G:G,0,0)</f>
        <v>#NAME?</v>
      </c>
    </row>
    <row r="183" spans="1:8" x14ac:dyDescent="0.25">
      <c r="A183" s="64" t="s">
        <v>948</v>
      </c>
      <c r="B183" s="64" t="s">
        <v>958</v>
      </c>
      <c r="C183" s="220">
        <v>15871</v>
      </c>
      <c r="D183" s="205"/>
      <c r="E183" s="206">
        <v>0.12</v>
      </c>
      <c r="F183" s="218">
        <f t="shared" si="2"/>
        <v>15871</v>
      </c>
      <c r="H183" t="e">
        <f ca="1">_xlfn.XLOOKUP(A183,Hoja1!A:A,Hoja1!G:G,0,0)</f>
        <v>#NAME?</v>
      </c>
    </row>
    <row r="184" spans="1:8" x14ac:dyDescent="0.25">
      <c r="A184" s="64" t="s">
        <v>451</v>
      </c>
      <c r="B184" s="64" t="s">
        <v>453</v>
      </c>
      <c r="C184" s="220">
        <v>5452</v>
      </c>
      <c r="D184" s="205"/>
      <c r="E184" s="206">
        <v>0.12</v>
      </c>
      <c r="F184" s="218">
        <f t="shared" si="2"/>
        <v>5452</v>
      </c>
      <c r="H184" t="e">
        <f ca="1">_xlfn.XLOOKUP(A184,Hoja1!A:A,Hoja1!G:G,0,0)</f>
        <v>#NAME?</v>
      </c>
    </row>
    <row r="185" spans="1:8" x14ac:dyDescent="0.25">
      <c r="A185" s="64" t="s">
        <v>454</v>
      </c>
      <c r="B185" s="64" t="s">
        <v>456</v>
      </c>
      <c r="C185" s="220">
        <v>7077</v>
      </c>
      <c r="D185" s="205"/>
      <c r="E185" s="206">
        <v>0.12</v>
      </c>
      <c r="F185" s="218">
        <f t="shared" si="2"/>
        <v>7077</v>
      </c>
      <c r="H185" t="e">
        <f ca="1">_xlfn.XLOOKUP(A185,Hoja1!A:A,Hoja1!G:G,0,0)</f>
        <v>#NAME?</v>
      </c>
    </row>
    <row r="186" spans="1:8" x14ac:dyDescent="0.25">
      <c r="A186" s="64" t="s">
        <v>950</v>
      </c>
      <c r="B186" s="64" t="s">
        <v>959</v>
      </c>
      <c r="C186" s="220">
        <v>1697</v>
      </c>
      <c r="D186" s="205"/>
      <c r="E186" s="206">
        <v>0.12</v>
      </c>
      <c r="F186" s="218">
        <f t="shared" si="2"/>
        <v>1697</v>
      </c>
      <c r="H186" t="e">
        <f ca="1">_xlfn.XLOOKUP(A186,Hoja1!A:A,Hoja1!G:G,0,0)</f>
        <v>#NAME?</v>
      </c>
    </row>
    <row r="187" spans="1:8" x14ac:dyDescent="0.25">
      <c r="A187" s="64" t="s">
        <v>952</v>
      </c>
      <c r="B187" s="64" t="s">
        <v>960</v>
      </c>
      <c r="C187" s="220">
        <v>2763</v>
      </c>
      <c r="D187" s="205"/>
      <c r="E187" s="206">
        <v>0.12</v>
      </c>
      <c r="F187" s="218">
        <f t="shared" si="2"/>
        <v>2763</v>
      </c>
      <c r="H187" t="e">
        <f ca="1">_xlfn.XLOOKUP(A187,Hoja1!A:A,Hoja1!G:G,0,0)</f>
        <v>#NAME?</v>
      </c>
    </row>
    <row r="188" spans="1:8" x14ac:dyDescent="0.25">
      <c r="A188" s="64" t="s">
        <v>1359</v>
      </c>
      <c r="B188" s="64" t="s">
        <v>1360</v>
      </c>
      <c r="C188" s="220">
        <v>18005</v>
      </c>
      <c r="D188" s="205"/>
      <c r="E188" s="206">
        <v>0.12</v>
      </c>
      <c r="F188" s="218">
        <f t="shared" si="2"/>
        <v>18005</v>
      </c>
      <c r="H188" t="e">
        <f ca="1">_xlfn.XLOOKUP(A188,Hoja1!A:A,Hoja1!G:G,0,0)</f>
        <v>#NAME?</v>
      </c>
    </row>
    <row r="189" spans="1:8" x14ac:dyDescent="0.25">
      <c r="A189" s="64" t="s">
        <v>1361</v>
      </c>
      <c r="B189" s="64" t="s">
        <v>1362</v>
      </c>
      <c r="C189" s="220">
        <v>42142</v>
      </c>
      <c r="D189" s="205"/>
      <c r="E189" s="206">
        <v>0.12</v>
      </c>
      <c r="F189" s="218">
        <f t="shared" si="2"/>
        <v>42142</v>
      </c>
      <c r="H189" t="e">
        <f ca="1">_xlfn.XLOOKUP(A189,Hoja1!A:A,Hoja1!G:G,0,0)</f>
        <v>#NAME?</v>
      </c>
    </row>
    <row r="190" spans="1:8" x14ac:dyDescent="0.25">
      <c r="A190" s="64" t="s">
        <v>1363</v>
      </c>
      <c r="B190" s="64" t="s">
        <v>1364</v>
      </c>
      <c r="C190" s="220">
        <v>62615</v>
      </c>
      <c r="D190" s="205"/>
      <c r="E190" s="206">
        <v>0.12</v>
      </c>
      <c r="F190" s="218">
        <f t="shared" si="2"/>
        <v>62615</v>
      </c>
      <c r="H190" t="e">
        <f ca="1">_xlfn.XLOOKUP(A190,Hoja1!A:A,Hoja1!G:G,0,0)</f>
        <v>#NAME?</v>
      </c>
    </row>
    <row r="191" spans="1:8" x14ac:dyDescent="0.25">
      <c r="A191" s="64" t="s">
        <v>1365</v>
      </c>
      <c r="B191" s="64" t="s">
        <v>1366</v>
      </c>
      <c r="C191" s="220">
        <v>53759</v>
      </c>
      <c r="D191" s="205"/>
      <c r="E191" s="206">
        <v>0.12</v>
      </c>
      <c r="F191" s="218">
        <f t="shared" si="2"/>
        <v>53759</v>
      </c>
      <c r="H191" t="e">
        <f ca="1">_xlfn.XLOOKUP(A191,Hoja1!A:A,Hoja1!G:G,0,0)</f>
        <v>#NAME?</v>
      </c>
    </row>
    <row r="192" spans="1:8" x14ac:dyDescent="0.25">
      <c r="A192" s="64" t="s">
        <v>1367</v>
      </c>
      <c r="B192" s="64" t="s">
        <v>1368</v>
      </c>
      <c r="C192" s="220">
        <v>85972</v>
      </c>
      <c r="D192" s="205"/>
      <c r="E192" s="206">
        <v>0.12</v>
      </c>
      <c r="F192" s="218">
        <f t="shared" si="2"/>
        <v>85972</v>
      </c>
      <c r="H192" t="e">
        <f ca="1">_xlfn.XLOOKUP(A192,Hoja1!A:A,Hoja1!G:G,0,0)</f>
        <v>#NAME?</v>
      </c>
    </row>
    <row r="193" spans="1:8" x14ac:dyDescent="0.25">
      <c r="A193" s="64" t="s">
        <v>21</v>
      </c>
      <c r="B193" s="64" t="s">
        <v>1369</v>
      </c>
      <c r="C193" s="220">
        <v>52040</v>
      </c>
      <c r="D193" s="205"/>
      <c r="E193" s="206">
        <v>0.12</v>
      </c>
      <c r="F193" s="218">
        <f t="shared" si="2"/>
        <v>52040</v>
      </c>
      <c r="H193" t="e">
        <f ca="1">_xlfn.XLOOKUP(A193,Hoja1!A:A,Hoja1!G:G,0,0)</f>
        <v>#NAME?</v>
      </c>
    </row>
    <row r="194" spans="1:8" x14ac:dyDescent="0.25">
      <c r="A194" s="64" t="s">
        <v>22</v>
      </c>
      <c r="B194" s="64" t="s">
        <v>2539</v>
      </c>
      <c r="C194" s="220">
        <v>39300</v>
      </c>
      <c r="D194" s="205"/>
      <c r="E194" s="206">
        <v>0.12</v>
      </c>
      <c r="F194" s="218">
        <f t="shared" si="2"/>
        <v>39300</v>
      </c>
      <c r="H194" t="e">
        <f ca="1">_xlfn.XLOOKUP(A194,Hoja1!A:A,Hoja1!G:G,0,0)</f>
        <v>#NAME?</v>
      </c>
    </row>
    <row r="195" spans="1:8" x14ac:dyDescent="0.25">
      <c r="A195" s="64" t="s">
        <v>23</v>
      </c>
      <c r="B195" s="64" t="s">
        <v>2540</v>
      </c>
      <c r="C195" s="220">
        <v>52858</v>
      </c>
      <c r="D195" s="205"/>
      <c r="E195" s="206">
        <v>0.12</v>
      </c>
      <c r="F195" s="218">
        <f t="shared" ref="F195:F258" si="3">ROUND(C195,0)</f>
        <v>52858</v>
      </c>
      <c r="H195" t="e">
        <f ca="1">_xlfn.XLOOKUP(A195,Hoja1!A:A,Hoja1!G:G,0,0)</f>
        <v>#NAME?</v>
      </c>
    </row>
    <row r="196" spans="1:8" x14ac:dyDescent="0.25">
      <c r="A196" s="64" t="s">
        <v>1372</v>
      </c>
      <c r="B196" s="64" t="s">
        <v>1373</v>
      </c>
      <c r="C196" s="220">
        <v>51799</v>
      </c>
      <c r="D196" s="205"/>
      <c r="E196" s="206">
        <v>0.12</v>
      </c>
      <c r="F196" s="218">
        <f t="shared" si="3"/>
        <v>51799</v>
      </c>
      <c r="H196" t="e">
        <f ca="1">_xlfn.XLOOKUP(A196,Hoja1!A:A,Hoja1!G:G,0,0)</f>
        <v>#NAME?</v>
      </c>
    </row>
    <row r="197" spans="1:8" x14ac:dyDescent="0.25">
      <c r="A197" s="64" t="s">
        <v>1374</v>
      </c>
      <c r="B197" s="64" t="s">
        <v>1375</v>
      </c>
      <c r="C197" s="220">
        <v>40258</v>
      </c>
      <c r="D197" s="205"/>
      <c r="E197" s="206">
        <v>0.12</v>
      </c>
      <c r="F197" s="218">
        <f t="shared" si="3"/>
        <v>40258</v>
      </c>
      <c r="H197" t="e">
        <f ca="1">_xlfn.XLOOKUP(A197,Hoja1!A:A,Hoja1!G:G,0,0)</f>
        <v>#NAME?</v>
      </c>
    </row>
    <row r="198" spans="1:8" x14ac:dyDescent="0.25">
      <c r="A198" s="64" t="s">
        <v>1376</v>
      </c>
      <c r="B198" s="64" t="s">
        <v>1377</v>
      </c>
      <c r="C198" s="220">
        <v>54843</v>
      </c>
      <c r="D198" s="205"/>
      <c r="E198" s="206">
        <v>0.10000000000000009</v>
      </c>
      <c r="F198" s="218">
        <f t="shared" si="3"/>
        <v>54843</v>
      </c>
      <c r="H198" t="e">
        <f ca="1">_xlfn.XLOOKUP(A198,Hoja1!A:A,Hoja1!G:G,0,0)</f>
        <v>#NAME?</v>
      </c>
    </row>
    <row r="199" spans="1:8" x14ac:dyDescent="0.25">
      <c r="A199" s="64" t="s">
        <v>1378</v>
      </c>
      <c r="B199" s="64" t="s">
        <v>1379</v>
      </c>
      <c r="C199" s="220">
        <v>54482</v>
      </c>
      <c r="D199" s="205"/>
      <c r="E199" s="206">
        <v>0</v>
      </c>
      <c r="F199" s="218">
        <f t="shared" si="3"/>
        <v>54482</v>
      </c>
      <c r="H199" t="e">
        <f ca="1">_xlfn.XLOOKUP(A199,Hoja1!A:A,Hoja1!G:G,0,0)</f>
        <v>#NAME?</v>
      </c>
    </row>
    <row r="200" spans="1:8" x14ac:dyDescent="0.25">
      <c r="A200" s="64" t="s">
        <v>1380</v>
      </c>
      <c r="B200" s="64" t="s">
        <v>2541</v>
      </c>
      <c r="C200" s="220">
        <v>42000</v>
      </c>
      <c r="D200" s="205"/>
      <c r="E200" s="206">
        <v>0</v>
      </c>
      <c r="F200" s="218">
        <f t="shared" si="3"/>
        <v>42000</v>
      </c>
      <c r="H200" t="e">
        <f ca="1">_xlfn.XLOOKUP(A200,Hoja1!A:A,Hoja1!G:G,0,0)</f>
        <v>#NAME?</v>
      </c>
    </row>
    <row r="201" spans="1:8" x14ac:dyDescent="0.25">
      <c r="A201" s="64" t="s">
        <v>1382</v>
      </c>
      <c r="B201" s="64" t="s">
        <v>2542</v>
      </c>
      <c r="C201" s="220">
        <v>58171</v>
      </c>
      <c r="D201" s="205"/>
      <c r="E201" s="206">
        <v>0</v>
      </c>
      <c r="F201" s="218">
        <f t="shared" si="3"/>
        <v>58171</v>
      </c>
      <c r="H201" t="e">
        <f ca="1">_xlfn.XLOOKUP(A201,Hoja1!A:A,Hoja1!G:G,0,0)</f>
        <v>#NAME?</v>
      </c>
    </row>
    <row r="202" spans="1:8" x14ac:dyDescent="0.25">
      <c r="A202" s="64" t="s">
        <v>1384</v>
      </c>
      <c r="B202" s="64" t="s">
        <v>2543</v>
      </c>
      <c r="C202" s="220">
        <v>51454</v>
      </c>
      <c r="D202" s="205"/>
      <c r="E202" s="206">
        <v>0</v>
      </c>
      <c r="F202" s="218">
        <f t="shared" si="3"/>
        <v>51454</v>
      </c>
      <c r="H202" t="e">
        <f ca="1">_xlfn.XLOOKUP(A202,Hoja1!A:A,Hoja1!G:G,0,0)</f>
        <v>#NAME?</v>
      </c>
    </row>
    <row r="203" spans="1:8" x14ac:dyDescent="0.25">
      <c r="A203" s="64" t="s">
        <v>1386</v>
      </c>
      <c r="B203" s="64" t="s">
        <v>2544</v>
      </c>
      <c r="C203" s="220">
        <v>39665</v>
      </c>
      <c r="D203" s="205"/>
      <c r="E203" s="206">
        <v>0</v>
      </c>
      <c r="F203" s="218">
        <f t="shared" si="3"/>
        <v>39665</v>
      </c>
      <c r="H203" t="e">
        <f ca="1">_xlfn.XLOOKUP(A203,Hoja1!A:A,Hoja1!G:G,0,0)</f>
        <v>#NAME?</v>
      </c>
    </row>
    <row r="204" spans="1:8" x14ac:dyDescent="0.25">
      <c r="A204" s="64" t="s">
        <v>1388</v>
      </c>
      <c r="B204" s="64" t="s">
        <v>2545</v>
      </c>
      <c r="C204" s="220">
        <v>55528</v>
      </c>
      <c r="D204" s="205"/>
      <c r="E204" s="206">
        <v>0</v>
      </c>
      <c r="F204" s="218">
        <f t="shared" si="3"/>
        <v>55528</v>
      </c>
      <c r="H204" t="e">
        <f ca="1">_xlfn.XLOOKUP(A204,Hoja1!A:A,Hoja1!G:G,0,0)</f>
        <v>#NAME?</v>
      </c>
    </row>
    <row r="205" spans="1:8" x14ac:dyDescent="0.25">
      <c r="A205" s="64" t="s">
        <v>24</v>
      </c>
      <c r="B205" s="64" t="s">
        <v>2546</v>
      </c>
      <c r="C205" s="220">
        <v>47057</v>
      </c>
      <c r="D205" s="205"/>
      <c r="E205" s="206">
        <v>0</v>
      </c>
      <c r="F205" s="218">
        <f t="shared" si="3"/>
        <v>47057</v>
      </c>
      <c r="H205" t="e">
        <f ca="1">_xlfn.XLOOKUP(A205,Hoja1!A:A,Hoja1!G:G,0,0)</f>
        <v>#NAME?</v>
      </c>
    </row>
    <row r="206" spans="1:8" x14ac:dyDescent="0.25">
      <c r="A206" s="64" t="s">
        <v>1397</v>
      </c>
      <c r="B206" s="64" t="s">
        <v>2547</v>
      </c>
      <c r="C206" s="220">
        <v>47447</v>
      </c>
      <c r="D206" s="205"/>
      <c r="E206" s="206">
        <v>0</v>
      </c>
      <c r="F206" s="218">
        <f t="shared" si="3"/>
        <v>47447</v>
      </c>
      <c r="H206" t="e">
        <f ca="1">_xlfn.XLOOKUP(A206,Hoja1!A:A,Hoja1!G:G,0,0)</f>
        <v>#NAME?</v>
      </c>
    </row>
    <row r="207" spans="1:8" x14ac:dyDescent="0.25">
      <c r="A207" s="64" t="s">
        <v>1399</v>
      </c>
      <c r="B207" s="64" t="s">
        <v>1400</v>
      </c>
      <c r="C207" s="220">
        <v>40904</v>
      </c>
      <c r="D207" s="205"/>
      <c r="E207" s="206">
        <v>0</v>
      </c>
      <c r="F207" s="218">
        <f t="shared" si="3"/>
        <v>40904</v>
      </c>
      <c r="H207" t="e">
        <f ca="1">_xlfn.XLOOKUP(A207,Hoja1!A:A,Hoja1!G:G,0,0)</f>
        <v>#NAME?</v>
      </c>
    </row>
    <row r="208" spans="1:8" x14ac:dyDescent="0.25">
      <c r="A208" s="64" t="s">
        <v>1401</v>
      </c>
      <c r="B208" s="64" t="s">
        <v>1402</v>
      </c>
      <c r="C208" s="220">
        <v>78938</v>
      </c>
      <c r="D208" s="205"/>
      <c r="E208" s="206">
        <v>0</v>
      </c>
      <c r="F208" s="218">
        <f t="shared" si="3"/>
        <v>78938</v>
      </c>
      <c r="H208" t="e">
        <f ca="1">_xlfn.XLOOKUP(A208,Hoja1!A:A,Hoja1!G:G,0,0)</f>
        <v>#NAME?</v>
      </c>
    </row>
    <row r="209" spans="1:8" x14ac:dyDescent="0.25">
      <c r="A209" s="64" t="s">
        <v>1403</v>
      </c>
      <c r="B209" s="64" t="s">
        <v>2548</v>
      </c>
      <c r="C209" s="220">
        <v>48189</v>
      </c>
      <c r="D209" s="205"/>
      <c r="E209" s="206">
        <v>0</v>
      </c>
      <c r="F209" s="218">
        <f t="shared" si="3"/>
        <v>48189</v>
      </c>
      <c r="H209" t="e">
        <f ca="1">_xlfn.XLOOKUP(A209,Hoja1!A:A,Hoja1!G:G,0,0)</f>
        <v>#NAME?</v>
      </c>
    </row>
    <row r="210" spans="1:8" x14ac:dyDescent="0.25">
      <c r="A210" s="64" t="s">
        <v>1405</v>
      </c>
      <c r="B210" s="64" t="s">
        <v>2549</v>
      </c>
      <c r="C210" s="220">
        <v>54372</v>
      </c>
      <c r="D210" s="205"/>
      <c r="E210" s="206">
        <v>0</v>
      </c>
      <c r="F210" s="218">
        <f t="shared" si="3"/>
        <v>54372</v>
      </c>
      <c r="H210" t="e">
        <f ca="1">_xlfn.XLOOKUP(A210,Hoja1!A:A,Hoja1!G:G,0,0)</f>
        <v>#NAME?</v>
      </c>
    </row>
    <row r="211" spans="1:8" x14ac:dyDescent="0.25">
      <c r="A211" s="64" t="s">
        <v>1407</v>
      </c>
      <c r="B211" s="64" t="s">
        <v>2550</v>
      </c>
      <c r="C211" s="220">
        <v>50871</v>
      </c>
      <c r="D211" s="205"/>
      <c r="E211" s="206">
        <v>0</v>
      </c>
      <c r="F211" s="218">
        <f t="shared" si="3"/>
        <v>50871</v>
      </c>
      <c r="H211" t="e">
        <f ca="1">_xlfn.XLOOKUP(A211,Hoja1!A:A,Hoja1!G:G,0,0)</f>
        <v>#NAME?</v>
      </c>
    </row>
    <row r="212" spans="1:8" x14ac:dyDescent="0.25">
      <c r="A212" s="64" t="s">
        <v>1409</v>
      </c>
      <c r="B212" s="64" t="s">
        <v>2551</v>
      </c>
      <c r="C212" s="220">
        <v>74482</v>
      </c>
      <c r="D212" s="205"/>
      <c r="E212" s="206">
        <v>0</v>
      </c>
      <c r="F212" s="218">
        <f t="shared" si="3"/>
        <v>74482</v>
      </c>
      <c r="H212" t="e">
        <f ca="1">_xlfn.XLOOKUP(A212,Hoja1!A:A,Hoja1!G:G,0,0)</f>
        <v>#NAME?</v>
      </c>
    </row>
    <row r="213" spans="1:8" x14ac:dyDescent="0.25">
      <c r="A213" s="64" t="s">
        <v>1411</v>
      </c>
      <c r="B213" s="64" t="s">
        <v>1412</v>
      </c>
      <c r="C213" s="220">
        <v>60579</v>
      </c>
      <c r="D213" s="205"/>
      <c r="E213" s="206">
        <v>0</v>
      </c>
      <c r="F213" s="218">
        <f t="shared" si="3"/>
        <v>60579</v>
      </c>
      <c r="H213" t="e">
        <f ca="1">_xlfn.XLOOKUP(A213,Hoja1!A:A,Hoja1!G:G,0,0)</f>
        <v>#NAME?</v>
      </c>
    </row>
    <row r="214" spans="1:8" x14ac:dyDescent="0.25">
      <c r="A214" s="64" t="s">
        <v>1413</v>
      </c>
      <c r="B214" s="64" t="s">
        <v>1414</v>
      </c>
      <c r="C214" s="220">
        <v>43766</v>
      </c>
      <c r="D214" s="205"/>
      <c r="E214" s="206">
        <v>0</v>
      </c>
      <c r="F214" s="218">
        <f t="shared" si="3"/>
        <v>43766</v>
      </c>
      <c r="H214" t="e">
        <f ca="1">_xlfn.XLOOKUP(A214,Hoja1!A:A,Hoja1!G:G,0,0)</f>
        <v>#NAME?</v>
      </c>
    </row>
    <row r="215" spans="1:8" x14ac:dyDescent="0.25">
      <c r="A215" s="64" t="s">
        <v>1415</v>
      </c>
      <c r="B215" s="64" t="s">
        <v>2552</v>
      </c>
      <c r="C215" s="220">
        <v>54486</v>
      </c>
      <c r="D215" s="205"/>
      <c r="E215" s="206">
        <v>0</v>
      </c>
      <c r="F215" s="218">
        <f t="shared" si="3"/>
        <v>54486</v>
      </c>
      <c r="H215" t="e">
        <f ca="1">_xlfn.XLOOKUP(A215,Hoja1!A:A,Hoja1!G:G,0,0)</f>
        <v>#NAME?</v>
      </c>
    </row>
    <row r="216" spans="1:8" x14ac:dyDescent="0.25">
      <c r="A216" s="64" t="s">
        <v>1417</v>
      </c>
      <c r="B216" s="64" t="s">
        <v>2553</v>
      </c>
      <c r="C216" s="220">
        <v>74352</v>
      </c>
      <c r="D216" s="205"/>
      <c r="E216" s="206">
        <v>0</v>
      </c>
      <c r="F216" s="218">
        <f t="shared" si="3"/>
        <v>74352</v>
      </c>
      <c r="H216" t="e">
        <f ca="1">_xlfn.XLOOKUP(A216,Hoja1!A:A,Hoja1!G:G,0,0)</f>
        <v>#NAME?</v>
      </c>
    </row>
    <row r="217" spans="1:8" s="3" customFormat="1" x14ac:dyDescent="0.25">
      <c r="A217" s="64" t="s">
        <v>1419</v>
      </c>
      <c r="B217" s="64" t="s">
        <v>2554</v>
      </c>
      <c r="C217" s="220">
        <v>53091</v>
      </c>
      <c r="D217" s="205"/>
      <c r="E217" s="206">
        <v>0.10000000000000009</v>
      </c>
      <c r="F217" s="218">
        <f t="shared" si="3"/>
        <v>53091</v>
      </c>
      <c r="H217" t="e">
        <f ca="1">_xlfn.XLOOKUP(A217,Hoja1!A:A,Hoja1!G:G,0,0)</f>
        <v>#NAME?</v>
      </c>
    </row>
    <row r="218" spans="1:8" x14ac:dyDescent="0.25">
      <c r="A218" s="64" t="s">
        <v>1421</v>
      </c>
      <c r="B218" s="64" t="s">
        <v>2555</v>
      </c>
      <c r="C218" s="220">
        <v>84316</v>
      </c>
      <c r="D218" s="205"/>
      <c r="E218" s="206">
        <v>5.0000000000000044E-2</v>
      </c>
      <c r="F218" s="218">
        <f t="shared" si="3"/>
        <v>84316</v>
      </c>
      <c r="H218" t="e">
        <f ca="1">_xlfn.XLOOKUP(A218,Hoja1!A:A,Hoja1!G:G,0,0)</f>
        <v>#NAME?</v>
      </c>
    </row>
    <row r="219" spans="1:8" x14ac:dyDescent="0.25">
      <c r="A219" s="64" t="s">
        <v>1423</v>
      </c>
      <c r="B219" s="64" t="s">
        <v>1424</v>
      </c>
      <c r="C219" s="220">
        <v>36039</v>
      </c>
      <c r="D219" s="205"/>
      <c r="E219" s="206">
        <v>0</v>
      </c>
      <c r="F219" s="218">
        <f t="shared" si="3"/>
        <v>36039</v>
      </c>
      <c r="H219" t="e">
        <f ca="1">_xlfn.XLOOKUP(A219,Hoja1!A:A,Hoja1!G:G,0,0)</f>
        <v>#NAME?</v>
      </c>
    </row>
    <row r="220" spans="1:8" x14ac:dyDescent="0.25">
      <c r="A220" s="64" t="s">
        <v>865</v>
      </c>
      <c r="B220" s="64" t="s">
        <v>1425</v>
      </c>
      <c r="C220" s="220">
        <v>33143</v>
      </c>
      <c r="D220" s="205"/>
      <c r="E220" s="206">
        <v>0</v>
      </c>
      <c r="F220" s="218">
        <f t="shared" si="3"/>
        <v>33143</v>
      </c>
      <c r="H220" t="e">
        <f ca="1">_xlfn.XLOOKUP(A220,Hoja1!A:A,Hoja1!G:G,0,0)</f>
        <v>#NAME?</v>
      </c>
    </row>
    <row r="221" spans="1:8" x14ac:dyDescent="0.25">
      <c r="A221" s="64" t="s">
        <v>866</v>
      </c>
      <c r="B221" s="64" t="s">
        <v>1426</v>
      </c>
      <c r="C221" s="220">
        <v>20454</v>
      </c>
      <c r="D221" s="205"/>
      <c r="E221" s="206">
        <v>0</v>
      </c>
      <c r="F221" s="218">
        <f t="shared" si="3"/>
        <v>20454</v>
      </c>
      <c r="H221" t="e">
        <f ca="1">_xlfn.XLOOKUP(A221,Hoja1!A:A,Hoja1!G:G,0,0)</f>
        <v>#NAME?</v>
      </c>
    </row>
    <row r="222" spans="1:8" x14ac:dyDescent="0.25">
      <c r="A222" s="64" t="s">
        <v>867</v>
      </c>
      <c r="B222" s="64" t="s">
        <v>1427</v>
      </c>
      <c r="C222" s="220">
        <v>25667</v>
      </c>
      <c r="D222" s="205"/>
      <c r="E222" s="206">
        <v>0</v>
      </c>
      <c r="F222" s="218">
        <f t="shared" si="3"/>
        <v>25667</v>
      </c>
      <c r="H222" t="e">
        <f ca="1">_xlfn.XLOOKUP(A222,Hoja1!A:A,Hoja1!G:G,0,0)</f>
        <v>#NAME?</v>
      </c>
    </row>
    <row r="223" spans="1:8" x14ac:dyDescent="0.25">
      <c r="A223" s="64" t="s">
        <v>868</v>
      </c>
      <c r="B223" s="64" t="s">
        <v>1428</v>
      </c>
      <c r="C223" s="220">
        <v>35844</v>
      </c>
      <c r="D223" s="205"/>
      <c r="E223" s="206">
        <v>0</v>
      </c>
      <c r="F223" s="218">
        <f t="shared" si="3"/>
        <v>35844</v>
      </c>
      <c r="H223" t="e">
        <f ca="1">_xlfn.XLOOKUP(A223,Hoja1!A:A,Hoja1!G:G,0,0)</f>
        <v>#NAME?</v>
      </c>
    </row>
    <row r="224" spans="1:8" x14ac:dyDescent="0.25">
      <c r="A224" s="64" t="s">
        <v>869</v>
      </c>
      <c r="B224" s="64" t="s">
        <v>1429</v>
      </c>
      <c r="C224" s="220">
        <v>24612</v>
      </c>
      <c r="D224" s="205"/>
      <c r="E224" s="206">
        <v>0</v>
      </c>
      <c r="F224" s="218">
        <f t="shared" si="3"/>
        <v>24612</v>
      </c>
      <c r="H224" t="e">
        <f ca="1">_xlfn.XLOOKUP(A224,Hoja1!A:A,Hoja1!G:G,0,0)</f>
        <v>#NAME?</v>
      </c>
    </row>
    <row r="225" spans="1:8" x14ac:dyDescent="0.25">
      <c r="A225" s="64" t="s">
        <v>870</v>
      </c>
      <c r="B225" s="64" t="s">
        <v>1430</v>
      </c>
      <c r="C225" s="220">
        <v>14515</v>
      </c>
      <c r="D225" s="205"/>
      <c r="E225" s="206">
        <v>0</v>
      </c>
      <c r="F225" s="218">
        <f t="shared" si="3"/>
        <v>14515</v>
      </c>
      <c r="H225" t="e">
        <f ca="1">_xlfn.XLOOKUP(A225,Hoja1!A:A,Hoja1!G:G,0,0)</f>
        <v>#NAME?</v>
      </c>
    </row>
    <row r="226" spans="1:8" x14ac:dyDescent="0.25">
      <c r="A226" s="64" t="s">
        <v>871</v>
      </c>
      <c r="B226" s="64" t="s">
        <v>1431</v>
      </c>
      <c r="C226" s="220">
        <v>18632</v>
      </c>
      <c r="D226" s="205"/>
      <c r="E226" s="206">
        <v>0</v>
      </c>
      <c r="F226" s="218">
        <f t="shared" si="3"/>
        <v>18632</v>
      </c>
      <c r="H226" t="e">
        <f ca="1">_xlfn.XLOOKUP(A226,Hoja1!A:A,Hoja1!G:G,0,0)</f>
        <v>#NAME?</v>
      </c>
    </row>
    <row r="227" spans="1:8" s="3" customFormat="1" x14ac:dyDescent="0.25">
      <c r="A227" s="64" t="s">
        <v>872</v>
      </c>
      <c r="B227" s="64" t="s">
        <v>1432</v>
      </c>
      <c r="C227" s="220">
        <v>26151</v>
      </c>
      <c r="D227" s="205"/>
      <c r="E227" s="206">
        <v>0</v>
      </c>
      <c r="F227" s="218">
        <f t="shared" si="3"/>
        <v>26151</v>
      </c>
      <c r="H227" t="e">
        <f ca="1">_xlfn.XLOOKUP(A227,Hoja1!A:A,Hoja1!G:G,0,0)</f>
        <v>#NAME?</v>
      </c>
    </row>
    <row r="228" spans="1:8" x14ac:dyDescent="0.25">
      <c r="A228" s="64" t="s">
        <v>873</v>
      </c>
      <c r="B228" s="64" t="s">
        <v>1433</v>
      </c>
      <c r="C228" s="220">
        <v>18424</v>
      </c>
      <c r="D228" s="205"/>
      <c r="E228" s="206">
        <v>0</v>
      </c>
      <c r="F228" s="218">
        <f t="shared" si="3"/>
        <v>18424</v>
      </c>
      <c r="H228" t="e">
        <f ca="1">_xlfn.XLOOKUP(A228,Hoja1!A:A,Hoja1!G:G,0,0)</f>
        <v>#NAME?</v>
      </c>
    </row>
    <row r="229" spans="1:8" x14ac:dyDescent="0.25">
      <c r="A229" s="64" t="s">
        <v>874</v>
      </c>
      <c r="B229" s="64" t="s">
        <v>1434</v>
      </c>
      <c r="C229" s="220">
        <v>30426</v>
      </c>
      <c r="D229" s="205"/>
      <c r="E229" s="206">
        <v>0</v>
      </c>
      <c r="F229" s="218">
        <f t="shared" si="3"/>
        <v>30426</v>
      </c>
      <c r="H229" t="e">
        <f ca="1">_xlfn.XLOOKUP(A229,Hoja1!A:A,Hoja1!G:G,0,0)</f>
        <v>#NAME?</v>
      </c>
    </row>
    <row r="230" spans="1:8" x14ac:dyDescent="0.25">
      <c r="A230" s="64" t="s">
        <v>25</v>
      </c>
      <c r="B230" s="64" t="s">
        <v>1435</v>
      </c>
      <c r="C230" s="220">
        <v>30380</v>
      </c>
      <c r="D230" s="205"/>
      <c r="E230" s="206">
        <v>0</v>
      </c>
      <c r="F230" s="218">
        <f t="shared" si="3"/>
        <v>30380</v>
      </c>
      <c r="H230" t="e">
        <f ca="1">_xlfn.XLOOKUP(A230,Hoja1!A:A,Hoja1!G:G,0,0)</f>
        <v>#NAME?</v>
      </c>
    </row>
    <row r="231" spans="1:8" x14ac:dyDescent="0.25">
      <c r="A231" s="64" t="s">
        <v>26</v>
      </c>
      <c r="B231" s="64" t="s">
        <v>1436</v>
      </c>
      <c r="C231" s="220">
        <v>19069</v>
      </c>
      <c r="D231" s="205"/>
      <c r="E231" s="206">
        <v>0</v>
      </c>
      <c r="F231" s="218">
        <f t="shared" si="3"/>
        <v>19069</v>
      </c>
      <c r="H231" t="e">
        <f ca="1">_xlfn.XLOOKUP(A231,Hoja1!A:A,Hoja1!G:G,0,0)</f>
        <v>#NAME?</v>
      </c>
    </row>
    <row r="232" spans="1:8" x14ac:dyDescent="0.25">
      <c r="A232" s="64" t="s">
        <v>27</v>
      </c>
      <c r="B232" s="64" t="s">
        <v>1424</v>
      </c>
      <c r="C232" s="220">
        <v>23168</v>
      </c>
      <c r="D232" s="205"/>
      <c r="E232" s="206">
        <v>0</v>
      </c>
      <c r="F232" s="218">
        <f t="shared" si="3"/>
        <v>23168</v>
      </c>
      <c r="H232" t="e">
        <f ca="1">_xlfn.XLOOKUP(A232,Hoja1!A:A,Hoja1!G:G,0,0)</f>
        <v>#NAME?</v>
      </c>
    </row>
    <row r="233" spans="1:8" x14ac:dyDescent="0.25">
      <c r="A233" s="64" t="s">
        <v>28</v>
      </c>
      <c r="B233" s="64" t="s">
        <v>1437</v>
      </c>
      <c r="C233" s="220">
        <v>32339</v>
      </c>
      <c r="D233" s="205"/>
      <c r="E233" s="206">
        <v>0</v>
      </c>
      <c r="F233" s="218">
        <f t="shared" si="3"/>
        <v>32339</v>
      </c>
      <c r="H233" t="e">
        <f ca="1">_xlfn.XLOOKUP(A233,Hoja1!A:A,Hoja1!G:G,0,0)</f>
        <v>#NAME?</v>
      </c>
    </row>
    <row r="234" spans="1:8" x14ac:dyDescent="0.25">
      <c r="A234" s="64" t="s">
        <v>29</v>
      </c>
      <c r="B234" s="64" t="s">
        <v>1438</v>
      </c>
      <c r="C234" s="220">
        <v>22619</v>
      </c>
      <c r="D234" s="205"/>
      <c r="E234" s="206">
        <v>0</v>
      </c>
      <c r="F234" s="218">
        <f t="shared" si="3"/>
        <v>22619</v>
      </c>
      <c r="H234" t="e">
        <f ca="1">_xlfn.XLOOKUP(A234,Hoja1!A:A,Hoja1!G:G,0,0)</f>
        <v>#NAME?</v>
      </c>
    </row>
    <row r="235" spans="1:8" x14ac:dyDescent="0.25">
      <c r="A235" s="64" t="s">
        <v>30</v>
      </c>
      <c r="B235" s="64" t="s">
        <v>1439</v>
      </c>
      <c r="C235" s="220">
        <v>39417</v>
      </c>
      <c r="D235" s="205"/>
      <c r="E235" s="206">
        <v>0</v>
      </c>
      <c r="F235" s="218">
        <f t="shared" si="3"/>
        <v>39417</v>
      </c>
      <c r="H235" t="e">
        <f ca="1">_xlfn.XLOOKUP(A235,Hoja1!A:A,Hoja1!G:G,0,0)</f>
        <v>#NAME?</v>
      </c>
    </row>
    <row r="236" spans="1:8" x14ac:dyDescent="0.25">
      <c r="A236" s="64" t="s">
        <v>1440</v>
      </c>
      <c r="B236" s="64" t="s">
        <v>1441</v>
      </c>
      <c r="C236" s="220">
        <v>31763</v>
      </c>
      <c r="D236" s="205"/>
      <c r="E236" s="206">
        <v>0</v>
      </c>
      <c r="F236" s="218">
        <f t="shared" si="3"/>
        <v>31763</v>
      </c>
      <c r="H236" t="e">
        <f ca="1">_xlfn.XLOOKUP(A236,Hoja1!A:A,Hoja1!G:G,0,0)</f>
        <v>#NAME?</v>
      </c>
    </row>
    <row r="237" spans="1:8" x14ac:dyDescent="0.25">
      <c r="A237" s="64" t="s">
        <v>1442</v>
      </c>
      <c r="B237" s="64" t="s">
        <v>1443</v>
      </c>
      <c r="C237" s="220">
        <v>24932</v>
      </c>
      <c r="D237" s="205"/>
      <c r="E237" s="206">
        <v>0</v>
      </c>
      <c r="F237" s="218">
        <f t="shared" si="3"/>
        <v>24932</v>
      </c>
      <c r="H237" t="e">
        <f ca="1">_xlfn.XLOOKUP(A237,Hoja1!A:A,Hoja1!G:G,0,0)</f>
        <v>#NAME?</v>
      </c>
    </row>
    <row r="238" spans="1:8" x14ac:dyDescent="0.25">
      <c r="A238" s="64" t="s">
        <v>1444</v>
      </c>
      <c r="B238" s="64" t="s">
        <v>1445</v>
      </c>
      <c r="C238" s="220">
        <v>34715</v>
      </c>
      <c r="D238" s="205"/>
      <c r="E238" s="206">
        <v>0</v>
      </c>
      <c r="F238" s="218">
        <f t="shared" si="3"/>
        <v>34715</v>
      </c>
      <c r="H238" t="e">
        <f ca="1">_xlfn.XLOOKUP(A238,Hoja1!A:A,Hoja1!G:G,0,0)</f>
        <v>#NAME?</v>
      </c>
    </row>
    <row r="239" spans="1:8" x14ac:dyDescent="0.25">
      <c r="A239" s="64" t="s">
        <v>1446</v>
      </c>
      <c r="B239" s="64" t="s">
        <v>1447</v>
      </c>
      <c r="C239" s="220">
        <v>23366</v>
      </c>
      <c r="D239" s="205"/>
      <c r="E239" s="206">
        <v>0</v>
      </c>
      <c r="F239" s="218">
        <f t="shared" si="3"/>
        <v>23366</v>
      </c>
      <c r="H239" t="e">
        <f ca="1">_xlfn.XLOOKUP(A239,Hoja1!A:A,Hoja1!G:G,0,0)</f>
        <v>#NAME?</v>
      </c>
    </row>
    <row r="240" spans="1:8" x14ac:dyDescent="0.25">
      <c r="A240" s="64" t="s">
        <v>31</v>
      </c>
      <c r="B240" s="64" t="s">
        <v>1448</v>
      </c>
      <c r="C240" s="220">
        <v>32984</v>
      </c>
      <c r="D240" s="205"/>
      <c r="E240" s="206">
        <v>0</v>
      </c>
      <c r="F240" s="218">
        <f t="shared" si="3"/>
        <v>32984</v>
      </c>
      <c r="H240" t="e">
        <f ca="1">_xlfn.XLOOKUP(A240,Hoja1!A:A,Hoja1!G:G,0,0)</f>
        <v>#NAME?</v>
      </c>
    </row>
    <row r="241" spans="1:8" x14ac:dyDescent="0.25">
      <c r="A241" s="64" t="s">
        <v>32</v>
      </c>
      <c r="B241" s="64" t="s">
        <v>1449</v>
      </c>
      <c r="C241" s="220">
        <v>25855</v>
      </c>
      <c r="D241" s="205"/>
      <c r="E241" s="206">
        <v>0</v>
      </c>
      <c r="F241" s="218">
        <f t="shared" si="3"/>
        <v>25855</v>
      </c>
      <c r="H241" t="e">
        <f ca="1">_xlfn.XLOOKUP(A241,Hoja1!A:A,Hoja1!G:G,0,0)</f>
        <v>#NAME?</v>
      </c>
    </row>
    <row r="242" spans="1:8" x14ac:dyDescent="0.25">
      <c r="A242" s="64" t="s">
        <v>33</v>
      </c>
      <c r="B242" s="64" t="s">
        <v>1450</v>
      </c>
      <c r="C242" s="220">
        <v>34715</v>
      </c>
      <c r="D242" s="205"/>
      <c r="E242" s="206">
        <v>0</v>
      </c>
      <c r="F242" s="218">
        <f t="shared" si="3"/>
        <v>34715</v>
      </c>
      <c r="H242" t="e">
        <f ca="1">_xlfn.XLOOKUP(A242,Hoja1!A:A,Hoja1!G:G,0,0)</f>
        <v>#NAME?</v>
      </c>
    </row>
    <row r="243" spans="1:8" x14ac:dyDescent="0.25">
      <c r="A243" s="64" t="s">
        <v>1453</v>
      </c>
      <c r="B243" s="64" t="s">
        <v>1454</v>
      </c>
      <c r="C243" s="220">
        <v>31763</v>
      </c>
      <c r="D243" s="205"/>
      <c r="E243" s="206">
        <v>0</v>
      </c>
      <c r="F243" s="218">
        <f t="shared" si="3"/>
        <v>31763</v>
      </c>
      <c r="H243" t="e">
        <f ca="1">_xlfn.XLOOKUP(A243,Hoja1!A:A,Hoja1!G:G,0,0)</f>
        <v>#NAME?</v>
      </c>
    </row>
    <row r="244" spans="1:8" x14ac:dyDescent="0.25">
      <c r="A244" s="64" t="s">
        <v>1455</v>
      </c>
      <c r="B244" s="64" t="s">
        <v>1456</v>
      </c>
      <c r="C244" s="220">
        <v>19738</v>
      </c>
      <c r="D244" s="205"/>
      <c r="E244" s="206">
        <v>0</v>
      </c>
      <c r="F244" s="218">
        <f t="shared" si="3"/>
        <v>19738</v>
      </c>
      <c r="H244" t="e">
        <f ca="1">_xlfn.XLOOKUP(A244,Hoja1!A:A,Hoja1!G:G,0,0)</f>
        <v>#NAME?</v>
      </c>
    </row>
    <row r="245" spans="1:8" x14ac:dyDescent="0.25">
      <c r="A245" s="64" t="s">
        <v>1457</v>
      </c>
      <c r="B245" s="64" t="s">
        <v>1458</v>
      </c>
      <c r="C245" s="220">
        <v>24008</v>
      </c>
      <c r="D245" s="205"/>
      <c r="E245" s="206">
        <v>0</v>
      </c>
      <c r="F245" s="218">
        <f t="shared" si="3"/>
        <v>24008</v>
      </c>
      <c r="H245" t="e">
        <f ca="1">_xlfn.XLOOKUP(A245,Hoja1!A:A,Hoja1!G:G,0,0)</f>
        <v>#NAME?</v>
      </c>
    </row>
    <row r="246" spans="1:8" x14ac:dyDescent="0.25">
      <c r="A246" s="64" t="s">
        <v>1459</v>
      </c>
      <c r="B246" s="64" t="s">
        <v>1460</v>
      </c>
      <c r="C246" s="220">
        <v>33434</v>
      </c>
      <c r="D246" s="205"/>
      <c r="E246" s="206">
        <v>0</v>
      </c>
      <c r="F246" s="218">
        <f t="shared" si="3"/>
        <v>33434</v>
      </c>
      <c r="H246" t="e">
        <f ca="1">_xlfn.XLOOKUP(A246,Hoja1!A:A,Hoja1!G:G,0,0)</f>
        <v>#NAME?</v>
      </c>
    </row>
    <row r="247" spans="1:8" x14ac:dyDescent="0.25">
      <c r="A247" s="64" t="s">
        <v>1465</v>
      </c>
      <c r="B247" s="64" t="s">
        <v>1466</v>
      </c>
      <c r="C247" s="220">
        <v>56994</v>
      </c>
      <c r="D247" s="205"/>
      <c r="E247" s="206">
        <v>0</v>
      </c>
      <c r="F247" s="218">
        <f t="shared" si="3"/>
        <v>56994</v>
      </c>
      <c r="H247" t="e">
        <f ca="1">_xlfn.XLOOKUP(A247,Hoja1!A:A,Hoja1!G:G,0,0)</f>
        <v>#NAME?</v>
      </c>
    </row>
    <row r="248" spans="1:8" x14ac:dyDescent="0.25">
      <c r="A248" s="64" t="s">
        <v>1467</v>
      </c>
      <c r="B248" s="64" t="s">
        <v>1468</v>
      </c>
      <c r="C248" s="220">
        <v>20261</v>
      </c>
      <c r="D248" s="205"/>
      <c r="E248" s="206">
        <v>0</v>
      </c>
      <c r="F248" s="218">
        <f t="shared" si="3"/>
        <v>20261</v>
      </c>
      <c r="H248" t="e">
        <f ca="1">_xlfn.XLOOKUP(A248,Hoja1!A:A,Hoja1!G:G,0,0)</f>
        <v>#NAME?</v>
      </c>
    </row>
    <row r="249" spans="1:8" x14ac:dyDescent="0.25">
      <c r="A249" s="64" t="s">
        <v>34</v>
      </c>
      <c r="B249" s="64" t="s">
        <v>1469</v>
      </c>
      <c r="C249" s="220">
        <v>22854</v>
      </c>
      <c r="D249" s="205"/>
      <c r="E249" s="206">
        <v>0</v>
      </c>
      <c r="F249" s="218">
        <f t="shared" si="3"/>
        <v>22854</v>
      </c>
      <c r="H249" t="e">
        <f ca="1">_xlfn.XLOOKUP(A249,Hoja1!A:A,Hoja1!G:G,0,0)</f>
        <v>#NAME?</v>
      </c>
    </row>
    <row r="250" spans="1:8" x14ac:dyDescent="0.25">
      <c r="A250" s="64" t="s">
        <v>35</v>
      </c>
      <c r="B250" s="64" t="s">
        <v>1470</v>
      </c>
      <c r="C250" s="220">
        <v>28884</v>
      </c>
      <c r="D250" s="205"/>
      <c r="E250" s="206">
        <v>0</v>
      </c>
      <c r="F250" s="218">
        <f t="shared" si="3"/>
        <v>28884</v>
      </c>
      <c r="H250" t="e">
        <f ca="1">_xlfn.XLOOKUP(A250,Hoja1!A:A,Hoja1!G:G,0,0)</f>
        <v>#NAME?</v>
      </c>
    </row>
    <row r="251" spans="1:8" s="3" customFormat="1" x14ac:dyDescent="0.25">
      <c r="A251" s="64" t="s">
        <v>1471</v>
      </c>
      <c r="B251" s="64" t="s">
        <v>1472</v>
      </c>
      <c r="C251" s="220">
        <v>29238</v>
      </c>
      <c r="D251" s="205"/>
      <c r="E251" s="206">
        <v>0</v>
      </c>
      <c r="F251" s="218">
        <f t="shared" si="3"/>
        <v>29238</v>
      </c>
      <c r="H251" t="e">
        <f ca="1">_xlfn.XLOOKUP(A251,Hoja1!A:A,Hoja1!G:G,0,0)</f>
        <v>#NAME?</v>
      </c>
    </row>
    <row r="252" spans="1:8" s="3" customFormat="1" x14ac:dyDescent="0.25">
      <c r="A252" s="64" t="s">
        <v>1473</v>
      </c>
      <c r="B252" s="64" t="s">
        <v>1474</v>
      </c>
      <c r="C252" s="220">
        <v>34704</v>
      </c>
      <c r="D252" s="205"/>
      <c r="E252" s="206">
        <v>0</v>
      </c>
      <c r="F252" s="218">
        <f t="shared" si="3"/>
        <v>34704</v>
      </c>
      <c r="H252" t="e">
        <f ca="1">_xlfn.XLOOKUP(A252,Hoja1!A:A,Hoja1!G:G,0,0)</f>
        <v>#NAME?</v>
      </c>
    </row>
    <row r="253" spans="1:8" s="3" customFormat="1" x14ac:dyDescent="0.25">
      <c r="A253" s="64" t="s">
        <v>1475</v>
      </c>
      <c r="B253" s="64" t="s">
        <v>1476</v>
      </c>
      <c r="C253" s="220">
        <v>61168</v>
      </c>
      <c r="D253" s="205"/>
      <c r="E253" s="206">
        <v>0</v>
      </c>
      <c r="F253" s="218">
        <f t="shared" si="3"/>
        <v>61168</v>
      </c>
      <c r="H253" t="e">
        <f ca="1">_xlfn.XLOOKUP(A253,Hoja1!A:A,Hoja1!G:G,0,0)</f>
        <v>#NAME?</v>
      </c>
    </row>
    <row r="254" spans="1:8" s="3" customFormat="1" x14ac:dyDescent="0.25">
      <c r="A254" s="64" t="s">
        <v>36</v>
      </c>
      <c r="B254" s="64" t="s">
        <v>2556</v>
      </c>
      <c r="C254" s="220">
        <v>28341</v>
      </c>
      <c r="D254" s="205"/>
      <c r="E254" s="206">
        <v>0</v>
      </c>
      <c r="F254" s="218">
        <f t="shared" si="3"/>
        <v>28341</v>
      </c>
      <c r="H254" t="e">
        <f ca="1">_xlfn.XLOOKUP(A254,Hoja1!A:A,Hoja1!G:G,0,0)</f>
        <v>#NAME?</v>
      </c>
    </row>
    <row r="255" spans="1:8" x14ac:dyDescent="0.25">
      <c r="A255" s="64" t="s">
        <v>37</v>
      </c>
      <c r="B255" s="64" t="s">
        <v>1478</v>
      </c>
      <c r="C255" s="220">
        <v>21702</v>
      </c>
      <c r="D255" s="205"/>
      <c r="E255" s="206">
        <v>0</v>
      </c>
      <c r="F255" s="218">
        <f t="shared" si="3"/>
        <v>21702</v>
      </c>
      <c r="H255" t="e">
        <f ca="1">_xlfn.XLOOKUP(A255,Hoja1!A:A,Hoja1!G:G,0,0)</f>
        <v>#NAME?</v>
      </c>
    </row>
    <row r="256" spans="1:8" x14ac:dyDescent="0.25">
      <c r="A256" s="64" t="s">
        <v>38</v>
      </c>
      <c r="B256" s="64" t="s">
        <v>1479</v>
      </c>
      <c r="C256" s="220">
        <v>33447</v>
      </c>
      <c r="D256" s="205"/>
      <c r="E256" s="206">
        <v>0</v>
      </c>
      <c r="F256" s="218">
        <f t="shared" si="3"/>
        <v>33447</v>
      </c>
      <c r="H256" t="e">
        <f ca="1">_xlfn.XLOOKUP(A256,Hoja1!A:A,Hoja1!G:G,0,0)</f>
        <v>#NAME?</v>
      </c>
    </row>
    <row r="257" spans="1:8" x14ac:dyDescent="0.25">
      <c r="A257" s="64" t="s">
        <v>39</v>
      </c>
      <c r="B257" s="64" t="s">
        <v>1480</v>
      </c>
      <c r="C257" s="220">
        <v>26887</v>
      </c>
      <c r="D257" s="205"/>
      <c r="E257" s="206">
        <v>0</v>
      </c>
      <c r="F257" s="218">
        <f t="shared" si="3"/>
        <v>26887</v>
      </c>
      <c r="H257" t="e">
        <f ca="1">_xlfn.XLOOKUP(A257,Hoja1!A:A,Hoja1!G:G,0,0)</f>
        <v>#NAME?</v>
      </c>
    </row>
    <row r="258" spans="1:8" x14ac:dyDescent="0.25">
      <c r="A258" s="64" t="s">
        <v>40</v>
      </c>
      <c r="B258" s="64" t="s">
        <v>1481</v>
      </c>
      <c r="C258" s="220">
        <v>23497</v>
      </c>
      <c r="D258" s="205"/>
      <c r="E258" s="206">
        <v>0</v>
      </c>
      <c r="F258" s="218">
        <f t="shared" si="3"/>
        <v>23497</v>
      </c>
      <c r="H258" t="e">
        <f ca="1">_xlfn.XLOOKUP(A258,Hoja1!A:A,Hoja1!G:G,0,0)</f>
        <v>#NAME?</v>
      </c>
    </row>
    <row r="259" spans="1:8" x14ac:dyDescent="0.25">
      <c r="A259" s="64" t="s">
        <v>41</v>
      </c>
      <c r="B259" s="64" t="s">
        <v>1482</v>
      </c>
      <c r="C259" s="220">
        <v>40482</v>
      </c>
      <c r="D259" s="205"/>
      <c r="E259" s="206">
        <v>0</v>
      </c>
      <c r="F259" s="218">
        <f t="shared" ref="F259:F322" si="4">ROUND(C259,0)</f>
        <v>40482</v>
      </c>
      <c r="H259" t="e">
        <f ca="1">_xlfn.XLOOKUP(A259,Hoja1!A:A,Hoja1!G:G,0,0)</f>
        <v>#NAME?</v>
      </c>
    </row>
    <row r="260" spans="1:8" x14ac:dyDescent="0.25">
      <c r="A260" s="64" t="s">
        <v>42</v>
      </c>
      <c r="B260" s="64" t="s">
        <v>1483</v>
      </c>
      <c r="C260" s="220">
        <v>39215</v>
      </c>
      <c r="D260" s="205"/>
      <c r="E260" s="206">
        <v>0.14999999999999991</v>
      </c>
      <c r="F260" s="218">
        <f t="shared" si="4"/>
        <v>39215</v>
      </c>
      <c r="H260" t="e">
        <f ca="1">_xlfn.XLOOKUP(A260,Hoja1!A:A,Hoja1!G:G,0,0)</f>
        <v>#NAME?</v>
      </c>
    </row>
    <row r="261" spans="1:8" x14ac:dyDescent="0.25">
      <c r="A261" s="64" t="s">
        <v>43</v>
      </c>
      <c r="B261" s="64" t="s">
        <v>1484</v>
      </c>
      <c r="C261" s="220">
        <v>40219</v>
      </c>
      <c r="D261" s="205"/>
      <c r="E261" s="206">
        <v>0.14999999999999991</v>
      </c>
      <c r="F261" s="218">
        <f t="shared" si="4"/>
        <v>40219</v>
      </c>
      <c r="H261" t="e">
        <f ca="1">_xlfn.XLOOKUP(A261,Hoja1!A:A,Hoja1!G:G,0,0)</f>
        <v>#NAME?</v>
      </c>
    </row>
    <row r="262" spans="1:8" x14ac:dyDescent="0.25">
      <c r="A262" s="64" t="s">
        <v>44</v>
      </c>
      <c r="B262" s="64" t="s">
        <v>1485</v>
      </c>
      <c r="C262" s="220">
        <v>47890</v>
      </c>
      <c r="D262" s="205"/>
      <c r="E262" s="206">
        <v>0</v>
      </c>
      <c r="F262" s="218">
        <f t="shared" si="4"/>
        <v>47890</v>
      </c>
      <c r="H262" t="e">
        <f ca="1">_xlfn.XLOOKUP(A262,Hoja1!A:A,Hoja1!G:G,0,0)</f>
        <v>#NAME?</v>
      </c>
    </row>
    <row r="263" spans="1:8" x14ac:dyDescent="0.25">
      <c r="A263" s="64" t="s">
        <v>45</v>
      </c>
      <c r="B263" s="64" t="s">
        <v>1486</v>
      </c>
      <c r="C263" s="220">
        <v>37241</v>
      </c>
      <c r="D263" s="205"/>
      <c r="E263" s="206">
        <v>0</v>
      </c>
      <c r="F263" s="218">
        <f t="shared" si="4"/>
        <v>37241</v>
      </c>
      <c r="H263" t="e">
        <f ca="1">_xlfn.XLOOKUP(A263,Hoja1!A:A,Hoja1!G:G,0,0)</f>
        <v>#NAME?</v>
      </c>
    </row>
    <row r="264" spans="1:8" x14ac:dyDescent="0.25">
      <c r="A264" s="64" t="s">
        <v>46</v>
      </c>
      <c r="B264" s="64" t="s">
        <v>2557</v>
      </c>
      <c r="C264" s="220">
        <v>24327</v>
      </c>
      <c r="D264" s="205"/>
      <c r="E264" s="206">
        <v>0</v>
      </c>
      <c r="F264" s="218">
        <f t="shared" si="4"/>
        <v>24327</v>
      </c>
      <c r="H264" t="e">
        <f ca="1">_xlfn.XLOOKUP(A264,Hoja1!A:A,Hoja1!G:G,0,0)</f>
        <v>#NAME?</v>
      </c>
    </row>
    <row r="265" spans="1:8" x14ac:dyDescent="0.25">
      <c r="A265" s="64" t="s">
        <v>47</v>
      </c>
      <c r="B265" s="64" t="s">
        <v>1488</v>
      </c>
      <c r="C265" s="220">
        <v>23454</v>
      </c>
      <c r="D265" s="205"/>
      <c r="E265" s="206">
        <v>0</v>
      </c>
      <c r="F265" s="218">
        <f t="shared" si="4"/>
        <v>23454</v>
      </c>
      <c r="H265" t="e">
        <f ca="1">_xlfn.XLOOKUP(A265,Hoja1!A:A,Hoja1!G:G,0,0)</f>
        <v>#NAME?</v>
      </c>
    </row>
    <row r="266" spans="1:8" x14ac:dyDescent="0.25">
      <c r="A266" s="64" t="s">
        <v>48</v>
      </c>
      <c r="B266" s="64" t="s">
        <v>1489</v>
      </c>
      <c r="C266" s="220">
        <v>27581</v>
      </c>
      <c r="D266" s="205"/>
      <c r="E266" s="206">
        <v>0</v>
      </c>
      <c r="F266" s="218">
        <f t="shared" si="4"/>
        <v>27581</v>
      </c>
      <c r="H266" t="e">
        <f ca="1">_xlfn.XLOOKUP(A266,Hoja1!A:A,Hoja1!G:G,0,0)</f>
        <v>#NAME?</v>
      </c>
    </row>
    <row r="267" spans="1:8" x14ac:dyDescent="0.25">
      <c r="A267" s="64" t="s">
        <v>998</v>
      </c>
      <c r="B267" s="64" t="s">
        <v>1006</v>
      </c>
      <c r="C267" s="220">
        <v>67300</v>
      </c>
      <c r="D267" s="205"/>
      <c r="E267" s="206">
        <v>0</v>
      </c>
      <c r="F267" s="218">
        <f t="shared" si="4"/>
        <v>67300</v>
      </c>
      <c r="H267" t="e">
        <f ca="1">_xlfn.XLOOKUP(A267,Hoja1!A:A,Hoja1!G:G,0,0)</f>
        <v>#NAME?</v>
      </c>
    </row>
    <row r="268" spans="1:8" x14ac:dyDescent="0.25">
      <c r="A268" s="64" t="s">
        <v>2117</v>
      </c>
      <c r="B268" s="64" t="s">
        <v>2118</v>
      </c>
      <c r="C268" s="220">
        <v>89744</v>
      </c>
      <c r="D268" s="205"/>
      <c r="E268" s="206">
        <v>0</v>
      </c>
      <c r="F268" s="218">
        <f t="shared" si="4"/>
        <v>89744</v>
      </c>
      <c r="H268" t="e">
        <f ca="1">_xlfn.XLOOKUP(A268,Hoja1!A:A,Hoja1!G:G,0,0)</f>
        <v>#NAME?</v>
      </c>
    </row>
    <row r="269" spans="1:8" x14ac:dyDescent="0.25">
      <c r="A269" s="64" t="s">
        <v>2558</v>
      </c>
      <c r="B269" s="64" t="s">
        <v>2559</v>
      </c>
      <c r="C269" s="220">
        <v>110300</v>
      </c>
      <c r="D269" s="204">
        <v>0.89537110531554331</v>
      </c>
      <c r="E269" s="206"/>
      <c r="F269" s="218">
        <f t="shared" si="4"/>
        <v>110300</v>
      </c>
      <c r="H269" s="222" t="e">
        <f ca="1">_xlfn.XLOOKUP(A269,Hoja1!A:A,Hoja1!G:G,0,0)</f>
        <v>#NAME?</v>
      </c>
    </row>
    <row r="270" spans="1:8" x14ac:dyDescent="0.25">
      <c r="A270" s="64" t="s">
        <v>2560</v>
      </c>
      <c r="B270" s="64" t="s">
        <v>2561</v>
      </c>
      <c r="C270" s="220">
        <v>129941</v>
      </c>
      <c r="D270" s="205"/>
      <c r="E270" s="206"/>
      <c r="F270" s="218">
        <f t="shared" si="4"/>
        <v>129941</v>
      </c>
      <c r="H270" s="222" t="e">
        <f ca="1">_xlfn.XLOOKUP(A270,Hoja1!A:A,Hoja1!G:G,0,0)</f>
        <v>#NAME?</v>
      </c>
    </row>
    <row r="271" spans="1:8" x14ac:dyDescent="0.25">
      <c r="A271" s="64" t="s">
        <v>2119</v>
      </c>
      <c r="B271" s="64" t="s">
        <v>2120</v>
      </c>
      <c r="C271" s="220">
        <v>107146</v>
      </c>
      <c r="D271" s="205"/>
      <c r="E271" s="206">
        <v>0.10000000000000009</v>
      </c>
      <c r="F271" s="218">
        <f t="shared" si="4"/>
        <v>107146</v>
      </c>
      <c r="H271" t="e">
        <f ca="1">_xlfn.XLOOKUP(A271,Hoja1!A:A,Hoja1!G:G,0,0)</f>
        <v>#NAME?</v>
      </c>
    </row>
    <row r="272" spans="1:8" x14ac:dyDescent="0.25">
      <c r="A272" s="64" t="s">
        <v>2011</v>
      </c>
      <c r="B272" s="64" t="s">
        <v>2121</v>
      </c>
      <c r="C272" s="220">
        <v>45748</v>
      </c>
      <c r="D272" s="205"/>
      <c r="E272" s="206">
        <v>0.10000000000000009</v>
      </c>
      <c r="F272" s="218">
        <f t="shared" si="4"/>
        <v>45748</v>
      </c>
      <c r="H272" t="e">
        <f ca="1">_xlfn.XLOOKUP(A272,Hoja1!A:A,Hoja1!G:G,0,0)</f>
        <v>#NAME?</v>
      </c>
    </row>
    <row r="273" spans="1:8" x14ac:dyDescent="0.25">
      <c r="A273" s="64" t="s">
        <v>2012</v>
      </c>
      <c r="B273" s="64" t="s">
        <v>2122</v>
      </c>
      <c r="C273" s="220">
        <v>49737</v>
      </c>
      <c r="D273" s="205"/>
      <c r="E273" s="206">
        <v>0.1100000000000001</v>
      </c>
      <c r="F273" s="218">
        <f t="shared" si="4"/>
        <v>49737</v>
      </c>
      <c r="H273" t="e">
        <f ca="1">_xlfn.XLOOKUP(A273,Hoja1!A:A,Hoja1!G:G,0,0)</f>
        <v>#NAME?</v>
      </c>
    </row>
    <row r="274" spans="1:8" x14ac:dyDescent="0.25">
      <c r="A274" s="64" t="s">
        <v>2013</v>
      </c>
      <c r="B274" s="64" t="s">
        <v>2123</v>
      </c>
      <c r="C274" s="220">
        <v>52087</v>
      </c>
      <c r="D274" s="205"/>
      <c r="E274" s="206">
        <v>6.0000000000000053E-2</v>
      </c>
      <c r="F274" s="218">
        <f t="shared" si="4"/>
        <v>52087</v>
      </c>
      <c r="H274" t="e">
        <f ca="1">_xlfn.XLOOKUP(A274,Hoja1!A:A,Hoja1!G:G,0,0)</f>
        <v>#NAME?</v>
      </c>
    </row>
    <row r="275" spans="1:8" x14ac:dyDescent="0.25">
      <c r="A275" s="64" t="s">
        <v>2014</v>
      </c>
      <c r="B275" s="64" t="s">
        <v>2124</v>
      </c>
      <c r="C275" s="220">
        <v>50977</v>
      </c>
      <c r="D275" s="205"/>
      <c r="E275" s="206">
        <v>0.12000000000000011</v>
      </c>
      <c r="F275" s="218">
        <f t="shared" si="4"/>
        <v>50977</v>
      </c>
      <c r="H275" t="e">
        <f ca="1">_xlfn.XLOOKUP(A275,Hoja1!A:A,Hoja1!G:G,0,0)</f>
        <v>#NAME?</v>
      </c>
    </row>
    <row r="276" spans="1:8" x14ac:dyDescent="0.25">
      <c r="A276" s="64" t="s">
        <v>2125</v>
      </c>
      <c r="B276" s="64" t="s">
        <v>2126</v>
      </c>
      <c r="C276" s="220">
        <v>90158</v>
      </c>
      <c r="D276" s="205"/>
      <c r="E276" s="206">
        <v>0.12999999999999989</v>
      </c>
      <c r="F276" s="218">
        <f t="shared" si="4"/>
        <v>90158</v>
      </c>
      <c r="H276" t="e">
        <f ca="1">_xlfn.XLOOKUP(A276,Hoja1!A:A,Hoja1!G:G,0,0)</f>
        <v>#NAME?</v>
      </c>
    </row>
    <row r="277" spans="1:8" x14ac:dyDescent="0.25">
      <c r="A277" s="64" t="s">
        <v>2127</v>
      </c>
      <c r="B277" s="64" t="s">
        <v>2128</v>
      </c>
      <c r="C277" s="220">
        <v>136153</v>
      </c>
      <c r="D277" s="205"/>
      <c r="E277" s="206">
        <v>0.12000000000000011</v>
      </c>
      <c r="F277" s="218">
        <f t="shared" si="4"/>
        <v>136153</v>
      </c>
      <c r="H277" t="e">
        <f ca="1">_xlfn.XLOOKUP(A277,Hoja1!A:A,Hoja1!G:G,0,0)</f>
        <v>#NAME?</v>
      </c>
    </row>
    <row r="278" spans="1:8" x14ac:dyDescent="0.25">
      <c r="A278" s="64" t="s">
        <v>2129</v>
      </c>
      <c r="B278" s="64" t="s">
        <v>2130</v>
      </c>
      <c r="C278" s="220">
        <v>97269</v>
      </c>
      <c r="D278" s="205"/>
      <c r="E278" s="206">
        <v>7.0000000000000062E-2</v>
      </c>
      <c r="F278" s="218">
        <f t="shared" si="4"/>
        <v>97269</v>
      </c>
      <c r="H278" t="e">
        <f ca="1">_xlfn.XLOOKUP(A278,Hoja1!A:A,Hoja1!G:G,0,0)</f>
        <v>#NAME?</v>
      </c>
    </row>
    <row r="279" spans="1:8" x14ac:dyDescent="0.25">
      <c r="A279" s="64" t="s">
        <v>2131</v>
      </c>
      <c r="B279" s="64" t="s">
        <v>2132</v>
      </c>
      <c r="C279" s="220">
        <v>22123</v>
      </c>
      <c r="D279" s="205"/>
      <c r="E279" s="206">
        <v>0.12000000000000011</v>
      </c>
      <c r="F279" s="218">
        <f t="shared" si="4"/>
        <v>22123</v>
      </c>
      <c r="H279" t="e">
        <f ca="1">_xlfn.XLOOKUP(A279,Hoja1!A:A,Hoja1!G:G,0,0)</f>
        <v>#NAME?</v>
      </c>
    </row>
    <row r="280" spans="1:8" x14ac:dyDescent="0.25">
      <c r="A280" s="64" t="s">
        <v>2134</v>
      </c>
      <c r="B280" s="64" t="s">
        <v>2135</v>
      </c>
      <c r="C280" s="220">
        <v>43919</v>
      </c>
      <c r="D280" s="205"/>
      <c r="E280" s="206">
        <v>0.1100000000000001</v>
      </c>
      <c r="F280" s="218">
        <f t="shared" si="4"/>
        <v>43919</v>
      </c>
      <c r="H280" t="e">
        <f ca="1">_xlfn.XLOOKUP(A280,Hoja1!A:A,Hoja1!G:G,0,0)</f>
        <v>#NAME?</v>
      </c>
    </row>
    <row r="281" spans="1:8" x14ac:dyDescent="0.25">
      <c r="A281" s="64" t="s">
        <v>2136</v>
      </c>
      <c r="B281" s="64" t="s">
        <v>2137</v>
      </c>
      <c r="C281" s="220">
        <v>15646</v>
      </c>
      <c r="D281" s="205"/>
      <c r="E281" s="206">
        <v>0.10000000000000009</v>
      </c>
      <c r="F281" s="218">
        <f t="shared" si="4"/>
        <v>15646</v>
      </c>
      <c r="H281" t="e">
        <f ca="1">_xlfn.XLOOKUP(A281,Hoja1!A:A,Hoja1!G:G,0,0)</f>
        <v>#NAME?</v>
      </c>
    </row>
    <row r="282" spans="1:8" x14ac:dyDescent="0.25">
      <c r="A282" s="64" t="s">
        <v>2562</v>
      </c>
      <c r="B282" s="64" t="s">
        <v>2563</v>
      </c>
      <c r="C282" s="220">
        <v>125636</v>
      </c>
      <c r="D282" s="205"/>
      <c r="E282" s="206"/>
      <c r="F282" s="218">
        <f t="shared" si="4"/>
        <v>125636</v>
      </c>
      <c r="H282" s="222" t="e">
        <f ca="1">_xlfn.XLOOKUP(A282,Hoja1!A:A,Hoja1!G:G,0,0)</f>
        <v>#NAME?</v>
      </c>
    </row>
    <row r="283" spans="1:8" x14ac:dyDescent="0.25">
      <c r="A283" s="64" t="s">
        <v>1000</v>
      </c>
      <c r="B283" s="64" t="s">
        <v>1007</v>
      </c>
      <c r="C283" s="220">
        <v>143738</v>
      </c>
      <c r="D283" s="205"/>
      <c r="E283" s="206">
        <v>0</v>
      </c>
      <c r="F283" s="218">
        <f t="shared" si="4"/>
        <v>143738</v>
      </c>
      <c r="H283" t="e">
        <f ca="1">_xlfn.XLOOKUP(A283,Hoja1!A:A,Hoja1!G:G,0,0)</f>
        <v>#NAME?</v>
      </c>
    </row>
    <row r="284" spans="1:8" x14ac:dyDescent="0.25">
      <c r="A284" s="64" t="s">
        <v>2138</v>
      </c>
      <c r="B284" s="64" t="s">
        <v>2139</v>
      </c>
      <c r="C284" s="220">
        <v>79579</v>
      </c>
      <c r="D284" s="205"/>
      <c r="E284" s="206">
        <v>0</v>
      </c>
      <c r="F284" s="218">
        <f t="shared" si="4"/>
        <v>79579</v>
      </c>
      <c r="H284" t="e">
        <f ca="1">_xlfn.XLOOKUP(A284,Hoja1!A:A,Hoja1!G:G,0,0)</f>
        <v>#NAME?</v>
      </c>
    </row>
    <row r="285" spans="1:8" x14ac:dyDescent="0.25">
      <c r="A285" s="64" t="s">
        <v>2140</v>
      </c>
      <c r="B285" s="64" t="s">
        <v>2141</v>
      </c>
      <c r="C285" s="220">
        <v>67392</v>
      </c>
      <c r="D285" s="205"/>
      <c r="E285" s="206">
        <v>0</v>
      </c>
      <c r="F285" s="218">
        <f t="shared" si="4"/>
        <v>67392</v>
      </c>
      <c r="H285" t="e">
        <f ca="1">_xlfn.XLOOKUP(A285,Hoja1!A:A,Hoja1!G:G,0,0)</f>
        <v>#NAME?</v>
      </c>
    </row>
    <row r="286" spans="1:8" x14ac:dyDescent="0.25">
      <c r="A286" s="64" t="s">
        <v>1002</v>
      </c>
      <c r="B286" s="64" t="s">
        <v>1008</v>
      </c>
      <c r="C286" s="220">
        <v>82298</v>
      </c>
      <c r="D286" s="205"/>
      <c r="E286" s="206">
        <v>0</v>
      </c>
      <c r="F286" s="218">
        <f t="shared" si="4"/>
        <v>82298</v>
      </c>
      <c r="H286" t="e">
        <f ca="1">_xlfn.XLOOKUP(A286,Hoja1!A:A,Hoja1!G:G,0,0)</f>
        <v>#NAME?</v>
      </c>
    </row>
    <row r="287" spans="1:8" x14ac:dyDescent="0.25">
      <c r="A287" s="64" t="s">
        <v>2142</v>
      </c>
      <c r="B287" s="64" t="s">
        <v>2143</v>
      </c>
      <c r="C287" s="220">
        <v>30399</v>
      </c>
      <c r="D287" s="205"/>
      <c r="E287" s="206">
        <v>0</v>
      </c>
      <c r="F287" s="218">
        <f t="shared" si="4"/>
        <v>30399</v>
      </c>
      <c r="H287" t="e">
        <f ca="1">_xlfn.XLOOKUP(A287,Hoja1!A:A,Hoja1!G:G,0,0)</f>
        <v>#NAME?</v>
      </c>
    </row>
    <row r="288" spans="1:8" x14ac:dyDescent="0.25">
      <c r="A288" s="64" t="s">
        <v>1004</v>
      </c>
      <c r="B288" s="64" t="s">
        <v>1009</v>
      </c>
      <c r="C288" s="220">
        <v>35314</v>
      </c>
      <c r="D288" s="205"/>
      <c r="E288" s="206">
        <v>0</v>
      </c>
      <c r="F288" s="218">
        <f t="shared" si="4"/>
        <v>35314</v>
      </c>
      <c r="H288" t="e">
        <f ca="1">_xlfn.XLOOKUP(A288,Hoja1!A:A,Hoja1!G:G,0,0)</f>
        <v>#NAME?</v>
      </c>
    </row>
    <row r="289" spans="1:8" x14ac:dyDescent="0.25">
      <c r="A289" s="64" t="s">
        <v>49</v>
      </c>
      <c r="B289" s="214" t="s">
        <v>1490</v>
      </c>
      <c r="C289" s="220">
        <v>47948</v>
      </c>
      <c r="D289" s="205"/>
      <c r="E289" s="206">
        <v>0</v>
      </c>
      <c r="F289" s="218">
        <f t="shared" si="4"/>
        <v>47948</v>
      </c>
      <c r="H289" t="e">
        <f ca="1">_xlfn.XLOOKUP(A289,Hoja1!A:A,Hoja1!G:G,0,0)</f>
        <v>#NAME?</v>
      </c>
    </row>
    <row r="290" spans="1:8" s="3" customFormat="1" x14ac:dyDescent="0.25">
      <c r="A290" s="64" t="s">
        <v>50</v>
      </c>
      <c r="B290" s="214" t="s">
        <v>1491</v>
      </c>
      <c r="C290" s="220">
        <v>57515</v>
      </c>
      <c r="D290" s="205"/>
      <c r="E290" s="206">
        <v>0</v>
      </c>
      <c r="F290" s="218">
        <f t="shared" si="4"/>
        <v>57515</v>
      </c>
      <c r="H290" t="e">
        <f ca="1">_xlfn.XLOOKUP(A290,Hoja1!A:A,Hoja1!G:G,0,0)</f>
        <v>#NAME?</v>
      </c>
    </row>
    <row r="291" spans="1:8" s="3" customFormat="1" x14ac:dyDescent="0.25">
      <c r="A291" s="64" t="s">
        <v>51</v>
      </c>
      <c r="B291" s="214" t="s">
        <v>1492</v>
      </c>
      <c r="C291" s="220">
        <v>70239</v>
      </c>
      <c r="D291" s="205"/>
      <c r="E291" s="206">
        <v>0</v>
      </c>
      <c r="F291" s="218">
        <f t="shared" si="4"/>
        <v>70239</v>
      </c>
      <c r="H291" t="e">
        <f ca="1">_xlfn.XLOOKUP(A291,Hoja1!A:A,Hoja1!G:G,0,0)</f>
        <v>#NAME?</v>
      </c>
    </row>
    <row r="292" spans="1:8" s="3" customFormat="1" x14ac:dyDescent="0.25">
      <c r="A292" s="64" t="s">
        <v>52</v>
      </c>
      <c r="B292" s="214" t="s">
        <v>1493</v>
      </c>
      <c r="C292" s="220">
        <v>80713</v>
      </c>
      <c r="D292" s="205"/>
      <c r="E292" s="206">
        <v>0</v>
      </c>
      <c r="F292" s="218">
        <f t="shared" si="4"/>
        <v>80713</v>
      </c>
      <c r="H292" t="e">
        <f ca="1">_xlfn.XLOOKUP(A292,Hoja1!A:A,Hoja1!G:G,0,0)</f>
        <v>#NAME?</v>
      </c>
    </row>
    <row r="293" spans="1:8" x14ac:dyDescent="0.25">
      <c r="A293" s="64" t="s">
        <v>53</v>
      </c>
      <c r="B293" s="64" t="s">
        <v>1494</v>
      </c>
      <c r="C293" s="220">
        <v>20468</v>
      </c>
      <c r="D293" s="205"/>
      <c r="E293" s="206">
        <v>0</v>
      </c>
      <c r="F293" s="218">
        <f t="shared" si="4"/>
        <v>20468</v>
      </c>
      <c r="H293" t="e">
        <f ca="1">_xlfn.XLOOKUP(A293,Hoja1!A:A,Hoja1!G:G,0,0)</f>
        <v>#NAME?</v>
      </c>
    </row>
    <row r="294" spans="1:8" x14ac:dyDescent="0.25">
      <c r="A294" s="64" t="s">
        <v>54</v>
      </c>
      <c r="B294" s="64" t="s">
        <v>1495</v>
      </c>
      <c r="C294" s="220">
        <v>23826</v>
      </c>
      <c r="D294" s="205"/>
      <c r="E294" s="206">
        <v>0</v>
      </c>
      <c r="F294" s="218">
        <f t="shared" si="4"/>
        <v>23826</v>
      </c>
      <c r="H294" t="e">
        <f ca="1">_xlfn.XLOOKUP(A294,Hoja1!A:A,Hoja1!G:G,0,0)</f>
        <v>#NAME?</v>
      </c>
    </row>
    <row r="295" spans="1:8" x14ac:dyDescent="0.25">
      <c r="A295" s="64" t="s">
        <v>55</v>
      </c>
      <c r="B295" s="214" t="s">
        <v>1496</v>
      </c>
      <c r="C295" s="220">
        <v>29850</v>
      </c>
      <c r="D295" s="205"/>
      <c r="E295" s="206">
        <v>0</v>
      </c>
      <c r="F295" s="218">
        <f t="shared" si="4"/>
        <v>29850</v>
      </c>
      <c r="H295" t="e">
        <f ca="1">_xlfn.XLOOKUP(A295,Hoja1!A:A,Hoja1!G:G,0,0)</f>
        <v>#NAME?</v>
      </c>
    </row>
    <row r="296" spans="1:8" x14ac:dyDescent="0.25">
      <c r="A296" s="64" t="s">
        <v>56</v>
      </c>
      <c r="B296" s="214" t="s">
        <v>1497</v>
      </c>
      <c r="C296" s="220">
        <v>31604</v>
      </c>
      <c r="D296" s="205"/>
      <c r="E296" s="206">
        <v>0</v>
      </c>
      <c r="F296" s="218">
        <f t="shared" si="4"/>
        <v>31604</v>
      </c>
      <c r="H296" t="e">
        <f ca="1">_xlfn.XLOOKUP(A296,Hoja1!A:A,Hoja1!G:G,0,0)</f>
        <v>#NAME?</v>
      </c>
    </row>
    <row r="297" spans="1:8" x14ac:dyDescent="0.25">
      <c r="A297" s="64" t="s">
        <v>1498</v>
      </c>
      <c r="B297" s="64" t="s">
        <v>1499</v>
      </c>
      <c r="C297" s="220">
        <v>26909</v>
      </c>
      <c r="D297" s="205"/>
      <c r="E297" s="206">
        <v>0</v>
      </c>
      <c r="F297" s="218">
        <f t="shared" si="4"/>
        <v>26909</v>
      </c>
      <c r="H297" t="e">
        <f ca="1">_xlfn.XLOOKUP(A297,Hoja1!A:A,Hoja1!G:G,0,0)</f>
        <v>#NAME?</v>
      </c>
    </row>
    <row r="298" spans="1:8" x14ac:dyDescent="0.25">
      <c r="A298" s="64" t="s">
        <v>1500</v>
      </c>
      <c r="B298" s="64" t="s">
        <v>1501</v>
      </c>
      <c r="C298" s="220">
        <v>26909</v>
      </c>
      <c r="D298" s="205"/>
      <c r="E298" s="206">
        <v>0</v>
      </c>
      <c r="F298" s="218">
        <f t="shared" si="4"/>
        <v>26909</v>
      </c>
      <c r="H298" t="e">
        <f ca="1">_xlfn.XLOOKUP(A298,Hoja1!A:A,Hoja1!G:G,0,0)</f>
        <v>#NAME?</v>
      </c>
    </row>
    <row r="299" spans="1:8" x14ac:dyDescent="0.25">
      <c r="A299" s="64" t="s">
        <v>1502</v>
      </c>
      <c r="B299" s="64" t="s">
        <v>1503</v>
      </c>
      <c r="C299" s="220">
        <v>62577</v>
      </c>
      <c r="D299" s="205"/>
      <c r="E299" s="206">
        <v>0</v>
      </c>
      <c r="F299" s="218">
        <f t="shared" si="4"/>
        <v>62577</v>
      </c>
      <c r="H299" t="e">
        <f ca="1">_xlfn.XLOOKUP(A299,Hoja1!A:A,Hoja1!G:G,0,0)</f>
        <v>#NAME?</v>
      </c>
    </row>
    <row r="300" spans="1:8" x14ac:dyDescent="0.25">
      <c r="A300" s="64" t="s">
        <v>1504</v>
      </c>
      <c r="B300" s="64" t="s">
        <v>1505</v>
      </c>
      <c r="C300" s="220">
        <v>22943</v>
      </c>
      <c r="D300" s="205"/>
      <c r="E300" s="206">
        <v>0</v>
      </c>
      <c r="F300" s="218">
        <f t="shared" si="4"/>
        <v>22943</v>
      </c>
      <c r="H300" t="e">
        <f ca="1">_xlfn.XLOOKUP(A300,Hoja1!A:A,Hoja1!G:G,0,0)</f>
        <v>#NAME?</v>
      </c>
    </row>
    <row r="301" spans="1:8" x14ac:dyDescent="0.25">
      <c r="A301" s="64" t="s">
        <v>1506</v>
      </c>
      <c r="B301" s="64" t="s">
        <v>1507</v>
      </c>
      <c r="C301" s="220">
        <v>20662</v>
      </c>
      <c r="D301" s="205"/>
      <c r="E301" s="206">
        <v>0</v>
      </c>
      <c r="F301" s="218">
        <f t="shared" si="4"/>
        <v>20662</v>
      </c>
      <c r="H301" t="e">
        <f ca="1">_xlfn.XLOOKUP(A301,Hoja1!A:A,Hoja1!G:G,0,0)</f>
        <v>#NAME?</v>
      </c>
    </row>
    <row r="302" spans="1:8" x14ac:dyDescent="0.25">
      <c r="A302" s="64" t="s">
        <v>1508</v>
      </c>
      <c r="B302" s="64" t="s">
        <v>2564</v>
      </c>
      <c r="C302" s="220">
        <v>40203</v>
      </c>
      <c r="D302" s="205"/>
      <c r="E302" s="206">
        <v>0</v>
      </c>
      <c r="F302" s="218">
        <f t="shared" si="4"/>
        <v>40203</v>
      </c>
      <c r="H302" t="e">
        <f ca="1">_xlfn.XLOOKUP(A302,Hoja1!A:A,Hoja1!G:G,0,0)</f>
        <v>#NAME?</v>
      </c>
    </row>
    <row r="303" spans="1:8" x14ac:dyDescent="0.25">
      <c r="A303" s="64" t="s">
        <v>1510</v>
      </c>
      <c r="B303" s="64" t="s">
        <v>1511</v>
      </c>
      <c r="C303" s="220">
        <v>9012</v>
      </c>
      <c r="D303" s="205"/>
      <c r="E303" s="206">
        <v>0</v>
      </c>
      <c r="F303" s="218">
        <f t="shared" si="4"/>
        <v>9012</v>
      </c>
      <c r="H303" t="e">
        <f ca="1">_xlfn.XLOOKUP(A303,Hoja1!A:A,Hoja1!G:G,0,0)</f>
        <v>#NAME?</v>
      </c>
    </row>
    <row r="304" spans="1:8" x14ac:dyDescent="0.25">
      <c r="A304" s="64" t="s">
        <v>1512</v>
      </c>
      <c r="B304" s="64" t="s">
        <v>1513</v>
      </c>
      <c r="C304" s="220">
        <v>4683</v>
      </c>
      <c r="D304" s="205"/>
      <c r="E304" s="206">
        <v>0</v>
      </c>
      <c r="F304" s="218">
        <f t="shared" si="4"/>
        <v>4683</v>
      </c>
      <c r="H304" t="e">
        <f ca="1">_xlfn.XLOOKUP(A304,Hoja1!A:A,Hoja1!G:G,0,0)</f>
        <v>#NAME?</v>
      </c>
    </row>
    <row r="305" spans="1:8" x14ac:dyDescent="0.25">
      <c r="A305" s="64" t="s">
        <v>1514</v>
      </c>
      <c r="B305" s="64" t="s">
        <v>1515</v>
      </c>
      <c r="C305" s="220">
        <v>16171</v>
      </c>
      <c r="D305" s="205"/>
      <c r="E305" s="206">
        <v>0</v>
      </c>
      <c r="F305" s="218">
        <f t="shared" si="4"/>
        <v>16171</v>
      </c>
      <c r="H305" t="e">
        <f ca="1">_xlfn.XLOOKUP(A305,Hoja1!A:A,Hoja1!G:G,0,0)</f>
        <v>#NAME?</v>
      </c>
    </row>
    <row r="306" spans="1:8" x14ac:dyDescent="0.25">
      <c r="A306" s="64" t="s">
        <v>1516</v>
      </c>
      <c r="B306" s="64" t="s">
        <v>1517</v>
      </c>
      <c r="C306" s="220">
        <v>35772</v>
      </c>
      <c r="D306" s="205"/>
      <c r="E306" s="206">
        <v>0</v>
      </c>
      <c r="F306" s="218">
        <f t="shared" si="4"/>
        <v>35772</v>
      </c>
      <c r="H306" t="e">
        <f ca="1">_xlfn.XLOOKUP(A306,Hoja1!A:A,Hoja1!G:G,0,0)</f>
        <v>#NAME?</v>
      </c>
    </row>
    <row r="307" spans="1:8" x14ac:dyDescent="0.25">
      <c r="A307" s="64" t="s">
        <v>1518</v>
      </c>
      <c r="B307" s="64" t="s">
        <v>1519</v>
      </c>
      <c r="C307" s="220">
        <v>35772</v>
      </c>
      <c r="D307" s="205"/>
      <c r="E307" s="206">
        <v>0</v>
      </c>
      <c r="F307" s="218">
        <f t="shared" si="4"/>
        <v>35772</v>
      </c>
      <c r="H307" t="e">
        <f ca="1">_xlfn.XLOOKUP(A307,Hoja1!A:A,Hoja1!G:G,0,0)</f>
        <v>#NAME?</v>
      </c>
    </row>
    <row r="308" spans="1:8" x14ac:dyDescent="0.25">
      <c r="A308" s="64" t="s">
        <v>1520</v>
      </c>
      <c r="B308" s="64" t="s">
        <v>1521</v>
      </c>
      <c r="C308" s="220">
        <v>53156</v>
      </c>
      <c r="D308" s="205"/>
      <c r="E308" s="206">
        <v>0</v>
      </c>
      <c r="F308" s="218">
        <f t="shared" si="4"/>
        <v>53156</v>
      </c>
      <c r="H308" t="e">
        <f ca="1">_xlfn.XLOOKUP(A308,Hoja1!A:A,Hoja1!G:G,0,0)</f>
        <v>#NAME?</v>
      </c>
    </row>
    <row r="309" spans="1:8" x14ac:dyDescent="0.25">
      <c r="A309" s="64" t="s">
        <v>1522</v>
      </c>
      <c r="B309" s="64" t="s">
        <v>1523</v>
      </c>
      <c r="C309" s="220">
        <v>53156</v>
      </c>
      <c r="D309" s="205"/>
      <c r="E309" s="206">
        <v>0</v>
      </c>
      <c r="F309" s="218">
        <f t="shared" si="4"/>
        <v>53156</v>
      </c>
      <c r="H309" t="e">
        <f ca="1">_xlfn.XLOOKUP(A309,Hoja1!A:A,Hoja1!G:G,0,0)</f>
        <v>#NAME?</v>
      </c>
    </row>
    <row r="310" spans="1:8" x14ac:dyDescent="0.25">
      <c r="A310" s="64" t="s">
        <v>1524</v>
      </c>
      <c r="B310" s="64" t="s">
        <v>1525</v>
      </c>
      <c r="C310" s="220">
        <v>48283</v>
      </c>
      <c r="D310" s="205"/>
      <c r="E310" s="206">
        <v>0</v>
      </c>
      <c r="F310" s="218">
        <f t="shared" si="4"/>
        <v>48283</v>
      </c>
      <c r="H310" t="e">
        <f ca="1">_xlfn.XLOOKUP(A310,Hoja1!A:A,Hoja1!G:G,0,0)</f>
        <v>#NAME?</v>
      </c>
    </row>
    <row r="311" spans="1:8" x14ac:dyDescent="0.25">
      <c r="A311" s="64" t="s">
        <v>1526</v>
      </c>
      <c r="B311" s="64" t="s">
        <v>1527</v>
      </c>
      <c r="C311" s="220">
        <v>78500</v>
      </c>
      <c r="D311" s="205"/>
      <c r="E311" s="206">
        <v>0</v>
      </c>
      <c r="F311" s="218">
        <f t="shared" si="4"/>
        <v>78500</v>
      </c>
      <c r="H311" t="e">
        <f ca="1">_xlfn.XLOOKUP(A311,Hoja1!A:A,Hoja1!G:G,0,0)</f>
        <v>#NAME?</v>
      </c>
    </row>
    <row r="312" spans="1:8" x14ac:dyDescent="0.25">
      <c r="A312" s="64" t="s">
        <v>57</v>
      </c>
      <c r="B312" s="64" t="s">
        <v>1528</v>
      </c>
      <c r="C312" s="220">
        <v>78164</v>
      </c>
      <c r="D312" s="205"/>
      <c r="E312" s="206">
        <v>0.14999999999999991</v>
      </c>
      <c r="F312" s="218">
        <f t="shared" si="4"/>
        <v>78164</v>
      </c>
      <c r="H312" t="e">
        <f ca="1">_xlfn.XLOOKUP(A312,Hoja1!A:A,Hoja1!G:G,0,0)</f>
        <v>#NAME?</v>
      </c>
    </row>
    <row r="313" spans="1:8" x14ac:dyDescent="0.25">
      <c r="A313" s="64" t="s">
        <v>1529</v>
      </c>
      <c r="B313" s="64" t="s">
        <v>1530</v>
      </c>
      <c r="C313" s="220">
        <v>96041</v>
      </c>
      <c r="D313" s="205"/>
      <c r="E313" s="206">
        <v>0.14999999999999991</v>
      </c>
      <c r="F313" s="218">
        <f t="shared" si="4"/>
        <v>96041</v>
      </c>
      <c r="H313" t="e">
        <f ca="1">_xlfn.XLOOKUP(A313,Hoja1!A:A,Hoja1!G:G,0,0)</f>
        <v>#NAME?</v>
      </c>
    </row>
    <row r="314" spans="1:8" x14ac:dyDescent="0.25">
      <c r="A314" s="64" t="s">
        <v>58</v>
      </c>
      <c r="B314" s="64" t="s">
        <v>229</v>
      </c>
      <c r="C314" s="220">
        <v>47028</v>
      </c>
      <c r="D314" s="205"/>
      <c r="E314" s="206">
        <v>0.14999999999999991</v>
      </c>
      <c r="F314" s="218">
        <f t="shared" si="4"/>
        <v>47028</v>
      </c>
      <c r="H314" t="e">
        <f ca="1">_xlfn.XLOOKUP(A314,Hoja1!A:A,Hoja1!G:G,0,0)</f>
        <v>#NAME?</v>
      </c>
    </row>
    <row r="315" spans="1:8" s="3" customFormat="1" x14ac:dyDescent="0.25">
      <c r="A315" s="64" t="s">
        <v>59</v>
      </c>
      <c r="B315" s="64" t="s">
        <v>231</v>
      </c>
      <c r="C315" s="220">
        <v>44061</v>
      </c>
      <c r="D315" s="205"/>
      <c r="E315" s="206">
        <v>5.0000000000000044E-2</v>
      </c>
      <c r="F315" s="218">
        <f t="shared" si="4"/>
        <v>44061</v>
      </c>
      <c r="H315" t="e">
        <f ca="1">_xlfn.XLOOKUP(A315,Hoja1!A:A,Hoja1!G:G,0,0)</f>
        <v>#NAME?</v>
      </c>
    </row>
    <row r="316" spans="1:8" x14ac:dyDescent="0.25">
      <c r="A316" s="64" t="s">
        <v>60</v>
      </c>
      <c r="B316" s="64" t="s">
        <v>61</v>
      </c>
      <c r="C316" s="220">
        <v>38248</v>
      </c>
      <c r="D316" s="205"/>
      <c r="E316" s="206">
        <v>0.26</v>
      </c>
      <c r="F316" s="218">
        <f t="shared" si="4"/>
        <v>38248</v>
      </c>
      <c r="H316" t="e">
        <f ca="1">_xlfn.XLOOKUP(A316,Hoja1!A:A,Hoja1!G:G,0,0)</f>
        <v>#NAME?</v>
      </c>
    </row>
    <row r="317" spans="1:8" x14ac:dyDescent="0.25">
      <c r="A317" s="64" t="s">
        <v>62</v>
      </c>
      <c r="B317" s="64" t="s">
        <v>234</v>
      </c>
      <c r="C317" s="220">
        <v>53454</v>
      </c>
      <c r="D317" s="205"/>
      <c r="E317" s="206">
        <v>0.14999999999999991</v>
      </c>
      <c r="F317" s="218">
        <f t="shared" si="4"/>
        <v>53454</v>
      </c>
      <c r="H317" t="e">
        <f ca="1">_xlfn.XLOOKUP(A317,Hoja1!A:A,Hoja1!G:G,0,0)</f>
        <v>#NAME?</v>
      </c>
    </row>
    <row r="318" spans="1:8" s="3" customFormat="1" x14ac:dyDescent="0.25">
      <c r="A318" s="64" t="s">
        <v>63</v>
      </c>
      <c r="B318" s="64" t="s">
        <v>236</v>
      </c>
      <c r="C318" s="220">
        <v>48835</v>
      </c>
      <c r="D318" s="205"/>
      <c r="E318" s="206">
        <v>10</v>
      </c>
      <c r="F318" s="218">
        <f t="shared" si="4"/>
        <v>48835</v>
      </c>
      <c r="H318" t="e">
        <f ca="1">_xlfn.XLOOKUP(A318,Hoja1!A:A,Hoja1!G:G,0,0)</f>
        <v>#NAME?</v>
      </c>
    </row>
    <row r="319" spans="1:8" x14ac:dyDescent="0.25">
      <c r="A319" s="64" t="s">
        <v>64</v>
      </c>
      <c r="B319" s="64" t="s">
        <v>238</v>
      </c>
      <c r="C319" s="220">
        <v>12100</v>
      </c>
      <c r="D319" s="205"/>
      <c r="E319" s="206">
        <v>0.10000000000000009</v>
      </c>
      <c r="F319" s="218">
        <f t="shared" si="4"/>
        <v>12100</v>
      </c>
      <c r="H319" t="e">
        <f ca="1">_xlfn.XLOOKUP(A319,Hoja1!A:A,Hoja1!G:G,0,0)</f>
        <v>#NAME?</v>
      </c>
    </row>
    <row r="320" spans="1:8" x14ac:dyDescent="0.25">
      <c r="A320" s="64" t="s">
        <v>65</v>
      </c>
      <c r="B320" s="64" t="s">
        <v>240</v>
      </c>
      <c r="C320" s="220">
        <v>44857</v>
      </c>
      <c r="D320" s="205"/>
      <c r="E320" s="206">
        <v>0.10000000000000009</v>
      </c>
      <c r="F320" s="218">
        <f t="shared" si="4"/>
        <v>44857</v>
      </c>
      <c r="H320" t="e">
        <f ca="1">_xlfn.XLOOKUP(A320,Hoja1!A:A,Hoja1!G:G,0,0)</f>
        <v>#NAME?</v>
      </c>
    </row>
    <row r="321" spans="1:8" x14ac:dyDescent="0.25">
      <c r="A321" s="64" t="s">
        <v>66</v>
      </c>
      <c r="B321" s="64" t="s">
        <v>242</v>
      </c>
      <c r="C321" s="220">
        <v>11274</v>
      </c>
      <c r="D321" s="205"/>
      <c r="E321" s="206">
        <v>0.17999999999999994</v>
      </c>
      <c r="F321" s="218">
        <f t="shared" si="4"/>
        <v>11274</v>
      </c>
      <c r="H321" t="e">
        <f ca="1">_xlfn.XLOOKUP(A321,Hoja1!A:A,Hoja1!G:G,0,0)</f>
        <v>#NAME?</v>
      </c>
    </row>
    <row r="322" spans="1:8" x14ac:dyDescent="0.25">
      <c r="A322" s="64" t="s">
        <v>67</v>
      </c>
      <c r="B322" s="64" t="s">
        <v>244</v>
      </c>
      <c r="C322" s="220">
        <v>55579</v>
      </c>
      <c r="D322" s="205"/>
      <c r="E322" s="206">
        <v>0.17999999999999994</v>
      </c>
      <c r="F322" s="218">
        <f t="shared" si="4"/>
        <v>55579</v>
      </c>
      <c r="H322" t="e">
        <f ca="1">_xlfn.XLOOKUP(A322,Hoja1!A:A,Hoja1!G:G,0,0)</f>
        <v>#NAME?</v>
      </c>
    </row>
    <row r="323" spans="1:8" x14ac:dyDescent="0.25">
      <c r="A323" s="64" t="s">
        <v>68</v>
      </c>
      <c r="B323" s="64" t="s">
        <v>313</v>
      </c>
      <c r="C323" s="220">
        <v>24545</v>
      </c>
      <c r="D323" s="205"/>
      <c r="E323" s="206">
        <v>0.17999999999999994</v>
      </c>
      <c r="F323" s="218">
        <f t="shared" ref="F323:F386" si="5">ROUND(C323,0)</f>
        <v>24545</v>
      </c>
      <c r="H323" t="e">
        <f ca="1">_xlfn.XLOOKUP(A323,Hoja1!A:A,Hoja1!G:G,0,0)</f>
        <v>#NAME?</v>
      </c>
    </row>
    <row r="324" spans="1:8" x14ac:dyDescent="0.25">
      <c r="A324" s="64" t="s">
        <v>69</v>
      </c>
      <c r="B324" s="64" t="s">
        <v>315</v>
      </c>
      <c r="C324" s="220">
        <v>25077</v>
      </c>
      <c r="D324" s="205"/>
      <c r="E324" s="206">
        <v>0.17999999999999994</v>
      </c>
      <c r="F324" s="218">
        <f t="shared" si="5"/>
        <v>25077</v>
      </c>
      <c r="H324" t="e">
        <f ca="1">_xlfn.XLOOKUP(A324,Hoja1!A:A,Hoja1!G:G,0,0)</f>
        <v>#NAME?</v>
      </c>
    </row>
    <row r="325" spans="1:8" x14ac:dyDescent="0.25">
      <c r="A325" s="64" t="s">
        <v>70</v>
      </c>
      <c r="B325" s="64" t="s">
        <v>317</v>
      </c>
      <c r="C325" s="220">
        <v>25456</v>
      </c>
      <c r="D325" s="205"/>
      <c r="E325" s="206">
        <v>0.7</v>
      </c>
      <c r="F325" s="218">
        <f t="shared" si="5"/>
        <v>25456</v>
      </c>
      <c r="H325" t="e">
        <f ca="1">_xlfn.XLOOKUP(A325,Hoja1!A:A,Hoja1!G:G,0,0)</f>
        <v>#NAME?</v>
      </c>
    </row>
    <row r="326" spans="1:8" x14ac:dyDescent="0.25">
      <c r="A326" s="64" t="s">
        <v>1531</v>
      </c>
      <c r="B326" s="64" t="s">
        <v>1532</v>
      </c>
      <c r="C326" s="220">
        <v>49425</v>
      </c>
      <c r="D326" s="205"/>
      <c r="E326" s="206"/>
      <c r="F326" s="218">
        <f t="shared" si="5"/>
        <v>49425</v>
      </c>
      <c r="H326" s="222" t="e">
        <f ca="1">_xlfn.XLOOKUP(A326,Hoja1!A:A,Hoja1!G:G,0,0)</f>
        <v>#NAME?</v>
      </c>
    </row>
    <row r="327" spans="1:8" x14ac:dyDescent="0.25">
      <c r="A327" s="64" t="s">
        <v>1533</v>
      </c>
      <c r="B327" s="64" t="s">
        <v>1534</v>
      </c>
      <c r="C327" s="220">
        <v>37691</v>
      </c>
      <c r="D327" s="205"/>
      <c r="E327" s="206"/>
      <c r="F327" s="218">
        <f t="shared" si="5"/>
        <v>37691</v>
      </c>
      <c r="H327" s="222" t="e">
        <f ca="1">_xlfn.XLOOKUP(A327,Hoja1!A:A,Hoja1!G:G,0,0)</f>
        <v>#NAME?</v>
      </c>
    </row>
    <row r="328" spans="1:8" x14ac:dyDescent="0.25">
      <c r="A328" s="64" t="s">
        <v>1535</v>
      </c>
      <c r="B328" s="64" t="s">
        <v>1536</v>
      </c>
      <c r="C328" s="220">
        <v>37821</v>
      </c>
      <c r="D328" s="205"/>
      <c r="E328" s="206"/>
      <c r="F328" s="218">
        <f t="shared" si="5"/>
        <v>37821</v>
      </c>
      <c r="H328" s="222" t="e">
        <f ca="1">_xlfn.XLOOKUP(A328,Hoja1!A:A,Hoja1!G:G,0,0)</f>
        <v>#NAME?</v>
      </c>
    </row>
    <row r="329" spans="1:8" x14ac:dyDescent="0.25">
      <c r="A329" s="64" t="s">
        <v>71</v>
      </c>
      <c r="B329" s="64" t="s">
        <v>246</v>
      </c>
      <c r="C329" s="220">
        <v>27573</v>
      </c>
      <c r="D329" s="205"/>
      <c r="E329" s="206">
        <v>0</v>
      </c>
      <c r="F329" s="218">
        <f t="shared" si="5"/>
        <v>27573</v>
      </c>
      <c r="H329" t="e">
        <f ca="1">_xlfn.XLOOKUP(A329,Hoja1!A:A,Hoja1!G:G,0,0)</f>
        <v>#NAME?</v>
      </c>
    </row>
    <row r="330" spans="1:8" x14ac:dyDescent="0.25">
      <c r="A330" s="64" t="s">
        <v>72</v>
      </c>
      <c r="B330" s="64" t="s">
        <v>248</v>
      </c>
      <c r="C330" s="220">
        <v>24927</v>
      </c>
      <c r="D330" s="205"/>
      <c r="E330" s="206">
        <v>0</v>
      </c>
      <c r="F330" s="218">
        <f t="shared" si="5"/>
        <v>24927</v>
      </c>
      <c r="H330" t="e">
        <f ca="1">_xlfn.XLOOKUP(A330,Hoja1!A:A,Hoja1!G:G,0,0)</f>
        <v>#NAME?</v>
      </c>
    </row>
    <row r="331" spans="1:8" x14ac:dyDescent="0.25">
      <c r="A331" s="64" t="s">
        <v>73</v>
      </c>
      <c r="B331" s="64" t="s">
        <v>250</v>
      </c>
      <c r="C331" s="220">
        <v>24804</v>
      </c>
      <c r="D331" s="205"/>
      <c r="E331" s="206">
        <v>0</v>
      </c>
      <c r="F331" s="218">
        <f t="shared" si="5"/>
        <v>24804</v>
      </c>
      <c r="H331" t="e">
        <f ca="1">_xlfn.XLOOKUP(A331,Hoja1!A:A,Hoja1!G:G,0,0)</f>
        <v>#NAME?</v>
      </c>
    </row>
    <row r="332" spans="1:8" x14ac:dyDescent="0.25">
      <c r="A332" s="64" t="s">
        <v>74</v>
      </c>
      <c r="B332" s="64" t="s">
        <v>252</v>
      </c>
      <c r="C332" s="220">
        <v>22723</v>
      </c>
      <c r="D332" s="205"/>
      <c r="E332" s="206">
        <v>0</v>
      </c>
      <c r="F332" s="218">
        <f t="shared" si="5"/>
        <v>22723</v>
      </c>
      <c r="H332" t="e">
        <f ca="1">_xlfn.XLOOKUP(A332,Hoja1!A:A,Hoja1!G:G,0,0)</f>
        <v>#NAME?</v>
      </c>
    </row>
    <row r="333" spans="1:8" s="3" customFormat="1" x14ac:dyDescent="0.25">
      <c r="A333" s="64" t="s">
        <v>75</v>
      </c>
      <c r="B333" s="64" t="s">
        <v>254</v>
      </c>
      <c r="C333" s="220">
        <v>24377</v>
      </c>
      <c r="D333" s="205"/>
      <c r="E333" s="206">
        <v>0</v>
      </c>
      <c r="F333" s="218">
        <f t="shared" si="5"/>
        <v>24377</v>
      </c>
      <c r="H333" t="e">
        <f ca="1">_xlfn.XLOOKUP(A333,Hoja1!A:A,Hoja1!G:G,0,0)</f>
        <v>#NAME?</v>
      </c>
    </row>
    <row r="334" spans="1:8" x14ac:dyDescent="0.25">
      <c r="A334" s="64" t="s">
        <v>76</v>
      </c>
      <c r="B334" s="64" t="s">
        <v>256</v>
      </c>
      <c r="C334" s="220">
        <v>21995</v>
      </c>
      <c r="D334" s="205"/>
      <c r="E334" s="206">
        <v>0</v>
      </c>
      <c r="F334" s="218">
        <f t="shared" si="5"/>
        <v>21995</v>
      </c>
      <c r="H334" t="e">
        <f ca="1">_xlfn.XLOOKUP(A334,Hoja1!A:A,Hoja1!G:G,0,0)</f>
        <v>#NAME?</v>
      </c>
    </row>
    <row r="335" spans="1:8" x14ac:dyDescent="0.25">
      <c r="A335" s="64" t="s">
        <v>77</v>
      </c>
      <c r="B335" s="64" t="s">
        <v>258</v>
      </c>
      <c r="C335" s="220">
        <v>36702</v>
      </c>
      <c r="D335" s="205"/>
      <c r="E335" s="206">
        <v>0</v>
      </c>
      <c r="F335" s="218">
        <f t="shared" si="5"/>
        <v>36702</v>
      </c>
      <c r="H335" t="e">
        <f ca="1">_xlfn.XLOOKUP(A335,Hoja1!A:A,Hoja1!G:G,0,0)</f>
        <v>#NAME?</v>
      </c>
    </row>
    <row r="336" spans="1:8" x14ac:dyDescent="0.25">
      <c r="A336" s="64" t="s">
        <v>78</v>
      </c>
      <c r="B336" s="64" t="s">
        <v>260</v>
      </c>
      <c r="C336" s="220">
        <v>33464</v>
      </c>
      <c r="D336" s="205"/>
      <c r="E336" s="206">
        <v>0</v>
      </c>
      <c r="F336" s="218">
        <f t="shared" si="5"/>
        <v>33464</v>
      </c>
      <c r="H336" t="e">
        <f ca="1">_xlfn.XLOOKUP(A336,Hoja1!A:A,Hoja1!G:G,0,0)</f>
        <v>#NAME?</v>
      </c>
    </row>
    <row r="337" spans="1:8" x14ac:dyDescent="0.25">
      <c r="A337" s="64" t="s">
        <v>79</v>
      </c>
      <c r="B337" s="64" t="s">
        <v>2565</v>
      </c>
      <c r="C337" s="220">
        <v>12613</v>
      </c>
      <c r="D337" s="205"/>
      <c r="E337" s="206">
        <v>0</v>
      </c>
      <c r="F337" s="218">
        <f t="shared" si="5"/>
        <v>12613</v>
      </c>
      <c r="H337" t="e">
        <f ca="1">_xlfn.XLOOKUP(A337,Hoja1!A:A,Hoja1!G:G,0,0)</f>
        <v>#NAME?</v>
      </c>
    </row>
    <row r="338" spans="1:8" x14ac:dyDescent="0.25">
      <c r="A338" s="64" t="s">
        <v>80</v>
      </c>
      <c r="B338" s="64" t="s">
        <v>2566</v>
      </c>
      <c r="C338" s="220">
        <v>11641</v>
      </c>
      <c r="D338" s="205"/>
      <c r="E338" s="206">
        <v>0</v>
      </c>
      <c r="F338" s="218">
        <f t="shared" si="5"/>
        <v>11641</v>
      </c>
      <c r="H338" t="e">
        <f ca="1">_xlfn.XLOOKUP(A338,Hoja1!A:A,Hoja1!G:G,0,0)</f>
        <v>#NAME?</v>
      </c>
    </row>
    <row r="339" spans="1:8" x14ac:dyDescent="0.25">
      <c r="A339" s="64" t="s">
        <v>2164</v>
      </c>
      <c r="B339" s="64" t="s">
        <v>2165</v>
      </c>
      <c r="C339" s="220">
        <v>34275</v>
      </c>
      <c r="D339" s="205"/>
      <c r="E339" s="206">
        <v>0</v>
      </c>
      <c r="F339" s="218">
        <f t="shared" si="5"/>
        <v>34275</v>
      </c>
      <c r="H339" t="e">
        <f ca="1">_xlfn.XLOOKUP(A339,Hoja1!A:A,Hoja1!G:G,0,0)</f>
        <v>#NAME?</v>
      </c>
    </row>
    <row r="340" spans="1:8" x14ac:dyDescent="0.25">
      <c r="A340" s="64" t="s">
        <v>2166</v>
      </c>
      <c r="B340" s="64" t="s">
        <v>2167</v>
      </c>
      <c r="C340" s="220">
        <v>31447</v>
      </c>
      <c r="D340" s="205"/>
      <c r="E340" s="206">
        <v>0</v>
      </c>
      <c r="F340" s="218">
        <f t="shared" si="5"/>
        <v>31447</v>
      </c>
      <c r="H340" t="e">
        <f ca="1">_xlfn.XLOOKUP(A340,Hoja1!A:A,Hoja1!G:G,0,0)</f>
        <v>#NAME?</v>
      </c>
    </row>
    <row r="341" spans="1:8" x14ac:dyDescent="0.25">
      <c r="A341" s="64" t="s">
        <v>2168</v>
      </c>
      <c r="B341" s="64" t="s">
        <v>2169</v>
      </c>
      <c r="C341" s="220">
        <v>30660</v>
      </c>
      <c r="D341" s="205"/>
      <c r="E341" s="206">
        <v>0</v>
      </c>
      <c r="F341" s="218">
        <f t="shared" si="5"/>
        <v>30660</v>
      </c>
      <c r="H341" t="e">
        <f ca="1">_xlfn.XLOOKUP(A341,Hoja1!A:A,Hoja1!G:G,0,0)</f>
        <v>#NAME?</v>
      </c>
    </row>
    <row r="342" spans="1:8" x14ac:dyDescent="0.25">
      <c r="A342" s="64" t="s">
        <v>81</v>
      </c>
      <c r="B342" s="64" t="s">
        <v>265</v>
      </c>
      <c r="C342" s="220">
        <v>58042</v>
      </c>
      <c r="D342" s="205"/>
      <c r="E342" s="206">
        <v>0</v>
      </c>
      <c r="F342" s="218">
        <f t="shared" si="5"/>
        <v>58042</v>
      </c>
      <c r="H342" t="e">
        <f ca="1">_xlfn.XLOOKUP(A342,Hoja1!A:A,Hoja1!G:G,0,0)</f>
        <v>#NAME?</v>
      </c>
    </row>
    <row r="343" spans="1:8" x14ac:dyDescent="0.25">
      <c r="A343" s="64" t="s">
        <v>82</v>
      </c>
      <c r="B343" s="64" t="s">
        <v>267</v>
      </c>
      <c r="C343" s="220">
        <v>75308</v>
      </c>
      <c r="D343" s="205"/>
      <c r="E343" s="206">
        <v>0</v>
      </c>
      <c r="F343" s="218">
        <f t="shared" si="5"/>
        <v>75308</v>
      </c>
      <c r="H343" t="e">
        <f ca="1">_xlfn.XLOOKUP(A343,Hoja1!A:A,Hoja1!G:G,0,0)</f>
        <v>#NAME?</v>
      </c>
    </row>
    <row r="344" spans="1:8" x14ac:dyDescent="0.25">
      <c r="A344" s="64" t="s">
        <v>83</v>
      </c>
      <c r="B344" s="64" t="s">
        <v>269</v>
      </c>
      <c r="C344" s="220">
        <v>111634</v>
      </c>
      <c r="D344" s="205"/>
      <c r="E344" s="206">
        <v>0</v>
      </c>
      <c r="F344" s="218">
        <f t="shared" si="5"/>
        <v>111634</v>
      </c>
      <c r="H344" t="e">
        <f ca="1">_xlfn.XLOOKUP(A344,Hoja1!A:A,Hoja1!G:G,0,0)</f>
        <v>#NAME?</v>
      </c>
    </row>
    <row r="345" spans="1:8" s="3" customFormat="1" x14ac:dyDescent="0.25">
      <c r="A345" s="64" t="s">
        <v>84</v>
      </c>
      <c r="B345" s="64" t="s">
        <v>271</v>
      </c>
      <c r="C345" s="220">
        <v>56505</v>
      </c>
      <c r="D345" s="205"/>
      <c r="E345" s="206">
        <v>0</v>
      </c>
      <c r="F345" s="218">
        <f t="shared" si="5"/>
        <v>56505</v>
      </c>
      <c r="H345" t="e">
        <f ca="1">_xlfn.XLOOKUP(A345,Hoja1!A:A,Hoja1!G:G,0,0)</f>
        <v>#NAME?</v>
      </c>
    </row>
    <row r="346" spans="1:8" x14ac:dyDescent="0.25">
      <c r="A346" s="64" t="s">
        <v>85</v>
      </c>
      <c r="B346" s="64" t="s">
        <v>273</v>
      </c>
      <c r="C346" s="220">
        <v>122515</v>
      </c>
      <c r="D346" s="205"/>
      <c r="E346" s="206">
        <v>0</v>
      </c>
      <c r="F346" s="218">
        <f t="shared" si="5"/>
        <v>122515</v>
      </c>
      <c r="H346" t="e">
        <f ca="1">_xlfn.XLOOKUP(A346,Hoja1!A:A,Hoja1!G:G,0,0)</f>
        <v>#NAME?</v>
      </c>
    </row>
    <row r="347" spans="1:8" x14ac:dyDescent="0.25">
      <c r="A347" s="64" t="s">
        <v>86</v>
      </c>
      <c r="B347" s="64" t="s">
        <v>319</v>
      </c>
      <c r="C347" s="220">
        <v>28588</v>
      </c>
      <c r="D347" s="205"/>
      <c r="E347" s="206">
        <v>0</v>
      </c>
      <c r="F347" s="218">
        <f t="shared" si="5"/>
        <v>28588</v>
      </c>
      <c r="H347" t="e">
        <f ca="1">_xlfn.XLOOKUP(A347,Hoja1!A:A,Hoja1!G:G,0,0)</f>
        <v>#NAME?</v>
      </c>
    </row>
    <row r="348" spans="1:8" s="3" customFormat="1" x14ac:dyDescent="0.25">
      <c r="A348" s="64" t="s">
        <v>87</v>
      </c>
      <c r="B348" s="64" t="s">
        <v>321</v>
      </c>
      <c r="C348" s="220">
        <v>30774</v>
      </c>
      <c r="D348" s="205"/>
      <c r="E348" s="206">
        <v>0</v>
      </c>
      <c r="F348" s="218">
        <f t="shared" si="5"/>
        <v>30774</v>
      </c>
      <c r="H348" t="e">
        <f ca="1">_xlfn.XLOOKUP(A348,Hoja1!A:A,Hoja1!G:G,0,0)</f>
        <v>#NAME?</v>
      </c>
    </row>
    <row r="349" spans="1:8" s="3" customFormat="1" x14ac:dyDescent="0.25">
      <c r="A349" s="64" t="s">
        <v>88</v>
      </c>
      <c r="B349" s="64" t="s">
        <v>2567</v>
      </c>
      <c r="C349" s="220">
        <v>30914</v>
      </c>
      <c r="D349" s="205"/>
      <c r="E349" s="206">
        <v>0</v>
      </c>
      <c r="F349" s="218">
        <f t="shared" si="5"/>
        <v>30914</v>
      </c>
      <c r="H349" t="e">
        <f ca="1">_xlfn.XLOOKUP(A349,Hoja1!A:A,Hoja1!G:G,0,0)</f>
        <v>#NAME?</v>
      </c>
    </row>
    <row r="350" spans="1:8" x14ac:dyDescent="0.25">
      <c r="A350" s="64" t="s">
        <v>962</v>
      </c>
      <c r="B350" s="64" t="s">
        <v>964</v>
      </c>
      <c r="C350" s="220">
        <v>69125</v>
      </c>
      <c r="D350" s="205"/>
      <c r="E350" s="206">
        <v>0</v>
      </c>
      <c r="F350" s="218">
        <f t="shared" si="5"/>
        <v>69125</v>
      </c>
      <c r="H350" t="e">
        <f ca="1">_xlfn.XLOOKUP(A350,Hoja1!A:A,Hoja1!G:G,0,0)</f>
        <v>#NAME?</v>
      </c>
    </row>
    <row r="351" spans="1:8" x14ac:dyDescent="0.25">
      <c r="A351" s="64" t="s">
        <v>1565</v>
      </c>
      <c r="B351" s="64" t="s">
        <v>1566</v>
      </c>
      <c r="C351" s="220">
        <v>32798</v>
      </c>
      <c r="D351" s="205"/>
      <c r="E351" s="206">
        <v>0</v>
      </c>
      <c r="F351" s="218">
        <f t="shared" si="5"/>
        <v>32798</v>
      </c>
      <c r="H351" t="e">
        <f ca="1">_xlfn.XLOOKUP(A351,Hoja1!A:A,Hoja1!G:G,0,0)</f>
        <v>#NAME?</v>
      </c>
    </row>
    <row r="352" spans="1:8" x14ac:dyDescent="0.25">
      <c r="A352" s="64" t="s">
        <v>89</v>
      </c>
      <c r="B352" s="64" t="s">
        <v>275</v>
      </c>
      <c r="C352" s="220">
        <v>72356</v>
      </c>
      <c r="D352" s="205"/>
      <c r="E352" s="206">
        <v>0</v>
      </c>
      <c r="F352" s="218">
        <f t="shared" si="5"/>
        <v>72356</v>
      </c>
      <c r="H352" t="e">
        <f ca="1">_xlfn.XLOOKUP(A352,Hoja1!A:A,Hoja1!G:G,0,0)</f>
        <v>#NAME?</v>
      </c>
    </row>
    <row r="353" spans="1:8" x14ac:dyDescent="0.25">
      <c r="A353" s="64" t="s">
        <v>90</v>
      </c>
      <c r="B353" s="64" t="s">
        <v>277</v>
      </c>
      <c r="C353" s="220">
        <v>99578</v>
      </c>
      <c r="D353" s="205"/>
      <c r="E353" s="206">
        <v>0</v>
      </c>
      <c r="F353" s="218">
        <f t="shared" si="5"/>
        <v>99578</v>
      </c>
      <c r="H353" t="e">
        <f ca="1">_xlfn.XLOOKUP(A353,Hoja1!A:A,Hoja1!G:G,0,0)</f>
        <v>#NAME?</v>
      </c>
    </row>
    <row r="354" spans="1:8" x14ac:dyDescent="0.25">
      <c r="A354" s="64" t="s">
        <v>91</v>
      </c>
      <c r="B354" s="64" t="s">
        <v>279</v>
      </c>
      <c r="C354" s="220">
        <v>75200</v>
      </c>
      <c r="D354" s="205"/>
      <c r="E354" s="206">
        <v>0</v>
      </c>
      <c r="F354" s="218">
        <f t="shared" si="5"/>
        <v>75200</v>
      </c>
      <c r="H354" t="e">
        <f ca="1">_xlfn.XLOOKUP(A354,Hoja1!A:A,Hoja1!G:G,0,0)</f>
        <v>#NAME?</v>
      </c>
    </row>
    <row r="355" spans="1:8" x14ac:dyDescent="0.25">
      <c r="A355" s="64" t="s">
        <v>92</v>
      </c>
      <c r="B355" s="64" t="s">
        <v>281</v>
      </c>
      <c r="C355" s="220">
        <v>99789</v>
      </c>
      <c r="D355" s="205"/>
      <c r="E355" s="206">
        <v>0</v>
      </c>
      <c r="F355" s="218">
        <f t="shared" si="5"/>
        <v>99789</v>
      </c>
      <c r="H355" t="e">
        <f ca="1">_xlfn.XLOOKUP(A355,Hoja1!A:A,Hoja1!G:G,0,0)</f>
        <v>#NAME?</v>
      </c>
    </row>
    <row r="356" spans="1:8" x14ac:dyDescent="0.25">
      <c r="A356" s="64" t="s">
        <v>1567</v>
      </c>
      <c r="B356" s="64" t="s">
        <v>1568</v>
      </c>
      <c r="C356" s="220">
        <v>51681</v>
      </c>
      <c r="D356" s="205"/>
      <c r="E356" s="206">
        <v>0</v>
      </c>
      <c r="F356" s="218">
        <f t="shared" si="5"/>
        <v>51681</v>
      </c>
      <c r="H356" t="e">
        <f ca="1">_xlfn.XLOOKUP(A356,Hoja1!A:A,Hoja1!G:G,0,0)</f>
        <v>#NAME?</v>
      </c>
    </row>
    <row r="357" spans="1:8" x14ac:dyDescent="0.25">
      <c r="A357" s="64" t="s">
        <v>1569</v>
      </c>
      <c r="B357" s="64" t="s">
        <v>1570</v>
      </c>
      <c r="C357" s="220">
        <v>149808</v>
      </c>
      <c r="D357" s="205"/>
      <c r="E357" s="206">
        <v>0</v>
      </c>
      <c r="F357" s="218">
        <f t="shared" si="5"/>
        <v>149808</v>
      </c>
      <c r="H357" t="e">
        <f ca="1">_xlfn.XLOOKUP(A357,Hoja1!A:A,Hoja1!G:G,0,0)</f>
        <v>#NAME?</v>
      </c>
    </row>
    <row r="358" spans="1:8" x14ac:dyDescent="0.25">
      <c r="A358" s="64" t="s">
        <v>1571</v>
      </c>
      <c r="B358" s="64" t="s">
        <v>1572</v>
      </c>
      <c r="C358" s="220">
        <v>178264</v>
      </c>
      <c r="D358" s="205"/>
      <c r="E358" s="206">
        <v>0</v>
      </c>
      <c r="F358" s="218">
        <f t="shared" si="5"/>
        <v>178264</v>
      </c>
      <c r="H358" t="e">
        <f ca="1">_xlfn.XLOOKUP(A358,Hoja1!A:A,Hoja1!G:G,0,0)</f>
        <v>#NAME?</v>
      </c>
    </row>
    <row r="359" spans="1:8" x14ac:dyDescent="0.25">
      <c r="A359" s="64" t="s">
        <v>1573</v>
      </c>
      <c r="B359" s="64" t="s">
        <v>1574</v>
      </c>
      <c r="C359" s="220">
        <v>171467</v>
      </c>
      <c r="D359" s="205"/>
      <c r="E359" s="206">
        <v>0</v>
      </c>
      <c r="F359" s="218">
        <f t="shared" si="5"/>
        <v>171467</v>
      </c>
      <c r="H359" t="e">
        <f ca="1">_xlfn.XLOOKUP(A359,Hoja1!A:A,Hoja1!G:G,0,0)</f>
        <v>#NAME?</v>
      </c>
    </row>
    <row r="360" spans="1:8" x14ac:dyDescent="0.25">
      <c r="A360" s="64" t="s">
        <v>93</v>
      </c>
      <c r="B360" s="64" t="s">
        <v>283</v>
      </c>
      <c r="C360" s="220">
        <v>35150</v>
      </c>
      <c r="D360" s="205"/>
      <c r="E360" s="206">
        <v>0</v>
      </c>
      <c r="F360" s="218">
        <f t="shared" si="5"/>
        <v>35150</v>
      </c>
      <c r="H360" t="e">
        <f ca="1">_xlfn.XLOOKUP(A360,Hoja1!A:A,Hoja1!G:G,0,0)</f>
        <v>#NAME?</v>
      </c>
    </row>
    <row r="361" spans="1:8" x14ac:dyDescent="0.25">
      <c r="A361" s="64" t="s">
        <v>94</v>
      </c>
      <c r="B361" s="64" t="s">
        <v>285</v>
      </c>
      <c r="C361" s="220">
        <v>23342</v>
      </c>
      <c r="D361" s="205"/>
      <c r="E361" s="206">
        <v>0</v>
      </c>
      <c r="F361" s="218">
        <f t="shared" si="5"/>
        <v>23342</v>
      </c>
      <c r="H361" t="e">
        <f ca="1">_xlfn.XLOOKUP(A361,Hoja1!A:A,Hoja1!G:G,0,0)</f>
        <v>#NAME?</v>
      </c>
    </row>
    <row r="362" spans="1:8" s="3" customFormat="1" x14ac:dyDescent="0.25">
      <c r="A362" s="64" t="s">
        <v>95</v>
      </c>
      <c r="B362" s="64" t="s">
        <v>287</v>
      </c>
      <c r="C362" s="220">
        <v>25076</v>
      </c>
      <c r="D362" s="205"/>
      <c r="E362" s="206">
        <v>0</v>
      </c>
      <c r="F362" s="218">
        <f t="shared" si="5"/>
        <v>25076</v>
      </c>
      <c r="H362" t="e">
        <f ca="1">_xlfn.XLOOKUP(A362,Hoja1!A:A,Hoja1!G:G,0,0)</f>
        <v>#NAME?</v>
      </c>
    </row>
    <row r="363" spans="1:8" x14ac:dyDescent="0.25">
      <c r="A363" s="64" t="s">
        <v>96</v>
      </c>
      <c r="B363" s="64" t="s">
        <v>289</v>
      </c>
      <c r="C363" s="220">
        <v>32845</v>
      </c>
      <c r="D363" s="205"/>
      <c r="E363" s="206">
        <v>0</v>
      </c>
      <c r="F363" s="218">
        <f t="shared" si="5"/>
        <v>32845</v>
      </c>
      <c r="H363" t="e">
        <f ca="1">_xlfn.XLOOKUP(A363,Hoja1!A:A,Hoja1!G:G,0,0)</f>
        <v>#NAME?</v>
      </c>
    </row>
    <row r="364" spans="1:8" x14ac:dyDescent="0.25">
      <c r="A364" s="64" t="s">
        <v>97</v>
      </c>
      <c r="B364" s="64" t="s">
        <v>291</v>
      </c>
      <c r="C364" s="220">
        <v>41874</v>
      </c>
      <c r="D364" s="205"/>
      <c r="E364" s="206">
        <v>0</v>
      </c>
      <c r="F364" s="218">
        <f t="shared" si="5"/>
        <v>41874</v>
      </c>
      <c r="H364" t="e">
        <f ca="1">_xlfn.XLOOKUP(A364,Hoja1!A:A,Hoja1!G:G,0,0)</f>
        <v>#NAME?</v>
      </c>
    </row>
    <row r="365" spans="1:8" x14ac:dyDescent="0.25">
      <c r="A365" s="64" t="s">
        <v>98</v>
      </c>
      <c r="B365" s="64" t="s">
        <v>293</v>
      </c>
      <c r="C365" s="220">
        <v>47560</v>
      </c>
      <c r="D365" s="205"/>
      <c r="E365" s="206">
        <v>0</v>
      </c>
      <c r="F365" s="218">
        <f t="shared" si="5"/>
        <v>47560</v>
      </c>
      <c r="H365" t="e">
        <f ca="1">_xlfn.XLOOKUP(A365,Hoja1!A:A,Hoja1!G:G,0,0)</f>
        <v>#NAME?</v>
      </c>
    </row>
    <row r="366" spans="1:8" x14ac:dyDescent="0.25">
      <c r="A366" s="64" t="s">
        <v>99</v>
      </c>
      <c r="B366" s="64" t="s">
        <v>295</v>
      </c>
      <c r="C366" s="220">
        <v>73459</v>
      </c>
      <c r="D366" s="205"/>
      <c r="E366" s="206">
        <v>0</v>
      </c>
      <c r="F366" s="218">
        <f t="shared" si="5"/>
        <v>73459</v>
      </c>
      <c r="H366" t="e">
        <f ca="1">_xlfn.XLOOKUP(A366,Hoja1!A:A,Hoja1!G:G,0,0)</f>
        <v>#NAME?</v>
      </c>
    </row>
    <row r="367" spans="1:8" x14ac:dyDescent="0.25">
      <c r="A367" s="64" t="s">
        <v>100</v>
      </c>
      <c r="B367" s="64" t="s">
        <v>101</v>
      </c>
      <c r="C367" s="220">
        <v>75193</v>
      </c>
      <c r="D367" s="205"/>
      <c r="E367" s="206">
        <v>0.74</v>
      </c>
      <c r="F367" s="218">
        <f t="shared" si="5"/>
        <v>75193</v>
      </c>
      <c r="H367" t="e">
        <f ca="1">_xlfn.XLOOKUP(A367,Hoja1!A:A,Hoja1!G:G,0,0)</f>
        <v>#NAME?</v>
      </c>
    </row>
    <row r="368" spans="1:8" x14ac:dyDescent="0.25">
      <c r="A368" s="64" t="s">
        <v>102</v>
      </c>
      <c r="B368" s="64" t="s">
        <v>103</v>
      </c>
      <c r="C368" s="220">
        <v>33444</v>
      </c>
      <c r="D368" s="205"/>
      <c r="E368" s="206">
        <v>0.81999999999999984</v>
      </c>
      <c r="F368" s="218">
        <f t="shared" si="5"/>
        <v>33444</v>
      </c>
      <c r="H368" t="e">
        <f ca="1">_xlfn.XLOOKUP(A368,Hoja1!A:A,Hoja1!G:G,0,0)</f>
        <v>#NAME?</v>
      </c>
    </row>
    <row r="369" spans="1:8" x14ac:dyDescent="0.25">
      <c r="A369" s="64" t="s">
        <v>104</v>
      </c>
      <c r="B369" s="64" t="s">
        <v>326</v>
      </c>
      <c r="C369" s="220">
        <v>36452</v>
      </c>
      <c r="D369" s="205"/>
      <c r="E369" s="206">
        <v>0</v>
      </c>
      <c r="F369" s="218">
        <f t="shared" si="5"/>
        <v>36452</v>
      </c>
      <c r="H369" t="e">
        <f ca="1">_xlfn.XLOOKUP(A369,Hoja1!A:A,Hoja1!G:G,0,0)</f>
        <v>#NAME?</v>
      </c>
    </row>
    <row r="370" spans="1:8" x14ac:dyDescent="0.25">
      <c r="A370" s="64" t="s">
        <v>105</v>
      </c>
      <c r="B370" s="64" t="s">
        <v>328</v>
      </c>
      <c r="C370" s="220">
        <v>36100</v>
      </c>
      <c r="D370" s="205"/>
      <c r="E370" s="206">
        <v>0</v>
      </c>
      <c r="F370" s="218">
        <f t="shared" si="5"/>
        <v>36100</v>
      </c>
      <c r="H370" t="e">
        <f ca="1">_xlfn.XLOOKUP(A370,Hoja1!A:A,Hoja1!G:G,0,0)</f>
        <v>#NAME?</v>
      </c>
    </row>
    <row r="371" spans="1:8" x14ac:dyDescent="0.25">
      <c r="A371" s="64" t="s">
        <v>106</v>
      </c>
      <c r="B371" s="64" t="s">
        <v>330</v>
      </c>
      <c r="C371" s="220">
        <v>51536</v>
      </c>
      <c r="D371" s="205"/>
      <c r="E371" s="206">
        <v>0</v>
      </c>
      <c r="F371" s="218">
        <f t="shared" si="5"/>
        <v>51536</v>
      </c>
      <c r="H371" t="e">
        <f ca="1">_xlfn.XLOOKUP(A371,Hoja1!A:A,Hoja1!G:G,0,0)</f>
        <v>#NAME?</v>
      </c>
    </row>
    <row r="372" spans="1:8" x14ac:dyDescent="0.25">
      <c r="A372" s="64" t="s">
        <v>625</v>
      </c>
      <c r="B372" s="64" t="s">
        <v>1575</v>
      </c>
      <c r="C372" s="220">
        <v>41344</v>
      </c>
      <c r="D372" s="205"/>
      <c r="E372" s="206">
        <v>0</v>
      </c>
      <c r="F372" s="218">
        <f t="shared" si="5"/>
        <v>41344</v>
      </c>
      <c r="H372" t="e">
        <f ca="1">_xlfn.XLOOKUP(A372,Hoja1!A:A,Hoja1!G:G,0,0)</f>
        <v>#NAME?</v>
      </c>
    </row>
    <row r="373" spans="1:8" x14ac:dyDescent="0.25">
      <c r="A373" s="64" t="s">
        <v>638</v>
      </c>
      <c r="B373" s="64" t="s">
        <v>1576</v>
      </c>
      <c r="C373" s="220">
        <v>53140</v>
      </c>
      <c r="D373" s="205"/>
      <c r="E373" s="206">
        <v>0</v>
      </c>
      <c r="F373" s="218">
        <f t="shared" si="5"/>
        <v>53140</v>
      </c>
      <c r="H373" t="e">
        <f ca="1">_xlfn.XLOOKUP(A373,Hoja1!A:A,Hoja1!G:G,0,0)</f>
        <v>#NAME?</v>
      </c>
    </row>
    <row r="374" spans="1:8" x14ac:dyDescent="0.25">
      <c r="A374" s="64" t="s">
        <v>626</v>
      </c>
      <c r="B374" s="64" t="s">
        <v>1577</v>
      </c>
      <c r="C374" s="220">
        <v>63415</v>
      </c>
      <c r="D374" s="205"/>
      <c r="E374" s="206">
        <v>0.19999999999999996</v>
      </c>
      <c r="F374" s="218">
        <f t="shared" si="5"/>
        <v>63415</v>
      </c>
      <c r="H374" t="e">
        <f ca="1">_xlfn.XLOOKUP(A374,Hoja1!A:A,Hoja1!G:G,0,0)</f>
        <v>#NAME?</v>
      </c>
    </row>
    <row r="375" spans="1:8" x14ac:dyDescent="0.25">
      <c r="A375" s="64" t="s">
        <v>627</v>
      </c>
      <c r="B375" s="64" t="s">
        <v>1578</v>
      </c>
      <c r="C375" s="220">
        <v>64659</v>
      </c>
      <c r="D375" s="205"/>
      <c r="E375" s="206">
        <v>0.19999999999999996</v>
      </c>
      <c r="F375" s="218">
        <f t="shared" si="5"/>
        <v>64659</v>
      </c>
      <c r="H375" t="e">
        <f ca="1">_xlfn.XLOOKUP(A375,Hoja1!A:A,Hoja1!G:G,0,0)</f>
        <v>#NAME?</v>
      </c>
    </row>
    <row r="376" spans="1:8" x14ac:dyDescent="0.25">
      <c r="A376" s="64" t="s">
        <v>2185</v>
      </c>
      <c r="B376" s="64" t="s">
        <v>2186</v>
      </c>
      <c r="C376" s="220">
        <v>46746</v>
      </c>
      <c r="D376" s="205"/>
      <c r="E376" s="206">
        <v>0.19999999999999996</v>
      </c>
      <c r="F376" s="218">
        <f t="shared" si="5"/>
        <v>46746</v>
      </c>
      <c r="H376" t="e">
        <f ca="1">_xlfn.XLOOKUP(A376,Hoja1!A:A,Hoja1!G:G,0,0)</f>
        <v>#NAME?</v>
      </c>
    </row>
    <row r="377" spans="1:8" x14ac:dyDescent="0.25">
      <c r="A377" s="64" t="s">
        <v>2187</v>
      </c>
      <c r="B377" s="64" t="s">
        <v>2188</v>
      </c>
      <c r="C377" s="220">
        <v>45944</v>
      </c>
      <c r="D377" s="205"/>
      <c r="E377" s="206">
        <v>0.19999999999999996</v>
      </c>
      <c r="F377" s="218">
        <f t="shared" si="5"/>
        <v>45944</v>
      </c>
      <c r="H377" t="e">
        <f ca="1">_xlfn.XLOOKUP(A377,Hoja1!A:A,Hoja1!G:G,0,0)</f>
        <v>#NAME?</v>
      </c>
    </row>
    <row r="378" spans="1:8" x14ac:dyDescent="0.25">
      <c r="A378" s="64" t="s">
        <v>2189</v>
      </c>
      <c r="B378" s="64" t="s">
        <v>2190</v>
      </c>
      <c r="C378" s="220">
        <v>49515</v>
      </c>
      <c r="D378" s="205"/>
      <c r="E378" s="206">
        <v>0</v>
      </c>
      <c r="F378" s="218">
        <f t="shared" si="5"/>
        <v>49515</v>
      </c>
      <c r="H378" t="e">
        <f ca="1">_xlfn.XLOOKUP(A378,Hoja1!A:A,Hoja1!G:G,0,0)</f>
        <v>#NAME?</v>
      </c>
    </row>
    <row r="379" spans="1:8" x14ac:dyDescent="0.25">
      <c r="A379" s="64" t="s">
        <v>2191</v>
      </c>
      <c r="B379" s="64" t="s">
        <v>2192</v>
      </c>
      <c r="C379" s="220">
        <v>48921</v>
      </c>
      <c r="D379" s="205"/>
      <c r="E379" s="206">
        <v>0</v>
      </c>
      <c r="F379" s="218">
        <f t="shared" si="5"/>
        <v>48921</v>
      </c>
      <c r="H379" t="e">
        <f ca="1">_xlfn.XLOOKUP(A379,Hoja1!A:A,Hoja1!G:G,0,0)</f>
        <v>#NAME?</v>
      </c>
    </row>
    <row r="380" spans="1:8" x14ac:dyDescent="0.25">
      <c r="A380" s="64" t="s">
        <v>2193</v>
      </c>
      <c r="B380" s="64" t="s">
        <v>2194</v>
      </c>
      <c r="C380" s="220">
        <v>50715</v>
      </c>
      <c r="D380" s="205"/>
      <c r="E380" s="206">
        <v>0</v>
      </c>
      <c r="F380" s="218">
        <f t="shared" si="5"/>
        <v>50715</v>
      </c>
      <c r="H380" t="e">
        <f ca="1">_xlfn.XLOOKUP(A380,Hoja1!A:A,Hoja1!G:G,0,0)</f>
        <v>#NAME?</v>
      </c>
    </row>
    <row r="381" spans="1:8" x14ac:dyDescent="0.25">
      <c r="A381" s="64" t="s">
        <v>628</v>
      </c>
      <c r="B381" s="64" t="s">
        <v>1579</v>
      </c>
      <c r="C381" s="220">
        <v>24252</v>
      </c>
      <c r="D381" s="205"/>
      <c r="E381" s="206">
        <v>0</v>
      </c>
      <c r="F381" s="218">
        <f t="shared" si="5"/>
        <v>24252</v>
      </c>
      <c r="H381" t="e">
        <f ca="1">_xlfn.XLOOKUP(A381,Hoja1!A:A,Hoja1!G:G,0,0)</f>
        <v>#NAME?</v>
      </c>
    </row>
    <row r="382" spans="1:8" x14ac:dyDescent="0.25">
      <c r="A382" s="64" t="s">
        <v>629</v>
      </c>
      <c r="B382" s="64" t="s">
        <v>1580</v>
      </c>
      <c r="C382" s="220">
        <v>24252</v>
      </c>
      <c r="D382" s="205"/>
      <c r="E382" s="206">
        <v>0</v>
      </c>
      <c r="F382" s="218">
        <f t="shared" si="5"/>
        <v>24252</v>
      </c>
      <c r="H382" t="e">
        <f ca="1">_xlfn.XLOOKUP(A382,Hoja1!A:A,Hoja1!G:G,0,0)</f>
        <v>#NAME?</v>
      </c>
    </row>
    <row r="383" spans="1:8" x14ac:dyDescent="0.25">
      <c r="A383" s="64" t="s">
        <v>630</v>
      </c>
      <c r="B383" s="64" t="s">
        <v>1581</v>
      </c>
      <c r="C383" s="220">
        <v>37338</v>
      </c>
      <c r="D383" s="205"/>
      <c r="E383" s="206">
        <v>0</v>
      </c>
      <c r="F383" s="218">
        <f t="shared" si="5"/>
        <v>37338</v>
      </c>
      <c r="H383" t="e">
        <f ca="1">_xlfn.XLOOKUP(A383,Hoja1!A:A,Hoja1!G:G,0,0)</f>
        <v>#NAME?</v>
      </c>
    </row>
    <row r="384" spans="1:8" x14ac:dyDescent="0.25">
      <c r="A384" s="64" t="s">
        <v>631</v>
      </c>
      <c r="B384" s="64" t="s">
        <v>1582</v>
      </c>
      <c r="C384" s="220">
        <v>37338</v>
      </c>
      <c r="D384" s="205"/>
      <c r="E384" s="206">
        <v>0</v>
      </c>
      <c r="F384" s="218">
        <f t="shared" si="5"/>
        <v>37338</v>
      </c>
      <c r="H384" t="e">
        <f ca="1">_xlfn.XLOOKUP(A384,Hoja1!A:A,Hoja1!G:G,0,0)</f>
        <v>#NAME?</v>
      </c>
    </row>
    <row r="385" spans="1:8" x14ac:dyDescent="0.25">
      <c r="A385" s="64" t="s">
        <v>1583</v>
      </c>
      <c r="B385" s="64" t="s">
        <v>1584</v>
      </c>
      <c r="C385" s="220">
        <v>132215</v>
      </c>
      <c r="D385" s="205"/>
      <c r="E385" s="206">
        <v>0</v>
      </c>
      <c r="F385" s="218">
        <f t="shared" si="5"/>
        <v>132215</v>
      </c>
      <c r="H385" t="e">
        <f ca="1">_xlfn.XLOOKUP(A385,Hoja1!A:A,Hoja1!G:G,0,0)</f>
        <v>#NAME?</v>
      </c>
    </row>
    <row r="386" spans="1:8" x14ac:dyDescent="0.25">
      <c r="A386" s="64" t="s">
        <v>1585</v>
      </c>
      <c r="B386" s="64" t="s">
        <v>1586</v>
      </c>
      <c r="C386" s="220">
        <v>154539</v>
      </c>
      <c r="D386" s="205"/>
      <c r="E386" s="206">
        <v>0</v>
      </c>
      <c r="F386" s="218">
        <f t="shared" si="5"/>
        <v>154539</v>
      </c>
      <c r="H386" t="e">
        <f ca="1">_xlfn.XLOOKUP(A386,Hoja1!A:A,Hoja1!G:G,0,0)</f>
        <v>#NAME?</v>
      </c>
    </row>
    <row r="387" spans="1:8" x14ac:dyDescent="0.25">
      <c r="A387" s="64" t="s">
        <v>1587</v>
      </c>
      <c r="B387" s="64" t="s">
        <v>1588</v>
      </c>
      <c r="C387" s="220">
        <v>62023</v>
      </c>
      <c r="D387" s="205"/>
      <c r="E387" s="206">
        <v>0</v>
      </c>
      <c r="F387" s="218">
        <f t="shared" ref="F387:F450" si="6">ROUND(C387,0)</f>
        <v>62023</v>
      </c>
      <c r="H387" t="e">
        <f ca="1">_xlfn.XLOOKUP(A387,Hoja1!A:A,Hoja1!G:G,0,0)</f>
        <v>#NAME?</v>
      </c>
    </row>
    <row r="388" spans="1:8" x14ac:dyDescent="0.25">
      <c r="A388" s="64" t="s">
        <v>1589</v>
      </c>
      <c r="B388" s="64" t="s">
        <v>1590</v>
      </c>
      <c r="C388" s="220">
        <v>41846</v>
      </c>
      <c r="D388" s="205"/>
      <c r="E388" s="206"/>
      <c r="F388" s="218">
        <f t="shared" si="6"/>
        <v>41846</v>
      </c>
      <c r="H388" s="222" t="e">
        <f ca="1">_xlfn.XLOOKUP(A388,Hoja1!A:A,Hoja1!G:G,0,0)</f>
        <v>#NAME?</v>
      </c>
    </row>
    <row r="389" spans="1:8" x14ac:dyDescent="0.25">
      <c r="A389" s="64" t="s">
        <v>107</v>
      </c>
      <c r="B389" s="64" t="s">
        <v>108</v>
      </c>
      <c r="C389" s="220">
        <v>118594</v>
      </c>
      <c r="D389" s="205"/>
      <c r="E389" s="206">
        <v>0</v>
      </c>
      <c r="F389" s="218">
        <f t="shared" si="6"/>
        <v>118594</v>
      </c>
      <c r="H389" t="e">
        <f ca="1">_xlfn.XLOOKUP(A389,Hoja1!A:A,Hoja1!G:G,0,0)</f>
        <v>#NAME?</v>
      </c>
    </row>
    <row r="390" spans="1:8" x14ac:dyDescent="0.25">
      <c r="A390" s="64" t="s">
        <v>109</v>
      </c>
      <c r="B390" s="64" t="s">
        <v>110</v>
      </c>
      <c r="C390" s="220">
        <v>200356</v>
      </c>
      <c r="D390" s="205"/>
      <c r="E390" s="206">
        <v>0</v>
      </c>
      <c r="F390" s="218">
        <f t="shared" si="6"/>
        <v>200356</v>
      </c>
      <c r="H390" t="e">
        <f ca="1">_xlfn.XLOOKUP(A390,Hoja1!A:A,Hoja1!G:G,0,0)</f>
        <v>#NAME?</v>
      </c>
    </row>
    <row r="391" spans="1:8" x14ac:dyDescent="0.25">
      <c r="A391" s="64" t="s">
        <v>111</v>
      </c>
      <c r="B391" s="64" t="s">
        <v>112</v>
      </c>
      <c r="C391" s="220">
        <v>224129</v>
      </c>
      <c r="D391" s="205"/>
      <c r="E391" s="206">
        <v>0</v>
      </c>
      <c r="F391" s="218">
        <f t="shared" si="6"/>
        <v>224129</v>
      </c>
      <c r="H391" t="e">
        <f ca="1">_xlfn.XLOOKUP(A391,Hoja1!A:A,Hoja1!G:G,0,0)</f>
        <v>#NAME?</v>
      </c>
    </row>
    <row r="392" spans="1:8" x14ac:dyDescent="0.25">
      <c r="A392" s="64" t="s">
        <v>1591</v>
      </c>
      <c r="B392" s="64" t="s">
        <v>1592</v>
      </c>
      <c r="C392" s="220">
        <v>74092</v>
      </c>
      <c r="D392" s="205"/>
      <c r="E392" s="206"/>
      <c r="F392" s="218">
        <f t="shared" si="6"/>
        <v>74092</v>
      </c>
      <c r="H392" s="222" t="e">
        <f ca="1">_xlfn.XLOOKUP(A392,Hoja1!A:A,Hoja1!G:G,0,0)</f>
        <v>#NAME?</v>
      </c>
    </row>
    <row r="393" spans="1:8" x14ac:dyDescent="0.25">
      <c r="A393" s="64" t="s">
        <v>1593</v>
      </c>
      <c r="B393" s="64" t="s">
        <v>1594</v>
      </c>
      <c r="C393" s="220">
        <v>49502</v>
      </c>
      <c r="D393" s="205"/>
      <c r="E393" s="206"/>
      <c r="F393" s="218">
        <f t="shared" si="6"/>
        <v>49502</v>
      </c>
      <c r="H393" s="222" t="e">
        <f ca="1">_xlfn.XLOOKUP(A393,Hoja1!A:A,Hoja1!G:G,0,0)</f>
        <v>#NAME?</v>
      </c>
    </row>
    <row r="394" spans="1:8" x14ac:dyDescent="0.25">
      <c r="A394" s="64" t="s">
        <v>1595</v>
      </c>
      <c r="B394" s="64" t="s">
        <v>2568</v>
      </c>
      <c r="C394" s="220">
        <v>44869</v>
      </c>
      <c r="D394" s="205"/>
      <c r="E394" s="206"/>
      <c r="F394" s="218">
        <f t="shared" si="6"/>
        <v>44869</v>
      </c>
      <c r="H394" s="222" t="e">
        <f ca="1">_xlfn.XLOOKUP(A394,Hoja1!A:A,Hoja1!G:G,0,0)</f>
        <v>#NAME?</v>
      </c>
    </row>
    <row r="395" spans="1:8" x14ac:dyDescent="0.25">
      <c r="A395" s="64" t="s">
        <v>606</v>
      </c>
      <c r="B395" s="64" t="s">
        <v>1597</v>
      </c>
      <c r="C395" s="220">
        <v>38559</v>
      </c>
      <c r="D395" s="205"/>
      <c r="E395" s="206">
        <v>0</v>
      </c>
      <c r="F395" s="218">
        <f t="shared" si="6"/>
        <v>38559</v>
      </c>
      <c r="H395" t="e">
        <f ca="1">_xlfn.XLOOKUP(A395,Hoja1!A:A,Hoja1!G:G,0,0)</f>
        <v>#NAME?</v>
      </c>
    </row>
    <row r="396" spans="1:8" x14ac:dyDescent="0.25">
      <c r="A396" s="64" t="s">
        <v>607</v>
      </c>
      <c r="B396" s="64" t="s">
        <v>1598</v>
      </c>
      <c r="C396" s="220">
        <v>50557</v>
      </c>
      <c r="D396" s="205"/>
      <c r="E396" s="206">
        <v>0</v>
      </c>
      <c r="F396" s="218">
        <f t="shared" si="6"/>
        <v>50557</v>
      </c>
      <c r="H396" t="e">
        <f ca="1">_xlfn.XLOOKUP(A396,Hoja1!A:A,Hoja1!G:G,0,0)</f>
        <v>#NAME?</v>
      </c>
    </row>
    <row r="397" spans="1:8" x14ac:dyDescent="0.25">
      <c r="A397" s="64" t="s">
        <v>608</v>
      </c>
      <c r="B397" s="64" t="s">
        <v>1599</v>
      </c>
      <c r="C397" s="220">
        <v>71460</v>
      </c>
      <c r="D397" s="205"/>
      <c r="E397" s="206">
        <v>0</v>
      </c>
      <c r="F397" s="218">
        <f t="shared" si="6"/>
        <v>71460</v>
      </c>
      <c r="H397" t="e">
        <f ca="1">_xlfn.XLOOKUP(A397,Hoja1!A:A,Hoja1!G:G,0,0)</f>
        <v>#NAME?</v>
      </c>
    </row>
    <row r="398" spans="1:8" x14ac:dyDescent="0.25">
      <c r="A398" s="64" t="s">
        <v>609</v>
      </c>
      <c r="B398" s="64" t="s">
        <v>1600</v>
      </c>
      <c r="C398" s="220">
        <v>50365</v>
      </c>
      <c r="D398" s="205"/>
      <c r="E398" s="206">
        <v>0</v>
      </c>
      <c r="F398" s="218">
        <f t="shared" si="6"/>
        <v>50365</v>
      </c>
      <c r="H398" t="e">
        <f ca="1">_xlfn.XLOOKUP(A398,Hoja1!A:A,Hoja1!G:G,0,0)</f>
        <v>#NAME?</v>
      </c>
    </row>
    <row r="399" spans="1:8" x14ac:dyDescent="0.25">
      <c r="A399" s="64" t="s">
        <v>610</v>
      </c>
      <c r="B399" s="64" t="s">
        <v>1601</v>
      </c>
      <c r="C399" s="220">
        <v>69114</v>
      </c>
      <c r="D399" s="205"/>
      <c r="E399" s="206">
        <v>0</v>
      </c>
      <c r="F399" s="218">
        <f t="shared" si="6"/>
        <v>69114</v>
      </c>
      <c r="H399" t="e">
        <f ca="1">_xlfn.XLOOKUP(A399,Hoja1!A:A,Hoja1!G:G,0,0)</f>
        <v>#NAME?</v>
      </c>
    </row>
    <row r="400" spans="1:8" x14ac:dyDescent="0.25">
      <c r="A400" s="64" t="s">
        <v>611</v>
      </c>
      <c r="B400" s="64" t="s">
        <v>1602</v>
      </c>
      <c r="C400" s="220">
        <v>69874</v>
      </c>
      <c r="D400" s="205"/>
      <c r="E400" s="206">
        <v>0</v>
      </c>
      <c r="F400" s="218">
        <f t="shared" si="6"/>
        <v>69874</v>
      </c>
      <c r="H400" t="e">
        <f ca="1">_xlfn.XLOOKUP(A400,Hoja1!A:A,Hoja1!G:G,0,0)</f>
        <v>#NAME?</v>
      </c>
    </row>
    <row r="401" spans="1:8" x14ac:dyDescent="0.25">
      <c r="A401" s="64" t="s">
        <v>612</v>
      </c>
      <c r="B401" s="64" t="s">
        <v>1603</v>
      </c>
      <c r="C401" s="220">
        <v>47348</v>
      </c>
      <c r="D401" s="205"/>
      <c r="E401" s="206">
        <v>0</v>
      </c>
      <c r="F401" s="218">
        <f t="shared" si="6"/>
        <v>47348</v>
      </c>
      <c r="H401" t="e">
        <f ca="1">_xlfn.XLOOKUP(A401,Hoja1!A:A,Hoja1!G:G,0,0)</f>
        <v>#NAME?</v>
      </c>
    </row>
    <row r="402" spans="1:8" x14ac:dyDescent="0.25">
      <c r="A402" s="64" t="s">
        <v>613</v>
      </c>
      <c r="B402" s="64" t="s">
        <v>1604</v>
      </c>
      <c r="C402" s="220">
        <v>73693</v>
      </c>
      <c r="D402" s="205"/>
      <c r="E402" s="206">
        <v>0</v>
      </c>
      <c r="F402" s="218">
        <f t="shared" si="6"/>
        <v>73693</v>
      </c>
      <c r="H402" t="e">
        <f ca="1">_xlfn.XLOOKUP(A402,Hoja1!A:A,Hoja1!G:G,0,0)</f>
        <v>#NAME?</v>
      </c>
    </row>
    <row r="403" spans="1:8" x14ac:dyDescent="0.25">
      <c r="A403" s="64" t="s">
        <v>614</v>
      </c>
      <c r="B403" s="64" t="s">
        <v>1605</v>
      </c>
      <c r="C403" s="220">
        <v>41478</v>
      </c>
      <c r="D403" s="205"/>
      <c r="E403" s="206">
        <v>0</v>
      </c>
      <c r="F403" s="218">
        <f t="shared" si="6"/>
        <v>41478</v>
      </c>
      <c r="H403" t="e">
        <f ca="1">_xlfn.XLOOKUP(A403,Hoja1!A:A,Hoja1!G:G,0,0)</f>
        <v>#NAME?</v>
      </c>
    </row>
    <row r="404" spans="1:8" x14ac:dyDescent="0.25">
      <c r="A404" s="64" t="s">
        <v>923</v>
      </c>
      <c r="B404" s="64" t="s">
        <v>1606</v>
      </c>
      <c r="C404" s="220">
        <v>58293</v>
      </c>
      <c r="D404" s="205"/>
      <c r="E404" s="206">
        <v>0</v>
      </c>
      <c r="F404" s="218">
        <f t="shared" si="6"/>
        <v>58293</v>
      </c>
      <c r="H404" t="e">
        <f ca="1">_xlfn.XLOOKUP(A404,Hoja1!A:A,Hoja1!G:G,0,0)</f>
        <v>#NAME?</v>
      </c>
    </row>
    <row r="405" spans="1:8" x14ac:dyDescent="0.25">
      <c r="A405" s="64" t="s">
        <v>924</v>
      </c>
      <c r="B405" s="64" t="s">
        <v>1607</v>
      </c>
      <c r="C405" s="220">
        <v>82031</v>
      </c>
      <c r="D405" s="205"/>
      <c r="E405" s="206">
        <v>0</v>
      </c>
      <c r="F405" s="218">
        <f t="shared" si="6"/>
        <v>82031</v>
      </c>
      <c r="H405" t="e">
        <f ca="1">_xlfn.XLOOKUP(A405,Hoja1!A:A,Hoja1!G:G,0,0)</f>
        <v>#NAME?</v>
      </c>
    </row>
    <row r="406" spans="1:8" x14ac:dyDescent="0.25">
      <c r="A406" s="64" t="s">
        <v>615</v>
      </c>
      <c r="B406" s="64" t="s">
        <v>1608</v>
      </c>
      <c r="C406" s="220">
        <v>40435</v>
      </c>
      <c r="D406" s="205"/>
      <c r="E406" s="206">
        <v>0</v>
      </c>
      <c r="F406" s="218">
        <f t="shared" si="6"/>
        <v>40435</v>
      </c>
      <c r="H406" t="e">
        <f ca="1">_xlfn.XLOOKUP(A406,Hoja1!A:A,Hoja1!G:G,0,0)</f>
        <v>#NAME?</v>
      </c>
    </row>
    <row r="407" spans="1:8" x14ac:dyDescent="0.25">
      <c r="A407" s="64" t="s">
        <v>616</v>
      </c>
      <c r="B407" s="64" t="s">
        <v>1609</v>
      </c>
      <c r="C407" s="220">
        <v>17013</v>
      </c>
      <c r="D407" s="205"/>
      <c r="E407" s="206">
        <v>0</v>
      </c>
      <c r="F407" s="218">
        <f t="shared" si="6"/>
        <v>17013</v>
      </c>
      <c r="H407" t="e">
        <f ca="1">_xlfn.XLOOKUP(A407,Hoja1!A:A,Hoja1!G:G,0,0)</f>
        <v>#NAME?</v>
      </c>
    </row>
    <row r="408" spans="1:8" x14ac:dyDescent="0.25">
      <c r="A408" s="64" t="s">
        <v>617</v>
      </c>
      <c r="B408" s="64" t="s">
        <v>1610</v>
      </c>
      <c r="C408" s="220">
        <v>17987</v>
      </c>
      <c r="D408" s="205"/>
      <c r="E408" s="206">
        <v>0</v>
      </c>
      <c r="F408" s="218">
        <f t="shared" si="6"/>
        <v>17987</v>
      </c>
      <c r="H408" t="e">
        <f ca="1">_xlfn.XLOOKUP(A408,Hoja1!A:A,Hoja1!G:G,0,0)</f>
        <v>#NAME?</v>
      </c>
    </row>
    <row r="409" spans="1:8" x14ac:dyDescent="0.25">
      <c r="A409" s="64" t="s">
        <v>618</v>
      </c>
      <c r="B409" s="64" t="s">
        <v>1611</v>
      </c>
      <c r="C409" s="220">
        <v>17532</v>
      </c>
      <c r="D409" s="205"/>
      <c r="E409" s="206">
        <v>0</v>
      </c>
      <c r="F409" s="218">
        <f t="shared" si="6"/>
        <v>17532</v>
      </c>
      <c r="H409" t="e">
        <f ca="1">_xlfn.XLOOKUP(A409,Hoja1!A:A,Hoja1!G:G,0,0)</f>
        <v>#NAME?</v>
      </c>
    </row>
    <row r="410" spans="1:8" x14ac:dyDescent="0.25">
      <c r="A410" s="64" t="s">
        <v>619</v>
      </c>
      <c r="B410" s="64" t="s">
        <v>1612</v>
      </c>
      <c r="C410" s="220">
        <v>15156</v>
      </c>
      <c r="D410" s="205"/>
      <c r="E410" s="206">
        <v>0.14999999999999991</v>
      </c>
      <c r="F410" s="218">
        <f t="shared" si="6"/>
        <v>15156</v>
      </c>
      <c r="H410" t="e">
        <f ca="1">_xlfn.XLOOKUP(A410,Hoja1!A:A,Hoja1!G:G,0,0)</f>
        <v>#NAME?</v>
      </c>
    </row>
    <row r="411" spans="1:8" x14ac:dyDescent="0.25">
      <c r="A411" s="64" t="s">
        <v>620</v>
      </c>
      <c r="B411" s="64" t="s">
        <v>1613</v>
      </c>
      <c r="C411" s="220">
        <v>12287</v>
      </c>
      <c r="D411" s="205"/>
      <c r="E411" s="206">
        <v>0.14999999999999991</v>
      </c>
      <c r="F411" s="218">
        <f t="shared" si="6"/>
        <v>12287</v>
      </c>
      <c r="H411" t="e">
        <f ca="1">_xlfn.XLOOKUP(A411,Hoja1!A:A,Hoja1!G:G,0,0)</f>
        <v>#NAME?</v>
      </c>
    </row>
    <row r="412" spans="1:8" x14ac:dyDescent="0.25">
      <c r="A412" s="64" t="s">
        <v>621</v>
      </c>
      <c r="B412" s="64" t="s">
        <v>1614</v>
      </c>
      <c r="C412" s="220">
        <v>12273</v>
      </c>
      <c r="D412" s="205"/>
      <c r="E412" s="206">
        <v>0.14999999999999991</v>
      </c>
      <c r="F412" s="218">
        <f t="shared" si="6"/>
        <v>12273</v>
      </c>
      <c r="H412" t="e">
        <f ca="1">_xlfn.XLOOKUP(A412,Hoja1!A:A,Hoja1!G:G,0,0)</f>
        <v>#NAME?</v>
      </c>
    </row>
    <row r="413" spans="1:8" x14ac:dyDescent="0.25">
      <c r="A413" s="64" t="s">
        <v>1615</v>
      </c>
      <c r="B413" s="64" t="s">
        <v>1616</v>
      </c>
      <c r="C413" s="220">
        <v>191253</v>
      </c>
      <c r="D413" s="205"/>
      <c r="E413" s="206">
        <v>0</v>
      </c>
      <c r="F413" s="218">
        <f t="shared" si="6"/>
        <v>191253</v>
      </c>
      <c r="H413" t="e">
        <f ca="1">_xlfn.XLOOKUP(A413,Hoja1!A:A,Hoja1!G:G,0,0)</f>
        <v>#NAME?</v>
      </c>
    </row>
    <row r="414" spans="1:8" x14ac:dyDescent="0.25">
      <c r="A414" s="64" t="s">
        <v>1617</v>
      </c>
      <c r="B414" s="64" t="s">
        <v>1618</v>
      </c>
      <c r="C414" s="220">
        <v>154449</v>
      </c>
      <c r="D414" s="205"/>
      <c r="E414" s="206">
        <v>0</v>
      </c>
      <c r="F414" s="218">
        <f t="shared" si="6"/>
        <v>154449</v>
      </c>
      <c r="H414" t="e">
        <f ca="1">_xlfn.XLOOKUP(A414,Hoja1!A:A,Hoja1!G:G,0,0)</f>
        <v>#NAME?</v>
      </c>
    </row>
    <row r="415" spans="1:8" x14ac:dyDescent="0.25">
      <c r="A415" s="64" t="s">
        <v>1619</v>
      </c>
      <c r="B415" s="64" t="s">
        <v>1620</v>
      </c>
      <c r="C415" s="220">
        <v>6628</v>
      </c>
      <c r="D415" s="205"/>
      <c r="E415" s="206">
        <v>0</v>
      </c>
      <c r="F415" s="218">
        <f t="shared" si="6"/>
        <v>6628</v>
      </c>
      <c r="H415" t="e">
        <f ca="1">_xlfn.XLOOKUP(A415,Hoja1!A:A,Hoja1!G:G,0,0)</f>
        <v>#NAME?</v>
      </c>
    </row>
    <row r="416" spans="1:8" x14ac:dyDescent="0.25">
      <c r="A416" s="64" t="s">
        <v>1621</v>
      </c>
      <c r="B416" s="64" t="s">
        <v>1622</v>
      </c>
      <c r="C416" s="220">
        <v>11644</v>
      </c>
      <c r="D416" s="205"/>
      <c r="E416" s="206">
        <v>0</v>
      </c>
      <c r="F416" s="218">
        <f t="shared" si="6"/>
        <v>11644</v>
      </c>
      <c r="H416" t="e">
        <f ca="1">_xlfn.XLOOKUP(A416,Hoja1!A:A,Hoja1!G:G,0,0)</f>
        <v>#NAME?</v>
      </c>
    </row>
    <row r="417" spans="1:8" x14ac:dyDescent="0.25">
      <c r="A417" s="64" t="s">
        <v>1623</v>
      </c>
      <c r="B417" s="64" t="s">
        <v>1624</v>
      </c>
      <c r="C417" s="220">
        <v>15929</v>
      </c>
      <c r="D417" s="205"/>
      <c r="E417" s="206">
        <v>0</v>
      </c>
      <c r="F417" s="218">
        <f t="shared" si="6"/>
        <v>15929</v>
      </c>
      <c r="H417" t="e">
        <f ca="1">_xlfn.XLOOKUP(A417,Hoja1!A:A,Hoja1!G:G,0,0)</f>
        <v>#NAME?</v>
      </c>
    </row>
    <row r="418" spans="1:8" x14ac:dyDescent="0.25">
      <c r="A418" s="64" t="s">
        <v>1625</v>
      </c>
      <c r="B418" s="64" t="s">
        <v>1626</v>
      </c>
      <c r="C418" s="220">
        <v>27669</v>
      </c>
      <c r="D418" s="205"/>
      <c r="E418" s="206">
        <v>0</v>
      </c>
      <c r="F418" s="218">
        <f t="shared" si="6"/>
        <v>27669</v>
      </c>
      <c r="H418" t="e">
        <f ca="1">_xlfn.XLOOKUP(A418,Hoja1!A:A,Hoja1!G:G,0,0)</f>
        <v>#NAME?</v>
      </c>
    </row>
    <row r="419" spans="1:8" x14ac:dyDescent="0.25">
      <c r="A419" s="64" t="s">
        <v>1627</v>
      </c>
      <c r="B419" s="64" t="s">
        <v>1628</v>
      </c>
      <c r="C419" s="220">
        <v>33381</v>
      </c>
      <c r="D419" s="205"/>
      <c r="E419" s="206">
        <v>0</v>
      </c>
      <c r="F419" s="218">
        <f t="shared" si="6"/>
        <v>33381</v>
      </c>
      <c r="H419" t="e">
        <f ca="1">_xlfn.XLOOKUP(A419,Hoja1!A:A,Hoja1!G:G,0,0)</f>
        <v>#NAME?</v>
      </c>
    </row>
    <row r="420" spans="1:8" x14ac:dyDescent="0.25">
      <c r="A420" s="64" t="s">
        <v>789</v>
      </c>
      <c r="B420" s="64" t="s">
        <v>809</v>
      </c>
      <c r="C420" s="220">
        <v>78002</v>
      </c>
      <c r="D420" s="205"/>
      <c r="E420" s="206">
        <v>0</v>
      </c>
      <c r="F420" s="218">
        <f t="shared" si="6"/>
        <v>78002</v>
      </c>
      <c r="H420" t="e">
        <f ca="1">_xlfn.XLOOKUP(A420,Hoja1!A:A,Hoja1!G:G,0,0)</f>
        <v>#NAME?</v>
      </c>
    </row>
    <row r="421" spans="1:8" x14ac:dyDescent="0.25">
      <c r="A421" s="64" t="s">
        <v>790</v>
      </c>
      <c r="B421" s="64" t="s">
        <v>810</v>
      </c>
      <c r="C421" s="220">
        <v>61696</v>
      </c>
      <c r="D421" s="205"/>
      <c r="E421" s="206">
        <v>0</v>
      </c>
      <c r="F421" s="218">
        <f t="shared" si="6"/>
        <v>61696</v>
      </c>
      <c r="H421" t="e">
        <f ca="1">_xlfn.XLOOKUP(A421,Hoja1!A:A,Hoja1!G:G,0,0)</f>
        <v>#NAME?</v>
      </c>
    </row>
    <row r="422" spans="1:8" x14ac:dyDescent="0.25">
      <c r="A422" s="64" t="s">
        <v>791</v>
      </c>
      <c r="B422" s="64" t="s">
        <v>811</v>
      </c>
      <c r="C422" s="220">
        <v>62284</v>
      </c>
      <c r="D422" s="205"/>
      <c r="E422" s="206">
        <v>0</v>
      </c>
      <c r="F422" s="218">
        <f t="shared" si="6"/>
        <v>62284</v>
      </c>
      <c r="H422" t="e">
        <f ca="1">_xlfn.XLOOKUP(A422,Hoja1!A:A,Hoja1!G:G,0,0)</f>
        <v>#NAME?</v>
      </c>
    </row>
    <row r="423" spans="1:8" x14ac:dyDescent="0.25">
      <c r="A423" s="64" t="s">
        <v>1629</v>
      </c>
      <c r="B423" s="64" t="s">
        <v>1630</v>
      </c>
      <c r="C423" s="220">
        <v>79832</v>
      </c>
      <c r="D423" s="205"/>
      <c r="E423" s="206">
        <v>0</v>
      </c>
      <c r="F423" s="218">
        <f t="shared" si="6"/>
        <v>79832</v>
      </c>
      <c r="H423" t="e">
        <f ca="1">_xlfn.XLOOKUP(A423,Hoja1!A:A,Hoja1!G:G,0,0)</f>
        <v>#NAME?</v>
      </c>
    </row>
    <row r="424" spans="1:8" x14ac:dyDescent="0.25">
      <c r="A424" s="64" t="s">
        <v>792</v>
      </c>
      <c r="B424" s="64" t="s">
        <v>812</v>
      </c>
      <c r="C424" s="220">
        <v>86186</v>
      </c>
      <c r="D424" s="205"/>
      <c r="E424" s="206">
        <v>0</v>
      </c>
      <c r="F424" s="218">
        <f t="shared" si="6"/>
        <v>86186</v>
      </c>
      <c r="H424" t="e">
        <f ca="1">_xlfn.XLOOKUP(A424,Hoja1!A:A,Hoja1!G:G,0,0)</f>
        <v>#NAME?</v>
      </c>
    </row>
    <row r="425" spans="1:8" x14ac:dyDescent="0.25">
      <c r="A425" s="64" t="s">
        <v>793</v>
      </c>
      <c r="B425" s="64" t="s">
        <v>813</v>
      </c>
      <c r="C425" s="220">
        <v>111638</v>
      </c>
      <c r="D425" s="205"/>
      <c r="E425" s="206">
        <v>0</v>
      </c>
      <c r="F425" s="218">
        <f t="shared" si="6"/>
        <v>111638</v>
      </c>
      <c r="H425" t="e">
        <f ca="1">_xlfn.XLOOKUP(A425,Hoja1!A:A,Hoja1!G:G,0,0)</f>
        <v>#NAME?</v>
      </c>
    </row>
    <row r="426" spans="1:8" x14ac:dyDescent="0.25">
      <c r="A426" s="64" t="s">
        <v>794</v>
      </c>
      <c r="B426" s="64" t="s">
        <v>814</v>
      </c>
      <c r="C426" s="220">
        <v>31992</v>
      </c>
      <c r="D426" s="205"/>
      <c r="E426" s="206">
        <v>0</v>
      </c>
      <c r="F426" s="218">
        <f t="shared" si="6"/>
        <v>31992</v>
      </c>
      <c r="H426" t="e">
        <f ca="1">_xlfn.XLOOKUP(A426,Hoja1!A:A,Hoja1!G:G,0,0)</f>
        <v>#NAME?</v>
      </c>
    </row>
    <row r="427" spans="1:8" x14ac:dyDescent="0.25">
      <c r="A427" s="64" t="s">
        <v>1631</v>
      </c>
      <c r="B427" s="64" t="s">
        <v>1632</v>
      </c>
      <c r="C427" s="220">
        <v>67804</v>
      </c>
      <c r="D427" s="205"/>
      <c r="E427" s="206">
        <v>0</v>
      </c>
      <c r="F427" s="218">
        <f t="shared" si="6"/>
        <v>67804</v>
      </c>
      <c r="H427" t="e">
        <f ca="1">_xlfn.XLOOKUP(A427,Hoja1!A:A,Hoja1!G:G,0,0)</f>
        <v>#NAME?</v>
      </c>
    </row>
    <row r="428" spans="1:8" x14ac:dyDescent="0.25">
      <c r="A428" s="64" t="s">
        <v>795</v>
      </c>
      <c r="B428" s="64" t="s">
        <v>815</v>
      </c>
      <c r="C428" s="220">
        <v>73817</v>
      </c>
      <c r="D428" s="205"/>
      <c r="E428" s="206">
        <v>0</v>
      </c>
      <c r="F428" s="218">
        <f t="shared" si="6"/>
        <v>73817</v>
      </c>
      <c r="H428" t="e">
        <f ca="1">_xlfn.XLOOKUP(A428,Hoja1!A:A,Hoja1!G:G,0,0)</f>
        <v>#NAME?</v>
      </c>
    </row>
    <row r="429" spans="1:8" x14ac:dyDescent="0.25">
      <c r="A429" s="64" t="s">
        <v>1633</v>
      </c>
      <c r="B429" s="64" t="s">
        <v>1634</v>
      </c>
      <c r="C429" s="220">
        <v>94825</v>
      </c>
      <c r="D429" s="205"/>
      <c r="E429" s="206">
        <v>0</v>
      </c>
      <c r="F429" s="218">
        <f t="shared" si="6"/>
        <v>94825</v>
      </c>
      <c r="H429" t="e">
        <f ca="1">_xlfn.XLOOKUP(A429,Hoja1!A:A,Hoja1!G:G,0,0)</f>
        <v>#NAME?</v>
      </c>
    </row>
    <row r="430" spans="1:8" x14ac:dyDescent="0.25">
      <c r="A430" s="64" t="s">
        <v>796</v>
      </c>
      <c r="B430" s="64" t="s">
        <v>816</v>
      </c>
      <c r="C430" s="220">
        <v>67976</v>
      </c>
      <c r="D430" s="205"/>
      <c r="E430" s="206">
        <v>0</v>
      </c>
      <c r="F430" s="218">
        <f t="shared" si="6"/>
        <v>67976</v>
      </c>
      <c r="H430" t="e">
        <f ca="1">_xlfn.XLOOKUP(A430,Hoja1!A:A,Hoja1!G:G,0,0)</f>
        <v>#NAME?</v>
      </c>
    </row>
    <row r="431" spans="1:8" x14ac:dyDescent="0.25">
      <c r="A431" s="64" t="s">
        <v>797</v>
      </c>
      <c r="B431" s="64" t="s">
        <v>817</v>
      </c>
      <c r="C431" s="220">
        <v>94763</v>
      </c>
      <c r="D431" s="205"/>
      <c r="E431" s="206">
        <v>0.5</v>
      </c>
      <c r="F431" s="218">
        <f t="shared" si="6"/>
        <v>94763</v>
      </c>
      <c r="H431" t="e">
        <f ca="1">_xlfn.XLOOKUP(A431,Hoja1!A:A,Hoja1!G:G,0,0)</f>
        <v>#NAME?</v>
      </c>
    </row>
    <row r="432" spans="1:8" x14ac:dyDescent="0.25">
      <c r="A432" s="64" t="s">
        <v>798</v>
      </c>
      <c r="B432" s="64" t="s">
        <v>818</v>
      </c>
      <c r="C432" s="220">
        <v>75268</v>
      </c>
      <c r="D432" s="205"/>
      <c r="E432" s="206">
        <v>0.5</v>
      </c>
      <c r="F432" s="218">
        <f t="shared" si="6"/>
        <v>75268</v>
      </c>
      <c r="H432" t="e">
        <f ca="1">_xlfn.XLOOKUP(A432,Hoja1!A:A,Hoja1!G:G,0,0)</f>
        <v>#NAME?</v>
      </c>
    </row>
    <row r="433" spans="1:8" x14ac:dyDescent="0.25">
      <c r="A433" s="64" t="s">
        <v>1635</v>
      </c>
      <c r="B433" s="64" t="s">
        <v>1636</v>
      </c>
      <c r="C433" s="220">
        <v>6185</v>
      </c>
      <c r="D433" s="205"/>
      <c r="E433" s="206">
        <v>0.55000000000000004</v>
      </c>
      <c r="F433" s="218">
        <f t="shared" si="6"/>
        <v>6185</v>
      </c>
      <c r="H433" t="e">
        <f ca="1">_xlfn.XLOOKUP(A433,Hoja1!A:A,Hoja1!G:G,0,0)</f>
        <v>#NAME?</v>
      </c>
    </row>
    <row r="434" spans="1:8" x14ac:dyDescent="0.25">
      <c r="A434" s="64" t="s">
        <v>1637</v>
      </c>
      <c r="B434" s="64" t="s">
        <v>1638</v>
      </c>
      <c r="C434" s="220">
        <v>7688</v>
      </c>
      <c r="D434" s="205"/>
      <c r="E434" s="206">
        <v>0.55000000000000004</v>
      </c>
      <c r="F434" s="218">
        <f t="shared" si="6"/>
        <v>7688</v>
      </c>
      <c r="H434" t="e">
        <f ca="1">_xlfn.XLOOKUP(A434,Hoja1!A:A,Hoja1!G:G,0,0)</f>
        <v>#NAME?</v>
      </c>
    </row>
    <row r="435" spans="1:8" x14ac:dyDescent="0.25">
      <c r="A435" s="64" t="s">
        <v>1639</v>
      </c>
      <c r="B435" s="64" t="s">
        <v>1640</v>
      </c>
      <c r="C435" s="220">
        <v>8981</v>
      </c>
      <c r="D435" s="205"/>
      <c r="E435" s="206">
        <v>0.55000000000000004</v>
      </c>
      <c r="F435" s="218">
        <f t="shared" si="6"/>
        <v>8981</v>
      </c>
      <c r="H435" t="e">
        <f ca="1">_xlfn.XLOOKUP(A435,Hoja1!A:A,Hoja1!G:G,0,0)</f>
        <v>#NAME?</v>
      </c>
    </row>
    <row r="436" spans="1:8" x14ac:dyDescent="0.25">
      <c r="A436" s="64" t="s">
        <v>1641</v>
      </c>
      <c r="B436" s="64" t="s">
        <v>1642</v>
      </c>
      <c r="C436" s="220">
        <v>18720</v>
      </c>
      <c r="D436" s="205"/>
      <c r="E436" s="206">
        <v>0.55000000000000004</v>
      </c>
      <c r="F436" s="218">
        <f t="shared" si="6"/>
        <v>18720</v>
      </c>
      <c r="H436" t="e">
        <f ca="1">_xlfn.XLOOKUP(A436,Hoja1!A:A,Hoja1!G:G,0,0)</f>
        <v>#NAME?</v>
      </c>
    </row>
    <row r="437" spans="1:8" x14ac:dyDescent="0.25">
      <c r="A437" s="64" t="s">
        <v>1643</v>
      </c>
      <c r="B437" s="64" t="s">
        <v>1644</v>
      </c>
      <c r="C437" s="220">
        <v>12348</v>
      </c>
      <c r="D437" s="205"/>
      <c r="E437" s="206">
        <v>0.55000000000000004</v>
      </c>
      <c r="F437" s="218">
        <f t="shared" si="6"/>
        <v>12348</v>
      </c>
      <c r="H437" t="e">
        <f ca="1">_xlfn.XLOOKUP(A437,Hoja1!A:A,Hoja1!G:G,0,0)</f>
        <v>#NAME?</v>
      </c>
    </row>
    <row r="438" spans="1:8" x14ac:dyDescent="0.25">
      <c r="A438" s="64" t="s">
        <v>1645</v>
      </c>
      <c r="B438" s="64" t="s">
        <v>1646</v>
      </c>
      <c r="C438" s="220">
        <v>23400</v>
      </c>
      <c r="D438" s="205"/>
      <c r="E438" s="206">
        <v>0</v>
      </c>
      <c r="F438" s="218">
        <f t="shared" si="6"/>
        <v>23400</v>
      </c>
      <c r="H438" t="e">
        <f ca="1">_xlfn.XLOOKUP(A438,Hoja1!A:A,Hoja1!G:G,0,0)</f>
        <v>#NAME?</v>
      </c>
    </row>
    <row r="439" spans="1:8" x14ac:dyDescent="0.25">
      <c r="A439" s="64" t="s">
        <v>1647</v>
      </c>
      <c r="B439" s="64" t="s">
        <v>1648</v>
      </c>
      <c r="C439" s="220">
        <v>6694</v>
      </c>
      <c r="D439" s="205"/>
      <c r="E439" s="206">
        <v>0</v>
      </c>
      <c r="F439" s="218">
        <f t="shared" si="6"/>
        <v>6694</v>
      </c>
      <c r="H439" t="e">
        <f ca="1">_xlfn.XLOOKUP(A439,Hoja1!A:A,Hoja1!G:G,0,0)</f>
        <v>#NAME?</v>
      </c>
    </row>
    <row r="440" spans="1:8" x14ac:dyDescent="0.25">
      <c r="A440" s="64" t="s">
        <v>1649</v>
      </c>
      <c r="B440" s="64" t="s">
        <v>1650</v>
      </c>
      <c r="C440" s="220">
        <v>9469</v>
      </c>
      <c r="D440" s="205"/>
      <c r="E440" s="206">
        <v>0</v>
      </c>
      <c r="F440" s="218">
        <f t="shared" si="6"/>
        <v>9469</v>
      </c>
      <c r="H440" t="e">
        <f ca="1">_xlfn.XLOOKUP(A440,Hoja1!A:A,Hoja1!G:G,0,0)</f>
        <v>#NAME?</v>
      </c>
    </row>
    <row r="441" spans="1:8" x14ac:dyDescent="0.25">
      <c r="A441" s="64" t="s">
        <v>1651</v>
      </c>
      <c r="B441" s="64" t="s">
        <v>1652</v>
      </c>
      <c r="C441" s="220">
        <v>15141</v>
      </c>
      <c r="D441" s="205"/>
      <c r="E441" s="206">
        <v>0</v>
      </c>
      <c r="F441" s="218">
        <f t="shared" si="6"/>
        <v>15141</v>
      </c>
      <c r="H441" t="e">
        <f ca="1">_xlfn.XLOOKUP(A441,Hoja1!A:A,Hoja1!G:G,0,0)</f>
        <v>#NAME?</v>
      </c>
    </row>
    <row r="442" spans="1:8" x14ac:dyDescent="0.25">
      <c r="A442" s="64" t="s">
        <v>1653</v>
      </c>
      <c r="B442" s="64" t="s">
        <v>1654</v>
      </c>
      <c r="C442" s="220">
        <v>19888</v>
      </c>
      <c r="D442" s="205"/>
      <c r="E442" s="206">
        <v>0</v>
      </c>
      <c r="F442" s="218">
        <f t="shared" si="6"/>
        <v>19888</v>
      </c>
      <c r="H442" t="e">
        <f ca="1">_xlfn.XLOOKUP(A442,Hoja1!A:A,Hoja1!G:G,0,0)</f>
        <v>#NAME?</v>
      </c>
    </row>
    <row r="443" spans="1:8" x14ac:dyDescent="0.25">
      <c r="A443" s="64" t="s">
        <v>1655</v>
      </c>
      <c r="B443" s="64" t="s">
        <v>1656</v>
      </c>
      <c r="C443" s="220">
        <v>120347</v>
      </c>
      <c r="D443" s="205"/>
      <c r="E443" s="206">
        <v>0</v>
      </c>
      <c r="F443" s="218">
        <f t="shared" si="6"/>
        <v>120347</v>
      </c>
      <c r="H443" t="e">
        <f ca="1">_xlfn.XLOOKUP(A443,Hoja1!A:A,Hoja1!G:G,0,0)</f>
        <v>#NAME?</v>
      </c>
    </row>
    <row r="444" spans="1:8" x14ac:dyDescent="0.25">
      <c r="A444" s="64" t="s">
        <v>1657</v>
      </c>
      <c r="B444" s="64" t="s">
        <v>1658</v>
      </c>
      <c r="C444" s="220">
        <v>35300</v>
      </c>
      <c r="D444" s="205"/>
      <c r="E444" s="206">
        <v>0</v>
      </c>
      <c r="F444" s="218">
        <f t="shared" si="6"/>
        <v>35300</v>
      </c>
      <c r="H444" t="e">
        <f ca="1">_xlfn.XLOOKUP(A444,Hoja1!A:A,Hoja1!G:G,0,0)</f>
        <v>#NAME?</v>
      </c>
    </row>
    <row r="445" spans="1:8" x14ac:dyDescent="0.25">
      <c r="A445" s="64" t="s">
        <v>1659</v>
      </c>
      <c r="B445" s="64" t="s">
        <v>1660</v>
      </c>
      <c r="C445" s="220">
        <v>109011</v>
      </c>
      <c r="D445" s="205"/>
      <c r="E445" s="206">
        <v>0</v>
      </c>
      <c r="F445" s="218">
        <f t="shared" si="6"/>
        <v>109011</v>
      </c>
      <c r="H445" t="e">
        <f ca="1">_xlfn.XLOOKUP(A445,Hoja1!A:A,Hoja1!G:G,0,0)</f>
        <v>#NAME?</v>
      </c>
    </row>
    <row r="446" spans="1:8" x14ac:dyDescent="0.25">
      <c r="A446" s="64" t="s">
        <v>113</v>
      </c>
      <c r="B446" s="64" t="s">
        <v>1661</v>
      </c>
      <c r="C446" s="220">
        <v>117611</v>
      </c>
      <c r="D446" s="205"/>
      <c r="E446" s="206">
        <v>0</v>
      </c>
      <c r="F446" s="218">
        <f t="shared" si="6"/>
        <v>117611</v>
      </c>
      <c r="H446" t="e">
        <f ca="1">_xlfn.XLOOKUP(A446,Hoja1!A:A,Hoja1!G:G,0,0)</f>
        <v>#NAME?</v>
      </c>
    </row>
    <row r="447" spans="1:8" x14ac:dyDescent="0.25">
      <c r="A447" s="64" t="s">
        <v>114</v>
      </c>
      <c r="B447" s="64" t="s">
        <v>1662</v>
      </c>
      <c r="C447" s="220">
        <v>83484</v>
      </c>
      <c r="D447" s="205"/>
      <c r="E447" s="206">
        <v>0</v>
      </c>
      <c r="F447" s="218">
        <f t="shared" si="6"/>
        <v>83484</v>
      </c>
      <c r="H447" t="e">
        <f ca="1">_xlfn.XLOOKUP(A447,Hoja1!A:A,Hoja1!G:G,0,0)</f>
        <v>#NAME?</v>
      </c>
    </row>
    <row r="448" spans="1:8" x14ac:dyDescent="0.25">
      <c r="A448" s="64" t="s">
        <v>115</v>
      </c>
      <c r="B448" s="64" t="s">
        <v>1663</v>
      </c>
      <c r="C448" s="220">
        <v>89757</v>
      </c>
      <c r="D448" s="205"/>
      <c r="E448" s="206">
        <v>0</v>
      </c>
      <c r="F448" s="218">
        <f t="shared" si="6"/>
        <v>89757</v>
      </c>
      <c r="H448" t="e">
        <f ca="1">_xlfn.XLOOKUP(A448,Hoja1!A:A,Hoja1!G:G,0,0)</f>
        <v>#NAME?</v>
      </c>
    </row>
    <row r="449" spans="1:8" x14ac:dyDescent="0.25">
      <c r="A449" s="64" t="s">
        <v>116</v>
      </c>
      <c r="B449" s="64" t="s">
        <v>1664</v>
      </c>
      <c r="C449" s="220">
        <v>107489</v>
      </c>
      <c r="D449" s="205"/>
      <c r="E449" s="206">
        <v>0</v>
      </c>
      <c r="F449" s="218">
        <f t="shared" si="6"/>
        <v>107489</v>
      </c>
      <c r="H449" t="e">
        <f ca="1">_xlfn.XLOOKUP(A449,Hoja1!A:A,Hoja1!G:G,0,0)</f>
        <v>#NAME?</v>
      </c>
    </row>
    <row r="450" spans="1:8" x14ac:dyDescent="0.25">
      <c r="A450" s="64" t="s">
        <v>117</v>
      </c>
      <c r="B450" s="64" t="s">
        <v>1665</v>
      </c>
      <c r="C450" s="220">
        <v>112148</v>
      </c>
      <c r="D450" s="205"/>
      <c r="E450" s="206">
        <v>0</v>
      </c>
      <c r="F450" s="218">
        <f t="shared" si="6"/>
        <v>112148</v>
      </c>
      <c r="H450" t="e">
        <f ca="1">_xlfn.XLOOKUP(A450,Hoja1!A:A,Hoja1!G:G,0,0)</f>
        <v>#NAME?</v>
      </c>
    </row>
    <row r="451" spans="1:8" x14ac:dyDescent="0.25">
      <c r="A451" s="64" t="s">
        <v>118</v>
      </c>
      <c r="B451" s="64" t="s">
        <v>1666</v>
      </c>
      <c r="C451" s="220">
        <v>87105</v>
      </c>
      <c r="D451" s="205"/>
      <c r="E451" s="206">
        <v>0</v>
      </c>
      <c r="F451" s="218">
        <f t="shared" ref="F451:F514" si="7">ROUND(C451,0)</f>
        <v>87105</v>
      </c>
      <c r="H451" t="e">
        <f ca="1">_xlfn.XLOOKUP(A451,Hoja1!A:A,Hoja1!G:G,0,0)</f>
        <v>#NAME?</v>
      </c>
    </row>
    <row r="452" spans="1:8" x14ac:dyDescent="0.25">
      <c r="A452" s="64" t="s">
        <v>119</v>
      </c>
      <c r="B452" s="64" t="s">
        <v>1667</v>
      </c>
      <c r="C452" s="220">
        <v>91897</v>
      </c>
      <c r="D452" s="205"/>
      <c r="E452" s="206">
        <v>0</v>
      </c>
      <c r="F452" s="218">
        <f t="shared" si="7"/>
        <v>91897</v>
      </c>
      <c r="H452" t="e">
        <f ca="1">_xlfn.XLOOKUP(A452,Hoja1!A:A,Hoja1!G:G,0,0)</f>
        <v>#NAME?</v>
      </c>
    </row>
    <row r="453" spans="1:8" x14ac:dyDescent="0.25">
      <c r="A453" s="64" t="s">
        <v>120</v>
      </c>
      <c r="B453" s="64" t="s">
        <v>1668</v>
      </c>
      <c r="C453" s="220">
        <v>97552</v>
      </c>
      <c r="D453" s="205"/>
      <c r="E453" s="206">
        <v>0</v>
      </c>
      <c r="F453" s="218">
        <f t="shared" si="7"/>
        <v>97552</v>
      </c>
      <c r="H453" t="e">
        <f ca="1">_xlfn.XLOOKUP(A453,Hoja1!A:A,Hoja1!G:G,0,0)</f>
        <v>#NAME?</v>
      </c>
    </row>
    <row r="454" spans="1:8" x14ac:dyDescent="0.25">
      <c r="A454" s="64" t="s">
        <v>121</v>
      </c>
      <c r="B454" s="64" t="s">
        <v>1669</v>
      </c>
      <c r="C454" s="220">
        <v>90878</v>
      </c>
      <c r="D454" s="205"/>
      <c r="E454" s="206">
        <v>0</v>
      </c>
      <c r="F454" s="218">
        <f t="shared" si="7"/>
        <v>90878</v>
      </c>
      <c r="H454" t="e">
        <f ca="1">_xlfn.XLOOKUP(A454,Hoja1!A:A,Hoja1!G:G,0,0)</f>
        <v>#NAME?</v>
      </c>
    </row>
    <row r="455" spans="1:8" x14ac:dyDescent="0.25">
      <c r="A455" s="64" t="s">
        <v>122</v>
      </c>
      <c r="B455" s="64" t="s">
        <v>1670</v>
      </c>
      <c r="C455" s="220">
        <v>96647</v>
      </c>
      <c r="D455" s="205"/>
      <c r="E455" s="206">
        <v>0</v>
      </c>
      <c r="F455" s="218">
        <f t="shared" si="7"/>
        <v>96647</v>
      </c>
      <c r="H455" t="e">
        <f ca="1">_xlfn.XLOOKUP(A455,Hoja1!A:A,Hoja1!G:G,0,0)</f>
        <v>#NAME?</v>
      </c>
    </row>
    <row r="456" spans="1:8" x14ac:dyDescent="0.25">
      <c r="A456" s="64" t="s">
        <v>123</v>
      </c>
      <c r="B456" s="64" t="s">
        <v>1671</v>
      </c>
      <c r="C456" s="220">
        <v>95900</v>
      </c>
      <c r="D456" s="205"/>
      <c r="E456" s="206">
        <v>0</v>
      </c>
      <c r="F456" s="218">
        <f t="shared" si="7"/>
        <v>95900</v>
      </c>
      <c r="H456" t="e">
        <f ca="1">_xlfn.XLOOKUP(A456,Hoja1!A:A,Hoja1!G:G,0,0)</f>
        <v>#NAME?</v>
      </c>
    </row>
    <row r="457" spans="1:8" x14ac:dyDescent="0.25">
      <c r="A457" s="64" t="s">
        <v>1672</v>
      </c>
      <c r="B457" s="64" t="s">
        <v>1673</v>
      </c>
      <c r="C457" s="220">
        <v>9793</v>
      </c>
      <c r="D457" s="205"/>
      <c r="E457" s="206">
        <v>0</v>
      </c>
      <c r="F457" s="218">
        <f t="shared" si="7"/>
        <v>9793</v>
      </c>
      <c r="H457" t="e">
        <f ca="1">_xlfn.XLOOKUP(A457,Hoja1!A:A,Hoja1!G:G,0,0)</f>
        <v>#NAME?</v>
      </c>
    </row>
    <row r="458" spans="1:8" x14ac:dyDescent="0.25">
      <c r="A458" s="64" t="s">
        <v>1674</v>
      </c>
      <c r="B458" s="64" t="s">
        <v>1675</v>
      </c>
      <c r="C458" s="220">
        <v>16356</v>
      </c>
      <c r="D458" s="205"/>
      <c r="E458" s="206">
        <v>0</v>
      </c>
      <c r="F458" s="218">
        <f t="shared" si="7"/>
        <v>16356</v>
      </c>
      <c r="H458" t="e">
        <f ca="1">_xlfn.XLOOKUP(A458,Hoja1!A:A,Hoja1!G:G,0,0)</f>
        <v>#NAME?</v>
      </c>
    </row>
    <row r="459" spans="1:8" x14ac:dyDescent="0.25">
      <c r="A459" s="64" t="s">
        <v>1682</v>
      </c>
      <c r="B459" s="64" t="s">
        <v>1683</v>
      </c>
      <c r="C459" s="220">
        <v>67049</v>
      </c>
      <c r="D459" s="205"/>
      <c r="E459" s="206">
        <v>0</v>
      </c>
      <c r="F459" s="218">
        <f t="shared" si="7"/>
        <v>67049</v>
      </c>
      <c r="H459" t="e">
        <f ca="1">_xlfn.XLOOKUP(A459,Hoja1!A:A,Hoja1!G:G,0,0)</f>
        <v>#NAME?</v>
      </c>
    </row>
    <row r="460" spans="1:8" x14ac:dyDescent="0.25">
      <c r="A460" s="64" t="s">
        <v>1684</v>
      </c>
      <c r="B460" s="64" t="s">
        <v>1685</v>
      </c>
      <c r="C460" s="220">
        <v>251379</v>
      </c>
      <c r="D460" s="205"/>
      <c r="E460" s="206">
        <v>0</v>
      </c>
      <c r="F460" s="218">
        <f t="shared" si="7"/>
        <v>251379</v>
      </c>
      <c r="H460" t="e">
        <f ca="1">_xlfn.XLOOKUP(A460,Hoja1!A:A,Hoja1!G:G,0,0)</f>
        <v>#NAME?</v>
      </c>
    </row>
    <row r="461" spans="1:8" x14ac:dyDescent="0.25">
      <c r="A461" s="64" t="s">
        <v>1686</v>
      </c>
      <c r="B461" s="64" t="s">
        <v>1687</v>
      </c>
      <c r="C461" s="220">
        <v>140270</v>
      </c>
      <c r="D461" s="205"/>
      <c r="E461" s="206">
        <v>0.60000000000000009</v>
      </c>
      <c r="F461" s="218">
        <f t="shared" si="7"/>
        <v>140270</v>
      </c>
      <c r="H461" t="e">
        <f ca="1">_xlfn.XLOOKUP(A461,Hoja1!A:A,Hoja1!G:G,0,0)</f>
        <v>#NAME?</v>
      </c>
    </row>
    <row r="462" spans="1:8" x14ac:dyDescent="0.25">
      <c r="A462" s="64" t="s">
        <v>1688</v>
      </c>
      <c r="B462" s="64" t="s">
        <v>1689</v>
      </c>
      <c r="C462" s="220">
        <v>105888</v>
      </c>
      <c r="D462" s="205"/>
      <c r="E462" s="206">
        <v>0</v>
      </c>
      <c r="F462" s="218">
        <f t="shared" si="7"/>
        <v>105888</v>
      </c>
      <c r="H462" t="e">
        <f ca="1">_xlfn.XLOOKUP(A462,Hoja1!A:A,Hoja1!G:G,0,0)</f>
        <v>#NAME?</v>
      </c>
    </row>
    <row r="463" spans="1:8" x14ac:dyDescent="0.25">
      <c r="A463" s="64" t="s">
        <v>1690</v>
      </c>
      <c r="B463" s="64" t="s">
        <v>1691</v>
      </c>
      <c r="C463" s="220">
        <v>64485</v>
      </c>
      <c r="D463" s="205"/>
      <c r="E463" s="206">
        <v>0.39999999999999991</v>
      </c>
      <c r="F463" s="218">
        <f t="shared" si="7"/>
        <v>64485</v>
      </c>
      <c r="H463" t="e">
        <f ca="1">_xlfn.XLOOKUP(A463,Hoja1!A:A,Hoja1!G:G,0,0)</f>
        <v>#NAME?</v>
      </c>
    </row>
    <row r="464" spans="1:8" x14ac:dyDescent="0.25">
      <c r="A464" s="64" t="s">
        <v>1692</v>
      </c>
      <c r="B464" s="64" t="s">
        <v>1693</v>
      </c>
      <c r="C464" s="220">
        <v>148710</v>
      </c>
      <c r="D464" s="205"/>
      <c r="E464" s="206">
        <v>0.39999999999999991</v>
      </c>
      <c r="F464" s="218">
        <f t="shared" si="7"/>
        <v>148710</v>
      </c>
      <c r="H464" t="e">
        <f ca="1">_xlfn.XLOOKUP(A464,Hoja1!A:A,Hoja1!G:G,0,0)</f>
        <v>#NAME?</v>
      </c>
    </row>
    <row r="465" spans="1:8" x14ac:dyDescent="0.25">
      <c r="A465" s="64" t="s">
        <v>1694</v>
      </c>
      <c r="B465" s="64" t="s">
        <v>1695</v>
      </c>
      <c r="C465" s="220">
        <v>90452</v>
      </c>
      <c r="D465" s="205"/>
      <c r="E465" s="206">
        <v>0.30000000000000004</v>
      </c>
      <c r="F465" s="218">
        <f t="shared" si="7"/>
        <v>90452</v>
      </c>
      <c r="H465" t="e">
        <f ca="1">_xlfn.XLOOKUP(A465,Hoja1!A:A,Hoja1!G:G,0,0)</f>
        <v>#NAME?</v>
      </c>
    </row>
    <row r="466" spans="1:8" x14ac:dyDescent="0.25">
      <c r="A466" s="64" t="s">
        <v>1696</v>
      </c>
      <c r="B466" s="64" t="s">
        <v>1697</v>
      </c>
      <c r="C466" s="220">
        <v>132289</v>
      </c>
      <c r="D466" s="205"/>
      <c r="E466" s="206">
        <v>0.30000000000000004</v>
      </c>
      <c r="F466" s="218">
        <f t="shared" si="7"/>
        <v>132289</v>
      </c>
      <c r="H466" t="e">
        <f ca="1">_xlfn.XLOOKUP(A466,Hoja1!A:A,Hoja1!G:G,0,0)</f>
        <v>#NAME?</v>
      </c>
    </row>
    <row r="467" spans="1:8" x14ac:dyDescent="0.25">
      <c r="A467" s="64" t="s">
        <v>489</v>
      </c>
      <c r="B467" s="64" t="s">
        <v>1700</v>
      </c>
      <c r="C467" s="220">
        <v>191292</v>
      </c>
      <c r="D467" s="205"/>
      <c r="E467" s="206">
        <v>0.30000000000000004</v>
      </c>
      <c r="F467" s="218">
        <f t="shared" si="7"/>
        <v>191292</v>
      </c>
      <c r="H467" t="e">
        <f ca="1">_xlfn.XLOOKUP(A467,Hoja1!A:A,Hoja1!G:G,0,0)</f>
        <v>#NAME?</v>
      </c>
    </row>
    <row r="468" spans="1:8" x14ac:dyDescent="0.25">
      <c r="A468" s="64" t="s">
        <v>490</v>
      </c>
      <c r="B468" s="64" t="s">
        <v>1701</v>
      </c>
      <c r="C468" s="220">
        <v>163089</v>
      </c>
      <c r="D468" s="205"/>
      <c r="E468" s="206">
        <v>0.30000000000000004</v>
      </c>
      <c r="F468" s="218">
        <f t="shared" si="7"/>
        <v>163089</v>
      </c>
      <c r="H468" t="e">
        <f ca="1">_xlfn.XLOOKUP(A468,Hoja1!A:A,Hoja1!G:G,0,0)</f>
        <v>#NAME?</v>
      </c>
    </row>
    <row r="469" spans="1:8" x14ac:dyDescent="0.25">
      <c r="A469" s="64" t="s">
        <v>491</v>
      </c>
      <c r="B469" s="64" t="s">
        <v>1702</v>
      </c>
      <c r="C469" s="220">
        <v>112869</v>
      </c>
      <c r="D469" s="205"/>
      <c r="E469" s="206">
        <v>0.30000000000000004</v>
      </c>
      <c r="F469" s="218">
        <f t="shared" si="7"/>
        <v>112869</v>
      </c>
      <c r="H469" t="e">
        <f ca="1">_xlfn.XLOOKUP(A469,Hoja1!A:A,Hoja1!G:G,0,0)</f>
        <v>#NAME?</v>
      </c>
    </row>
    <row r="470" spans="1:8" x14ac:dyDescent="0.25">
      <c r="A470" s="64" t="s">
        <v>492</v>
      </c>
      <c r="B470" s="64" t="s">
        <v>1703</v>
      </c>
      <c r="C470" s="220">
        <v>78657</v>
      </c>
      <c r="D470" s="205"/>
      <c r="E470" s="206">
        <v>0.30000000000000004</v>
      </c>
      <c r="F470" s="218">
        <f t="shared" si="7"/>
        <v>78657</v>
      </c>
      <c r="H470" t="e">
        <f ca="1">_xlfn.XLOOKUP(A470,Hoja1!A:A,Hoja1!G:G,0,0)</f>
        <v>#NAME?</v>
      </c>
    </row>
    <row r="471" spans="1:8" x14ac:dyDescent="0.25">
      <c r="A471" s="64" t="s">
        <v>493</v>
      </c>
      <c r="B471" s="64" t="s">
        <v>1704</v>
      </c>
      <c r="C471" s="220">
        <v>149668</v>
      </c>
      <c r="D471" s="205"/>
      <c r="E471" s="206">
        <v>0.30000000000000004</v>
      </c>
      <c r="F471" s="218">
        <f t="shared" si="7"/>
        <v>149668</v>
      </c>
      <c r="H471" t="e">
        <f ca="1">_xlfn.XLOOKUP(A471,Hoja1!A:A,Hoja1!G:G,0,0)</f>
        <v>#NAME?</v>
      </c>
    </row>
    <row r="472" spans="1:8" x14ac:dyDescent="0.25">
      <c r="A472" s="64" t="s">
        <v>494</v>
      </c>
      <c r="B472" s="64" t="s">
        <v>1705</v>
      </c>
      <c r="C472" s="220">
        <v>148589</v>
      </c>
      <c r="D472" s="205"/>
      <c r="E472" s="206">
        <v>0.30000000000000004</v>
      </c>
      <c r="F472" s="218">
        <f t="shared" si="7"/>
        <v>148589</v>
      </c>
      <c r="H472" t="e">
        <f ca="1">_xlfn.XLOOKUP(A472,Hoja1!A:A,Hoja1!G:G,0,0)</f>
        <v>#NAME?</v>
      </c>
    </row>
    <row r="473" spans="1:8" x14ac:dyDescent="0.25">
      <c r="A473" s="64" t="s">
        <v>124</v>
      </c>
      <c r="B473" s="64" t="s">
        <v>125</v>
      </c>
      <c r="C473" s="220">
        <v>22474</v>
      </c>
      <c r="D473" s="205"/>
      <c r="E473" s="206">
        <v>0.35000000000000009</v>
      </c>
      <c r="F473" s="218">
        <f t="shared" si="7"/>
        <v>22474</v>
      </c>
      <c r="H473" t="e">
        <f ca="1">_xlfn.XLOOKUP(A473,Hoja1!A:A,Hoja1!G:G,0,0)</f>
        <v>#NAME?</v>
      </c>
    </row>
    <row r="474" spans="1:8" x14ac:dyDescent="0.25">
      <c r="A474" s="64" t="s">
        <v>126</v>
      </c>
      <c r="B474" s="64" t="s">
        <v>337</v>
      </c>
      <c r="C474" s="220">
        <v>41013</v>
      </c>
      <c r="D474" s="205"/>
      <c r="E474" s="206">
        <v>0.30000000000000004</v>
      </c>
      <c r="F474" s="218">
        <f t="shared" si="7"/>
        <v>41013</v>
      </c>
      <c r="H474" t="e">
        <f ca="1">_xlfn.XLOOKUP(A474,Hoja1!A:A,Hoja1!G:G,0,0)</f>
        <v>#NAME?</v>
      </c>
    </row>
    <row r="475" spans="1:8" s="210" customFormat="1" x14ac:dyDescent="0.25">
      <c r="A475" s="64" t="s">
        <v>127</v>
      </c>
      <c r="B475" s="64" t="s">
        <v>339</v>
      </c>
      <c r="C475" s="220">
        <v>43733</v>
      </c>
      <c r="D475" s="205"/>
      <c r="E475" s="206">
        <v>0.44999999999999996</v>
      </c>
      <c r="F475" s="218">
        <f t="shared" si="7"/>
        <v>43733</v>
      </c>
      <c r="H475" t="e">
        <f ca="1">_xlfn.XLOOKUP(A475,Hoja1!A:A,Hoja1!G:G,0,0)</f>
        <v>#NAME?</v>
      </c>
    </row>
    <row r="476" spans="1:8" s="210" customFormat="1" ht="16.5" customHeight="1" x14ac:dyDescent="0.25">
      <c r="A476" s="64" t="s">
        <v>128</v>
      </c>
      <c r="B476" s="64" t="s">
        <v>129</v>
      </c>
      <c r="C476" s="220">
        <v>44906</v>
      </c>
      <c r="D476" s="205"/>
      <c r="E476" s="206">
        <v>0.44999999999999973</v>
      </c>
      <c r="F476" s="218">
        <f t="shared" si="7"/>
        <v>44906</v>
      </c>
      <c r="H476" t="e">
        <f ca="1">_xlfn.XLOOKUP(A476,Hoja1!A:A,Hoja1!G:G,0,0)</f>
        <v>#NAME?</v>
      </c>
    </row>
    <row r="477" spans="1:8" x14ac:dyDescent="0.25">
      <c r="A477" s="64" t="s">
        <v>130</v>
      </c>
      <c r="B477" s="64" t="s">
        <v>2569</v>
      </c>
      <c r="C477" s="220">
        <v>40716</v>
      </c>
      <c r="D477" s="205"/>
      <c r="E477" s="206">
        <v>0.14999999999999991</v>
      </c>
      <c r="F477" s="218">
        <f t="shared" si="7"/>
        <v>40716</v>
      </c>
      <c r="H477" t="e">
        <f ca="1">_xlfn.XLOOKUP(A477,Hoja1!A:A,Hoja1!G:G,0,0)</f>
        <v>#NAME?</v>
      </c>
    </row>
    <row r="478" spans="1:8" x14ac:dyDescent="0.25">
      <c r="A478" s="64" t="s">
        <v>131</v>
      </c>
      <c r="B478" s="64" t="s">
        <v>298</v>
      </c>
      <c r="C478" s="220">
        <v>56609</v>
      </c>
      <c r="D478" s="205"/>
      <c r="E478" s="206">
        <v>0.39999999999999991</v>
      </c>
      <c r="F478" s="218">
        <f t="shared" si="7"/>
        <v>56609</v>
      </c>
      <c r="H478" t="e">
        <f ca="1">_xlfn.XLOOKUP(A478,Hoja1!A:A,Hoja1!G:G,0,0)</f>
        <v>#NAME?</v>
      </c>
    </row>
    <row r="479" spans="1:8" x14ac:dyDescent="0.25">
      <c r="A479" s="64" t="s">
        <v>132</v>
      </c>
      <c r="B479" s="64" t="s">
        <v>300</v>
      </c>
      <c r="C479" s="220">
        <v>75973</v>
      </c>
      <c r="D479" s="205"/>
      <c r="E479" s="206">
        <v>5.0000000000000044E-2</v>
      </c>
      <c r="F479" s="218">
        <f t="shared" si="7"/>
        <v>75973</v>
      </c>
      <c r="H479" t="e">
        <f ca="1">_xlfn.XLOOKUP(A479,Hoja1!A:A,Hoja1!G:G,0,0)</f>
        <v>#NAME?</v>
      </c>
    </row>
    <row r="480" spans="1:8" x14ac:dyDescent="0.25">
      <c r="A480" s="64" t="s">
        <v>133</v>
      </c>
      <c r="B480" s="64" t="s">
        <v>302</v>
      </c>
      <c r="C480" s="220">
        <v>81285</v>
      </c>
      <c r="D480" s="205"/>
      <c r="E480" s="206">
        <v>0</v>
      </c>
      <c r="F480" s="218">
        <f t="shared" si="7"/>
        <v>81285</v>
      </c>
      <c r="H480" t="e">
        <f ca="1">_xlfn.XLOOKUP(A480,Hoja1!A:A,Hoja1!G:G,0,0)</f>
        <v>#NAME?</v>
      </c>
    </row>
    <row r="481" spans="1:8" x14ac:dyDescent="0.25">
      <c r="A481" s="64" t="s">
        <v>134</v>
      </c>
      <c r="B481" s="64" t="s">
        <v>304</v>
      </c>
      <c r="C481" s="220">
        <v>93866</v>
      </c>
      <c r="D481" s="205"/>
      <c r="E481" s="206">
        <v>0</v>
      </c>
      <c r="F481" s="218">
        <f t="shared" si="7"/>
        <v>93866</v>
      </c>
      <c r="H481" t="e">
        <f ca="1">_xlfn.XLOOKUP(A481,Hoja1!A:A,Hoja1!G:G,0,0)</f>
        <v>#NAME?</v>
      </c>
    </row>
    <row r="482" spans="1:8" x14ac:dyDescent="0.25">
      <c r="A482" s="64" t="s">
        <v>135</v>
      </c>
      <c r="B482" s="64" t="s">
        <v>136</v>
      </c>
      <c r="C482" s="220">
        <v>45507</v>
      </c>
      <c r="D482" s="205"/>
      <c r="E482" s="206">
        <v>0</v>
      </c>
      <c r="F482" s="218">
        <f t="shared" si="7"/>
        <v>45507</v>
      </c>
      <c r="H482" t="e">
        <f ca="1">_xlfn.XLOOKUP(A482,Hoja1!A:A,Hoja1!G:G,0,0)</f>
        <v>#NAME?</v>
      </c>
    </row>
    <row r="483" spans="1:8" x14ac:dyDescent="0.25">
      <c r="A483" s="64" t="s">
        <v>137</v>
      </c>
      <c r="B483" s="64" t="s">
        <v>138</v>
      </c>
      <c r="C483" s="220">
        <v>41080</v>
      </c>
      <c r="D483" s="205"/>
      <c r="E483" s="206">
        <v>0</v>
      </c>
      <c r="F483" s="218">
        <f t="shared" si="7"/>
        <v>41080</v>
      </c>
      <c r="H483" t="e">
        <f ca="1">_xlfn.XLOOKUP(A483,Hoja1!A:A,Hoja1!G:G,0,0)</f>
        <v>#NAME?</v>
      </c>
    </row>
    <row r="484" spans="1:8" x14ac:dyDescent="0.25">
      <c r="A484" s="64" t="s">
        <v>139</v>
      </c>
      <c r="B484" s="64" t="s">
        <v>1739</v>
      </c>
      <c r="C484" s="220">
        <v>172739</v>
      </c>
      <c r="D484" s="205"/>
      <c r="E484" s="206">
        <v>0.14999999999999991</v>
      </c>
      <c r="F484" s="218">
        <f t="shared" si="7"/>
        <v>172739</v>
      </c>
      <c r="H484" t="e">
        <f ca="1">_xlfn.XLOOKUP(A484,Hoja1!A:A,Hoja1!G:G,0,0)</f>
        <v>#NAME?</v>
      </c>
    </row>
    <row r="485" spans="1:8" x14ac:dyDescent="0.25">
      <c r="A485" s="64" t="s">
        <v>140</v>
      </c>
      <c r="B485" s="64" t="s">
        <v>1740</v>
      </c>
      <c r="C485" s="220">
        <v>196699</v>
      </c>
      <c r="D485" s="205"/>
      <c r="E485" s="206">
        <v>0</v>
      </c>
      <c r="F485" s="218">
        <f t="shared" si="7"/>
        <v>196699</v>
      </c>
      <c r="H485" t="e">
        <f ca="1">_xlfn.XLOOKUP(A485,Hoja1!A:A,Hoja1!G:G,0,0)</f>
        <v>#NAME?</v>
      </c>
    </row>
    <row r="486" spans="1:8" x14ac:dyDescent="0.25">
      <c r="A486" s="64" t="s">
        <v>141</v>
      </c>
      <c r="B486" s="64" t="s">
        <v>1741</v>
      </c>
      <c r="C486" s="220">
        <v>90232</v>
      </c>
      <c r="D486" s="205"/>
      <c r="E486" s="206">
        <v>0</v>
      </c>
      <c r="F486" s="218">
        <f t="shared" si="7"/>
        <v>90232</v>
      </c>
      <c r="H486" t="e">
        <f ca="1">_xlfn.XLOOKUP(A486,Hoja1!A:A,Hoja1!G:G,0,0)</f>
        <v>#NAME?</v>
      </c>
    </row>
    <row r="487" spans="1:8" x14ac:dyDescent="0.25">
      <c r="A487" s="64" t="s">
        <v>769</v>
      </c>
      <c r="B487" s="64" t="s">
        <v>775</v>
      </c>
      <c r="C487" s="220">
        <v>97534</v>
      </c>
      <c r="D487" s="205"/>
      <c r="E487" s="206">
        <v>0</v>
      </c>
      <c r="F487" s="218">
        <f t="shared" si="7"/>
        <v>97534</v>
      </c>
      <c r="H487" t="e">
        <f ca="1">_xlfn.XLOOKUP(A487,Hoja1!A:A,Hoja1!G:G,0,0)</f>
        <v>#NAME?</v>
      </c>
    </row>
    <row r="488" spans="1:8" x14ac:dyDescent="0.25">
      <c r="A488" s="64" t="s">
        <v>770</v>
      </c>
      <c r="B488" s="64" t="s">
        <v>776</v>
      </c>
      <c r="C488" s="220">
        <v>34304</v>
      </c>
      <c r="D488" s="205"/>
      <c r="E488" s="206">
        <v>0</v>
      </c>
      <c r="F488" s="218">
        <f t="shared" si="7"/>
        <v>34304</v>
      </c>
      <c r="H488" t="e">
        <f ca="1">_xlfn.XLOOKUP(A488,Hoja1!A:A,Hoja1!G:G,0,0)</f>
        <v>#NAME?</v>
      </c>
    </row>
    <row r="489" spans="1:8" x14ac:dyDescent="0.25">
      <c r="A489" s="64" t="s">
        <v>771</v>
      </c>
      <c r="B489" s="64" t="s">
        <v>777</v>
      </c>
      <c r="C489" s="220">
        <v>155515</v>
      </c>
      <c r="D489" s="205"/>
      <c r="E489" s="206">
        <v>0</v>
      </c>
      <c r="F489" s="218">
        <f t="shared" si="7"/>
        <v>155515</v>
      </c>
      <c r="H489" t="e">
        <f ca="1">_xlfn.XLOOKUP(A489,Hoja1!A:A,Hoja1!G:G,0,0)</f>
        <v>#NAME?</v>
      </c>
    </row>
    <row r="490" spans="1:8" x14ac:dyDescent="0.25">
      <c r="A490" s="64" t="s">
        <v>730</v>
      </c>
      <c r="B490" s="64" t="s">
        <v>1751</v>
      </c>
      <c r="C490" s="220">
        <v>31813</v>
      </c>
      <c r="D490" s="205"/>
      <c r="E490" s="206">
        <v>0</v>
      </c>
      <c r="F490" s="218">
        <f t="shared" si="7"/>
        <v>31813</v>
      </c>
      <c r="H490" t="e">
        <f ca="1">_xlfn.XLOOKUP(A490,Hoja1!A:A,Hoja1!G:G,0,0)</f>
        <v>#NAME?</v>
      </c>
    </row>
    <row r="491" spans="1:8" x14ac:dyDescent="0.25">
      <c r="A491" s="64" t="s">
        <v>731</v>
      </c>
      <c r="B491" s="64" t="s">
        <v>733</v>
      </c>
      <c r="C491" s="220">
        <v>115202</v>
      </c>
      <c r="D491" s="205"/>
      <c r="E491" s="206">
        <v>0</v>
      </c>
      <c r="F491" s="218">
        <f t="shared" si="7"/>
        <v>115202</v>
      </c>
      <c r="H491" t="e">
        <f ca="1">_xlfn.XLOOKUP(A491,Hoja1!A:A,Hoja1!G:G,0,0)</f>
        <v>#NAME?</v>
      </c>
    </row>
    <row r="492" spans="1:8" x14ac:dyDescent="0.25">
      <c r="A492" s="64" t="s">
        <v>1752</v>
      </c>
      <c r="B492" s="64" t="s">
        <v>1753</v>
      </c>
      <c r="C492" s="220">
        <v>52485</v>
      </c>
      <c r="D492" s="205"/>
      <c r="E492" s="206"/>
      <c r="F492" s="218">
        <f t="shared" si="7"/>
        <v>52485</v>
      </c>
      <c r="H492" s="222" t="e">
        <f ca="1">_xlfn.XLOOKUP(A492,Hoja1!A:A,Hoja1!G:G,0,0)</f>
        <v>#NAME?</v>
      </c>
    </row>
    <row r="493" spans="1:8" x14ac:dyDescent="0.25">
      <c r="A493" s="64" t="s">
        <v>736</v>
      </c>
      <c r="B493" s="64" t="s">
        <v>740</v>
      </c>
      <c r="C493" s="220">
        <v>83025</v>
      </c>
      <c r="D493" s="205"/>
      <c r="E493" s="206">
        <v>0.44999999999999996</v>
      </c>
      <c r="F493" s="218">
        <f t="shared" si="7"/>
        <v>83025</v>
      </c>
      <c r="H493" t="e">
        <f ca="1">_xlfn.XLOOKUP(A493,Hoja1!A:A,Hoja1!G:G,0,0)</f>
        <v>#NAME?</v>
      </c>
    </row>
    <row r="494" spans="1:8" x14ac:dyDescent="0.25">
      <c r="A494" s="64" t="s">
        <v>737</v>
      </c>
      <c r="B494" s="64" t="s">
        <v>741</v>
      </c>
      <c r="C494" s="220">
        <v>105683</v>
      </c>
      <c r="D494" s="205"/>
      <c r="E494" s="206">
        <v>0.5</v>
      </c>
      <c r="F494" s="218">
        <f t="shared" si="7"/>
        <v>105683</v>
      </c>
      <c r="H494" t="e">
        <f ca="1">_xlfn.XLOOKUP(A494,Hoja1!A:A,Hoja1!G:G,0,0)</f>
        <v>#NAME?</v>
      </c>
    </row>
    <row r="495" spans="1:8" x14ac:dyDescent="0.25">
      <c r="A495" s="64" t="s">
        <v>995</v>
      </c>
      <c r="B495" s="64" t="s">
        <v>997</v>
      </c>
      <c r="C495" s="220">
        <v>62082</v>
      </c>
      <c r="D495" s="205"/>
      <c r="E495" s="206">
        <v>0</v>
      </c>
      <c r="F495" s="218">
        <f t="shared" si="7"/>
        <v>62082</v>
      </c>
      <c r="H495" t="e">
        <f ca="1">_xlfn.XLOOKUP(A495,Hoja1!A:A,Hoja1!G:G,0,0)</f>
        <v>#NAME?</v>
      </c>
    </row>
    <row r="496" spans="1:8" x14ac:dyDescent="0.25">
      <c r="A496" s="64" t="s">
        <v>989</v>
      </c>
      <c r="B496" s="64" t="s">
        <v>993</v>
      </c>
      <c r="C496" s="220">
        <v>24535</v>
      </c>
      <c r="D496" s="205"/>
      <c r="E496" s="206">
        <v>0</v>
      </c>
      <c r="F496" s="218">
        <f t="shared" si="7"/>
        <v>24535</v>
      </c>
      <c r="H496" t="e">
        <f ca="1">_xlfn.XLOOKUP(A496,Hoja1!A:A,Hoja1!G:G,0,0)</f>
        <v>#NAME?</v>
      </c>
    </row>
    <row r="497" spans="1:8" x14ac:dyDescent="0.25">
      <c r="A497" s="64" t="s">
        <v>2230</v>
      </c>
      <c r="B497" s="64" t="s">
        <v>2231</v>
      </c>
      <c r="C497" s="220">
        <v>22315</v>
      </c>
      <c r="D497" s="205"/>
      <c r="E497" s="206">
        <v>0</v>
      </c>
      <c r="F497" s="218">
        <f t="shared" si="7"/>
        <v>22315</v>
      </c>
      <c r="H497" t="e">
        <f ca="1">_xlfn.XLOOKUP(A497,Hoja1!A:A,Hoja1!G:G,0,0)</f>
        <v>#NAME?</v>
      </c>
    </row>
    <row r="498" spans="1:8" x14ac:dyDescent="0.25">
      <c r="A498" s="64" t="s">
        <v>990</v>
      </c>
      <c r="B498" s="64" t="s">
        <v>994</v>
      </c>
      <c r="C498" s="220">
        <v>58888</v>
      </c>
      <c r="D498" s="205"/>
      <c r="E498" s="206">
        <v>0.14999999999999991</v>
      </c>
      <c r="F498" s="218">
        <f t="shared" si="7"/>
        <v>58888</v>
      </c>
      <c r="H498" t="e">
        <f ca="1">_xlfn.XLOOKUP(A498,Hoja1!A:A,Hoja1!G:G,0,0)</f>
        <v>#NAME?</v>
      </c>
    </row>
    <row r="499" spans="1:8" x14ac:dyDescent="0.25">
      <c r="A499" s="64" t="s">
        <v>2232</v>
      </c>
      <c r="B499" s="64" t="s">
        <v>2233</v>
      </c>
      <c r="C499" s="220">
        <v>120057</v>
      </c>
      <c r="D499" s="205"/>
      <c r="E499" s="206">
        <v>0.14999999999999991</v>
      </c>
      <c r="F499" s="218">
        <f t="shared" si="7"/>
        <v>120057</v>
      </c>
      <c r="H499" t="e">
        <f ca="1">_xlfn.XLOOKUP(A499,Hoja1!A:A,Hoja1!G:G,0,0)</f>
        <v>#NAME?</v>
      </c>
    </row>
    <row r="500" spans="1:8" x14ac:dyDescent="0.25">
      <c r="A500" s="64" t="s">
        <v>2234</v>
      </c>
      <c r="B500" s="64" t="s">
        <v>2570</v>
      </c>
      <c r="C500" s="220">
        <v>142442</v>
      </c>
      <c r="D500" s="205"/>
      <c r="E500" s="206">
        <v>0.14999999999999991</v>
      </c>
      <c r="F500" s="218">
        <f t="shared" si="7"/>
        <v>142442</v>
      </c>
      <c r="H500" t="e">
        <f ca="1">_xlfn.XLOOKUP(A500,Hoja1!A:A,Hoja1!G:G,0,0)</f>
        <v>#NAME?</v>
      </c>
    </row>
    <row r="501" spans="1:8" x14ac:dyDescent="0.25">
      <c r="A501" s="64" t="s">
        <v>986</v>
      </c>
      <c r="B501" s="64" t="s">
        <v>988</v>
      </c>
      <c r="C501" s="220">
        <v>34287</v>
      </c>
      <c r="D501" s="205"/>
      <c r="E501" s="206">
        <v>0.14999999999999991</v>
      </c>
      <c r="F501" s="218">
        <f t="shared" si="7"/>
        <v>34287</v>
      </c>
      <c r="H501" t="e">
        <f ca="1">_xlfn.XLOOKUP(A501,Hoja1!A:A,Hoja1!G:G,0,0)</f>
        <v>#NAME?</v>
      </c>
    </row>
    <row r="502" spans="1:8" x14ac:dyDescent="0.25">
      <c r="A502" s="211" t="s">
        <v>2237</v>
      </c>
      <c r="B502" s="64" t="s">
        <v>2238</v>
      </c>
      <c r="C502" s="220">
        <v>54128</v>
      </c>
      <c r="D502" s="205"/>
      <c r="E502" s="213">
        <v>0</v>
      </c>
      <c r="F502" s="218">
        <f t="shared" si="7"/>
        <v>54128</v>
      </c>
      <c r="H502" t="e">
        <f ca="1">_xlfn.XLOOKUP(A502,Hoja1!A:A,Hoja1!G:G,0,0)</f>
        <v>#NAME?</v>
      </c>
    </row>
    <row r="503" spans="1:8" x14ac:dyDescent="0.25">
      <c r="A503" s="214" t="s">
        <v>2239</v>
      </c>
      <c r="B503" s="64" t="s">
        <v>2240</v>
      </c>
      <c r="C503" s="220">
        <v>79679</v>
      </c>
      <c r="D503" s="205"/>
      <c r="E503" s="213">
        <v>0</v>
      </c>
      <c r="F503" s="218">
        <f t="shared" si="7"/>
        <v>79679</v>
      </c>
      <c r="H503" t="e">
        <f ca="1">_xlfn.XLOOKUP(A503,Hoja1!A:A,Hoja1!G:G,0,0)</f>
        <v>#NAME?</v>
      </c>
    </row>
    <row r="504" spans="1:8" x14ac:dyDescent="0.25">
      <c r="A504" s="214" t="s">
        <v>2241</v>
      </c>
      <c r="B504" s="64" t="s">
        <v>2242</v>
      </c>
      <c r="C504" s="220">
        <v>25031</v>
      </c>
      <c r="D504" s="205"/>
      <c r="E504" s="213">
        <v>0</v>
      </c>
      <c r="F504" s="218">
        <f t="shared" si="7"/>
        <v>25031</v>
      </c>
      <c r="H504" t="e">
        <f ca="1">_xlfn.XLOOKUP(A504,Hoja1!A:A,Hoja1!G:G,0,0)</f>
        <v>#NAME?</v>
      </c>
    </row>
    <row r="505" spans="1:8" x14ac:dyDescent="0.25">
      <c r="A505" s="214" t="s">
        <v>2243</v>
      </c>
      <c r="B505" s="64" t="s">
        <v>2244</v>
      </c>
      <c r="C505" s="220">
        <v>36215</v>
      </c>
      <c r="D505" s="205"/>
      <c r="E505" s="213">
        <v>0</v>
      </c>
      <c r="F505" s="218">
        <f t="shared" si="7"/>
        <v>36215</v>
      </c>
      <c r="H505" t="e">
        <f ca="1">_xlfn.XLOOKUP(A505,Hoja1!A:A,Hoja1!G:G,0,0)</f>
        <v>#NAME?</v>
      </c>
    </row>
    <row r="506" spans="1:8" x14ac:dyDescent="0.25">
      <c r="A506" s="64" t="s">
        <v>2245</v>
      </c>
      <c r="B506" s="64" t="s">
        <v>2246</v>
      </c>
      <c r="C506" s="220">
        <v>59899</v>
      </c>
      <c r="D506" s="205"/>
      <c r="E506" s="206">
        <v>0</v>
      </c>
      <c r="F506" s="218">
        <f t="shared" si="7"/>
        <v>59899</v>
      </c>
      <c r="H506" t="e">
        <f ca="1">_xlfn.XLOOKUP(A506,Hoja1!A:A,Hoja1!G:G,0,0)</f>
        <v>#NAME?</v>
      </c>
    </row>
    <row r="507" spans="1:8" x14ac:dyDescent="0.25">
      <c r="A507" s="64" t="s">
        <v>2247</v>
      </c>
      <c r="B507" s="64" t="s">
        <v>2248</v>
      </c>
      <c r="C507" s="220">
        <v>98295</v>
      </c>
      <c r="D507" s="205"/>
      <c r="E507" s="206">
        <v>0</v>
      </c>
      <c r="F507" s="218">
        <f t="shared" si="7"/>
        <v>98295</v>
      </c>
      <c r="H507" t="e">
        <f ca="1">_xlfn.XLOOKUP(A507,Hoja1!A:A,Hoja1!G:G,0,0)</f>
        <v>#NAME?</v>
      </c>
    </row>
    <row r="508" spans="1:8" x14ac:dyDescent="0.25">
      <c r="A508" s="64" t="s">
        <v>2249</v>
      </c>
      <c r="B508" s="64" t="s">
        <v>2250</v>
      </c>
      <c r="C508" s="220">
        <v>81555</v>
      </c>
      <c r="D508" s="205"/>
      <c r="E508" s="206">
        <v>0</v>
      </c>
      <c r="F508" s="218">
        <f t="shared" si="7"/>
        <v>81555</v>
      </c>
      <c r="H508" t="e">
        <f ca="1">_xlfn.XLOOKUP(A508,Hoja1!A:A,Hoja1!G:G,0,0)</f>
        <v>#NAME?</v>
      </c>
    </row>
    <row r="509" spans="1:8" x14ac:dyDescent="0.25">
      <c r="A509" s="64" t="s">
        <v>965</v>
      </c>
      <c r="B509" s="64" t="s">
        <v>973</v>
      </c>
      <c r="C509" s="220">
        <v>50309</v>
      </c>
      <c r="D509" s="205"/>
      <c r="E509" s="206">
        <v>0</v>
      </c>
      <c r="F509" s="218">
        <f t="shared" si="7"/>
        <v>50309</v>
      </c>
      <c r="H509" t="e">
        <f ca="1">_xlfn.XLOOKUP(A509,Hoja1!A:A,Hoja1!G:G,0,0)</f>
        <v>#NAME?</v>
      </c>
    </row>
    <row r="510" spans="1:8" x14ac:dyDescent="0.25">
      <c r="A510" s="64" t="s">
        <v>967</v>
      </c>
      <c r="B510" s="64" t="s">
        <v>974</v>
      </c>
      <c r="C510" s="220">
        <v>88488</v>
      </c>
      <c r="D510" s="205"/>
      <c r="E510" s="206">
        <v>0</v>
      </c>
      <c r="F510" s="218">
        <f t="shared" si="7"/>
        <v>88488</v>
      </c>
      <c r="H510" t="e">
        <f ca="1">_xlfn.XLOOKUP(A510,Hoja1!A:A,Hoja1!G:G,0,0)</f>
        <v>#NAME?</v>
      </c>
    </row>
    <row r="511" spans="1:8" x14ac:dyDescent="0.25">
      <c r="A511" s="64" t="s">
        <v>969</v>
      </c>
      <c r="B511" s="64" t="s">
        <v>975</v>
      </c>
      <c r="C511" s="220">
        <v>88088</v>
      </c>
      <c r="D511" s="205"/>
      <c r="E511" s="206">
        <v>0</v>
      </c>
      <c r="F511" s="218">
        <f t="shared" si="7"/>
        <v>88088</v>
      </c>
      <c r="H511" t="e">
        <f ca="1">_xlfn.XLOOKUP(A511,Hoja1!A:A,Hoja1!G:G,0,0)</f>
        <v>#NAME?</v>
      </c>
    </row>
    <row r="512" spans="1:8" x14ac:dyDescent="0.25">
      <c r="A512" s="64" t="s">
        <v>742</v>
      </c>
      <c r="B512" s="64" t="s">
        <v>752</v>
      </c>
      <c r="C512" s="220">
        <v>51371</v>
      </c>
      <c r="D512" s="205"/>
      <c r="E512" s="206">
        <v>0</v>
      </c>
      <c r="F512" s="218">
        <f t="shared" si="7"/>
        <v>51371</v>
      </c>
      <c r="H512" t="e">
        <f ca="1">_xlfn.XLOOKUP(A512,Hoja1!A:A,Hoja1!G:G,0,0)</f>
        <v>#NAME?</v>
      </c>
    </row>
    <row r="513" spans="1:8" x14ac:dyDescent="0.25">
      <c r="A513" s="64" t="s">
        <v>743</v>
      </c>
      <c r="B513" s="64" t="s">
        <v>753</v>
      </c>
      <c r="C513" s="220">
        <v>63425</v>
      </c>
      <c r="D513" s="205"/>
      <c r="E513" s="206">
        <v>0</v>
      </c>
      <c r="F513" s="218">
        <f t="shared" si="7"/>
        <v>63425</v>
      </c>
      <c r="H513" t="e">
        <f ca="1">_xlfn.XLOOKUP(A513,Hoja1!A:A,Hoja1!G:G,0,0)</f>
        <v>#NAME?</v>
      </c>
    </row>
    <row r="514" spans="1:8" x14ac:dyDescent="0.25">
      <c r="A514" s="64" t="s">
        <v>744</v>
      </c>
      <c r="B514" s="64" t="s">
        <v>754</v>
      </c>
      <c r="C514" s="220">
        <v>51541</v>
      </c>
      <c r="D514" s="205"/>
      <c r="E514" s="206">
        <v>0</v>
      </c>
      <c r="F514" s="218">
        <f t="shared" si="7"/>
        <v>51541</v>
      </c>
      <c r="H514" t="e">
        <f ca="1">_xlfn.XLOOKUP(A514,Hoja1!A:A,Hoja1!G:G,0,0)</f>
        <v>#NAME?</v>
      </c>
    </row>
    <row r="515" spans="1:8" x14ac:dyDescent="0.25">
      <c r="A515" s="64" t="s">
        <v>745</v>
      </c>
      <c r="B515" s="64" t="s">
        <v>755</v>
      </c>
      <c r="C515" s="220">
        <v>55059</v>
      </c>
      <c r="D515" s="205"/>
      <c r="E515" s="206">
        <v>0</v>
      </c>
      <c r="F515" s="218">
        <f t="shared" ref="F515:F578" si="8">ROUND(C515,0)</f>
        <v>55059</v>
      </c>
      <c r="H515" t="e">
        <f ca="1">_xlfn.XLOOKUP(A515,Hoja1!A:A,Hoja1!G:G,0,0)</f>
        <v>#NAME?</v>
      </c>
    </row>
    <row r="516" spans="1:8" x14ac:dyDescent="0.25">
      <c r="A516" s="64" t="s">
        <v>746</v>
      </c>
      <c r="B516" s="64" t="s">
        <v>756</v>
      </c>
      <c r="C516" s="220">
        <v>56909</v>
      </c>
      <c r="D516" s="205"/>
      <c r="E516" s="206">
        <v>0</v>
      </c>
      <c r="F516" s="218">
        <f t="shared" si="8"/>
        <v>56909</v>
      </c>
      <c r="H516" t="e">
        <f ca="1">_xlfn.XLOOKUP(A516,Hoja1!A:A,Hoja1!G:G,0,0)</f>
        <v>#NAME?</v>
      </c>
    </row>
    <row r="517" spans="1:8" x14ac:dyDescent="0.25">
      <c r="A517" s="64" t="s">
        <v>747</v>
      </c>
      <c r="B517" s="64" t="s">
        <v>757</v>
      </c>
      <c r="C517" s="220">
        <v>96896</v>
      </c>
      <c r="D517" s="205"/>
      <c r="E517" s="206">
        <v>0</v>
      </c>
      <c r="F517" s="218">
        <f t="shared" si="8"/>
        <v>96896</v>
      </c>
      <c r="H517" t="e">
        <f ca="1">_xlfn.XLOOKUP(A517,Hoja1!A:A,Hoja1!G:G,0,0)</f>
        <v>#NAME?</v>
      </c>
    </row>
    <row r="518" spans="1:8" x14ac:dyDescent="0.25">
      <c r="A518" s="64" t="s">
        <v>748</v>
      </c>
      <c r="B518" s="64" t="s">
        <v>758</v>
      </c>
      <c r="C518" s="220">
        <v>97196</v>
      </c>
      <c r="D518" s="205"/>
      <c r="E518" s="206">
        <v>0</v>
      </c>
      <c r="F518" s="218">
        <f t="shared" si="8"/>
        <v>97196</v>
      </c>
      <c r="H518" t="e">
        <f ca="1">_xlfn.XLOOKUP(A518,Hoja1!A:A,Hoja1!G:G,0,0)</f>
        <v>#NAME?</v>
      </c>
    </row>
    <row r="519" spans="1:8" x14ac:dyDescent="0.25">
      <c r="A519" s="64" t="s">
        <v>749</v>
      </c>
      <c r="B519" s="64" t="s">
        <v>1754</v>
      </c>
      <c r="C519" s="220">
        <v>53597</v>
      </c>
      <c r="D519" s="205"/>
      <c r="E519" s="206">
        <v>0</v>
      </c>
      <c r="F519" s="218">
        <f t="shared" si="8"/>
        <v>53597</v>
      </c>
      <c r="H519" t="e">
        <f ca="1">_xlfn.XLOOKUP(A519,Hoja1!A:A,Hoja1!G:G,0,0)</f>
        <v>#NAME?</v>
      </c>
    </row>
    <row r="520" spans="1:8" x14ac:dyDescent="0.25">
      <c r="A520" s="64" t="s">
        <v>750</v>
      </c>
      <c r="B520" s="64" t="s">
        <v>1755</v>
      </c>
      <c r="C520" s="220">
        <v>100140</v>
      </c>
      <c r="D520" s="205"/>
      <c r="E520" s="206">
        <v>0</v>
      </c>
      <c r="F520" s="218">
        <f t="shared" si="8"/>
        <v>100140</v>
      </c>
      <c r="H520" t="e">
        <f ca="1">_xlfn.XLOOKUP(A520,Hoja1!A:A,Hoja1!G:G,0,0)</f>
        <v>#NAME?</v>
      </c>
    </row>
    <row r="521" spans="1:8" x14ac:dyDescent="0.25">
      <c r="A521" s="64" t="s">
        <v>751</v>
      </c>
      <c r="B521" s="64" t="s">
        <v>1756</v>
      </c>
      <c r="C521" s="220">
        <v>87286</v>
      </c>
      <c r="D521" s="205"/>
      <c r="E521" s="206">
        <v>0</v>
      </c>
      <c r="F521" s="218">
        <f t="shared" si="8"/>
        <v>87286</v>
      </c>
      <c r="H521" t="e">
        <f ca="1">_xlfn.XLOOKUP(A521,Hoja1!A:A,Hoja1!G:G,0,0)</f>
        <v>#NAME?</v>
      </c>
    </row>
    <row r="522" spans="1:8" x14ac:dyDescent="0.25">
      <c r="A522" s="64" t="s">
        <v>971</v>
      </c>
      <c r="B522" s="64" t="s">
        <v>976</v>
      </c>
      <c r="C522" s="220">
        <v>94481</v>
      </c>
      <c r="D522" s="205"/>
      <c r="E522" s="206">
        <v>0</v>
      </c>
      <c r="F522" s="218">
        <f t="shared" si="8"/>
        <v>94481</v>
      </c>
      <c r="H522" t="e">
        <f ca="1">_xlfn.XLOOKUP(A522,Hoja1!A:A,Hoja1!G:G,0,0)</f>
        <v>#NAME?</v>
      </c>
    </row>
    <row r="523" spans="1:8" x14ac:dyDescent="0.25">
      <c r="A523" s="64" t="s">
        <v>1757</v>
      </c>
      <c r="B523" s="64" t="s">
        <v>1758</v>
      </c>
      <c r="C523" s="220">
        <v>95787</v>
      </c>
      <c r="D523" s="205"/>
      <c r="E523" s="206">
        <v>0.30000000000000004</v>
      </c>
      <c r="F523" s="218">
        <f t="shared" si="8"/>
        <v>95787</v>
      </c>
      <c r="H523" t="e">
        <f ca="1">_xlfn.XLOOKUP(A523,Hoja1!A:A,Hoja1!G:G,0,0)</f>
        <v>#NAME?</v>
      </c>
    </row>
    <row r="524" spans="1:8" x14ac:dyDescent="0.25">
      <c r="A524" s="64" t="s">
        <v>1759</v>
      </c>
      <c r="B524" s="64" t="s">
        <v>1760</v>
      </c>
      <c r="C524" s="220">
        <v>105342</v>
      </c>
      <c r="D524" s="205"/>
      <c r="E524" s="206">
        <v>0.32000000000000006</v>
      </c>
      <c r="F524" s="218">
        <f t="shared" si="8"/>
        <v>105342</v>
      </c>
      <c r="H524" t="e">
        <f ca="1">_xlfn.XLOOKUP(A524,Hoja1!A:A,Hoja1!G:G,0,0)</f>
        <v>#NAME?</v>
      </c>
    </row>
    <row r="525" spans="1:8" x14ac:dyDescent="0.25">
      <c r="A525" s="64" t="s">
        <v>1761</v>
      </c>
      <c r="B525" s="64" t="s">
        <v>1762</v>
      </c>
      <c r="C525" s="220">
        <v>173961</v>
      </c>
      <c r="D525" s="205"/>
      <c r="E525" s="206">
        <v>0.32000000000000006</v>
      </c>
      <c r="F525" s="218">
        <f t="shared" si="8"/>
        <v>173961</v>
      </c>
      <c r="H525" t="e">
        <f ca="1">_xlfn.XLOOKUP(A525,Hoja1!A:A,Hoja1!G:G,0,0)</f>
        <v>#NAME?</v>
      </c>
    </row>
    <row r="526" spans="1:8" x14ac:dyDescent="0.25">
      <c r="A526" s="64" t="s">
        <v>1763</v>
      </c>
      <c r="B526" s="64" t="s">
        <v>1764</v>
      </c>
      <c r="C526" s="220">
        <v>83951</v>
      </c>
      <c r="D526" s="205"/>
      <c r="E526" s="206">
        <v>0.32000000000000006</v>
      </c>
      <c r="F526" s="218">
        <f t="shared" si="8"/>
        <v>83951</v>
      </c>
      <c r="H526" t="e">
        <f ca="1">_xlfn.XLOOKUP(A526,Hoja1!A:A,Hoja1!G:G,0,0)</f>
        <v>#NAME?</v>
      </c>
    </row>
    <row r="527" spans="1:8" x14ac:dyDescent="0.25">
      <c r="A527" s="64" t="s">
        <v>1765</v>
      </c>
      <c r="B527" s="64" t="s">
        <v>1766</v>
      </c>
      <c r="C527" s="220">
        <v>93853</v>
      </c>
      <c r="D527" s="205"/>
      <c r="E527" s="206">
        <v>0.39999999999999991</v>
      </c>
      <c r="F527" s="218">
        <f t="shared" si="8"/>
        <v>93853</v>
      </c>
      <c r="H527" t="e">
        <f ca="1">_xlfn.XLOOKUP(A527,Hoja1!A:A,Hoja1!G:G,0,0)</f>
        <v>#NAME?</v>
      </c>
    </row>
    <row r="528" spans="1:8" x14ac:dyDescent="0.25">
      <c r="A528" s="64" t="s">
        <v>1767</v>
      </c>
      <c r="B528" s="64" t="s">
        <v>1768</v>
      </c>
      <c r="C528" s="220">
        <v>105489</v>
      </c>
      <c r="D528" s="205"/>
      <c r="E528" s="206">
        <v>0.32000000000000006</v>
      </c>
      <c r="F528" s="218">
        <f t="shared" si="8"/>
        <v>105489</v>
      </c>
      <c r="H528" t="e">
        <f ca="1">_xlfn.XLOOKUP(A528,Hoja1!A:A,Hoja1!G:G,0,0)</f>
        <v>#NAME?</v>
      </c>
    </row>
    <row r="529" spans="1:8" x14ac:dyDescent="0.25">
      <c r="A529" s="64" t="s">
        <v>1769</v>
      </c>
      <c r="B529" s="64" t="s">
        <v>1770</v>
      </c>
      <c r="C529" s="220">
        <v>51953</v>
      </c>
      <c r="D529" s="205"/>
      <c r="E529" s="206">
        <v>0</v>
      </c>
      <c r="F529" s="218">
        <f t="shared" si="8"/>
        <v>51953</v>
      </c>
      <c r="H529" t="e">
        <f ca="1">_xlfn.XLOOKUP(A529,Hoja1!A:A,Hoja1!G:G,0,0)</f>
        <v>#NAME?</v>
      </c>
    </row>
    <row r="530" spans="1:8" x14ac:dyDescent="0.25">
      <c r="A530" s="64" t="s">
        <v>1771</v>
      </c>
      <c r="B530" s="64" t="s">
        <v>1772</v>
      </c>
      <c r="C530" s="220">
        <v>59072</v>
      </c>
      <c r="D530" s="205"/>
      <c r="E530" s="206">
        <v>0</v>
      </c>
      <c r="F530" s="218">
        <f t="shared" si="8"/>
        <v>59072</v>
      </c>
      <c r="H530" t="e">
        <f ca="1">_xlfn.XLOOKUP(A530,Hoja1!A:A,Hoja1!G:G,0,0)</f>
        <v>#NAME?</v>
      </c>
    </row>
    <row r="531" spans="1:8" x14ac:dyDescent="0.25">
      <c r="A531" s="64" t="s">
        <v>1773</v>
      </c>
      <c r="B531" s="64" t="s">
        <v>1774</v>
      </c>
      <c r="C531" s="220">
        <v>76226</v>
      </c>
      <c r="D531" s="205"/>
      <c r="E531" s="206">
        <v>0</v>
      </c>
      <c r="F531" s="218">
        <f t="shared" si="8"/>
        <v>76226</v>
      </c>
      <c r="H531" t="e">
        <f ca="1">_xlfn.XLOOKUP(A531,Hoja1!A:A,Hoja1!G:G,0,0)</f>
        <v>#NAME?</v>
      </c>
    </row>
    <row r="532" spans="1:8" x14ac:dyDescent="0.25">
      <c r="A532" s="64" t="s">
        <v>1775</v>
      </c>
      <c r="B532" s="64" t="s">
        <v>1776</v>
      </c>
      <c r="C532" s="220">
        <v>32779</v>
      </c>
      <c r="D532" s="205"/>
      <c r="E532" s="206">
        <v>0</v>
      </c>
      <c r="F532" s="218">
        <f t="shared" si="8"/>
        <v>32779</v>
      </c>
      <c r="H532" t="e">
        <f ca="1">_xlfn.XLOOKUP(A532,Hoja1!A:A,Hoja1!G:G,0,0)</f>
        <v>#NAME?</v>
      </c>
    </row>
    <row r="533" spans="1:8" x14ac:dyDescent="0.25">
      <c r="A533" s="64" t="s">
        <v>1777</v>
      </c>
      <c r="B533" s="64" t="s">
        <v>1778</v>
      </c>
      <c r="C533" s="220">
        <v>150513</v>
      </c>
      <c r="D533" s="205"/>
      <c r="E533" s="206">
        <v>0</v>
      </c>
      <c r="F533" s="218">
        <f t="shared" si="8"/>
        <v>150513</v>
      </c>
      <c r="H533" t="e">
        <f ca="1">_xlfn.XLOOKUP(A533,Hoja1!A:A,Hoja1!G:G,0,0)</f>
        <v>#NAME?</v>
      </c>
    </row>
    <row r="534" spans="1:8" x14ac:dyDescent="0.25">
      <c r="A534" s="64" t="s">
        <v>147</v>
      </c>
      <c r="B534" s="64" t="s">
        <v>148</v>
      </c>
      <c r="C534" s="220">
        <v>43539</v>
      </c>
      <c r="D534" s="205"/>
      <c r="E534" s="206">
        <v>0</v>
      </c>
      <c r="F534" s="218">
        <f t="shared" si="8"/>
        <v>43539</v>
      </c>
      <c r="H534" t="e">
        <f ca="1">_xlfn.XLOOKUP(A534,Hoja1!A:A,Hoja1!G:G,0,0)</f>
        <v>#NAME?</v>
      </c>
    </row>
    <row r="535" spans="1:8" x14ac:dyDescent="0.25">
      <c r="A535" s="64" t="s">
        <v>149</v>
      </c>
      <c r="B535" s="64" t="s">
        <v>150</v>
      </c>
      <c r="C535" s="220">
        <v>47901</v>
      </c>
      <c r="D535" s="205"/>
      <c r="E535" s="206">
        <v>0</v>
      </c>
      <c r="F535" s="218">
        <f t="shared" si="8"/>
        <v>47901</v>
      </c>
      <c r="H535" t="e">
        <f ca="1">_xlfn.XLOOKUP(A535,Hoja1!A:A,Hoja1!G:G,0,0)</f>
        <v>#NAME?</v>
      </c>
    </row>
    <row r="536" spans="1:8" x14ac:dyDescent="0.25">
      <c r="A536" s="64" t="s">
        <v>151</v>
      </c>
      <c r="B536" s="64" t="s">
        <v>152</v>
      </c>
      <c r="C536" s="220">
        <v>79521</v>
      </c>
      <c r="D536" s="205"/>
      <c r="E536" s="206">
        <v>0</v>
      </c>
      <c r="F536" s="218">
        <f t="shared" si="8"/>
        <v>79521</v>
      </c>
      <c r="H536" t="e">
        <f ca="1">_xlfn.XLOOKUP(A536,Hoja1!A:A,Hoja1!G:G,0,0)</f>
        <v>#NAME?</v>
      </c>
    </row>
    <row r="537" spans="1:8" x14ac:dyDescent="0.25">
      <c r="A537" s="64" t="s">
        <v>153</v>
      </c>
      <c r="B537" s="64" t="s">
        <v>154</v>
      </c>
      <c r="C537" s="220">
        <v>110059</v>
      </c>
      <c r="D537" s="205"/>
      <c r="E537" s="206">
        <v>0</v>
      </c>
      <c r="F537" s="218">
        <f t="shared" si="8"/>
        <v>110059</v>
      </c>
      <c r="H537" t="e">
        <f ca="1">_xlfn.XLOOKUP(A537,Hoja1!A:A,Hoja1!G:G,0,0)</f>
        <v>#NAME?</v>
      </c>
    </row>
    <row r="538" spans="1:8" x14ac:dyDescent="0.25">
      <c r="A538" s="64" t="s">
        <v>155</v>
      </c>
      <c r="B538" s="64" t="s">
        <v>348</v>
      </c>
      <c r="C538" s="220">
        <v>124836</v>
      </c>
      <c r="D538" s="205"/>
      <c r="E538" s="206">
        <v>0</v>
      </c>
      <c r="F538" s="218">
        <f t="shared" si="8"/>
        <v>124836</v>
      </c>
      <c r="H538" t="e">
        <f ca="1">_xlfn.XLOOKUP(A538,Hoja1!A:A,Hoja1!G:G,0,0)</f>
        <v>#NAME?</v>
      </c>
    </row>
    <row r="539" spans="1:8" x14ac:dyDescent="0.25">
      <c r="A539" s="64" t="s">
        <v>466</v>
      </c>
      <c r="B539" s="64" t="s">
        <v>468</v>
      </c>
      <c r="C539" s="220">
        <v>39693</v>
      </c>
      <c r="D539" s="205"/>
      <c r="E539" s="206">
        <v>0</v>
      </c>
      <c r="F539" s="218">
        <f t="shared" si="8"/>
        <v>39693</v>
      </c>
      <c r="H539" t="e">
        <f ca="1">_xlfn.XLOOKUP(A539,Hoja1!A:A,Hoja1!G:G,0,0)</f>
        <v>#NAME?</v>
      </c>
    </row>
    <row r="540" spans="1:8" x14ac:dyDescent="0.25">
      <c r="A540" s="64" t="s">
        <v>156</v>
      </c>
      <c r="B540" s="64" t="s">
        <v>157</v>
      </c>
      <c r="C540" s="220">
        <v>37763</v>
      </c>
      <c r="D540" s="205"/>
      <c r="E540" s="206">
        <v>0</v>
      </c>
      <c r="F540" s="218">
        <f t="shared" si="8"/>
        <v>37763</v>
      </c>
      <c r="H540" t="e">
        <f ca="1">_xlfn.XLOOKUP(A540,Hoja1!A:A,Hoja1!G:G,0,0)</f>
        <v>#NAME?</v>
      </c>
    </row>
    <row r="541" spans="1:8" x14ac:dyDescent="0.25">
      <c r="A541" s="64" t="s">
        <v>158</v>
      </c>
      <c r="B541" s="64" t="s">
        <v>159</v>
      </c>
      <c r="C541" s="220">
        <v>37932</v>
      </c>
      <c r="D541" s="205"/>
      <c r="E541" s="206">
        <v>0</v>
      </c>
      <c r="F541" s="218">
        <f t="shared" si="8"/>
        <v>37932</v>
      </c>
      <c r="H541" t="e">
        <f ca="1">_xlfn.XLOOKUP(A541,Hoja1!A:A,Hoja1!G:G,0,0)</f>
        <v>#NAME?</v>
      </c>
    </row>
    <row r="542" spans="1:8" x14ac:dyDescent="0.25">
      <c r="A542" s="64" t="s">
        <v>160</v>
      </c>
      <c r="B542" s="64" t="s">
        <v>161</v>
      </c>
      <c r="C542" s="220">
        <v>57039</v>
      </c>
      <c r="D542" s="205"/>
      <c r="E542" s="206">
        <v>0</v>
      </c>
      <c r="F542" s="218">
        <f t="shared" si="8"/>
        <v>57039</v>
      </c>
      <c r="H542" t="e">
        <f ca="1">_xlfn.XLOOKUP(A542,Hoja1!A:A,Hoja1!G:G,0,0)</f>
        <v>#NAME?</v>
      </c>
    </row>
    <row r="543" spans="1:8" x14ac:dyDescent="0.25">
      <c r="A543" s="64" t="s">
        <v>162</v>
      </c>
      <c r="B543" s="64" t="s">
        <v>163</v>
      </c>
      <c r="C543" s="220">
        <v>30245</v>
      </c>
      <c r="D543" s="205"/>
      <c r="E543" s="206">
        <v>0</v>
      </c>
      <c r="F543" s="218">
        <f t="shared" si="8"/>
        <v>30245</v>
      </c>
      <c r="H543" t="e">
        <f ca="1">_xlfn.XLOOKUP(A543,Hoja1!A:A,Hoja1!G:G,0,0)</f>
        <v>#NAME?</v>
      </c>
    </row>
    <row r="544" spans="1:8" x14ac:dyDescent="0.25">
      <c r="A544" s="64" t="s">
        <v>164</v>
      </c>
      <c r="B544" s="64" t="s">
        <v>165</v>
      </c>
      <c r="C544" s="220">
        <v>26160</v>
      </c>
      <c r="D544" s="205"/>
      <c r="E544" s="206">
        <v>0</v>
      </c>
      <c r="F544" s="218">
        <f t="shared" si="8"/>
        <v>26160</v>
      </c>
      <c r="H544" t="e">
        <f ca="1">_xlfn.XLOOKUP(A544,Hoja1!A:A,Hoja1!G:G,0,0)</f>
        <v>#NAME?</v>
      </c>
    </row>
    <row r="545" spans="1:8" x14ac:dyDescent="0.25">
      <c r="A545" s="64" t="s">
        <v>166</v>
      </c>
      <c r="B545" s="64" t="s">
        <v>167</v>
      </c>
      <c r="C545" s="220">
        <v>46977</v>
      </c>
      <c r="D545" s="205"/>
      <c r="E545" s="206">
        <v>0</v>
      </c>
      <c r="F545" s="218">
        <f t="shared" si="8"/>
        <v>46977</v>
      </c>
      <c r="H545" t="e">
        <f ca="1">_xlfn.XLOOKUP(A545,Hoja1!A:A,Hoja1!G:G,0,0)</f>
        <v>#NAME?</v>
      </c>
    </row>
    <row r="546" spans="1:8" x14ac:dyDescent="0.25">
      <c r="A546" s="64" t="s">
        <v>168</v>
      </c>
      <c r="B546" s="64" t="s">
        <v>169</v>
      </c>
      <c r="C546" s="220">
        <v>48293</v>
      </c>
      <c r="D546" s="205"/>
      <c r="E546" s="206">
        <v>0</v>
      </c>
      <c r="F546" s="218">
        <f t="shared" si="8"/>
        <v>48293</v>
      </c>
      <c r="H546" t="e">
        <f ca="1">_xlfn.XLOOKUP(A546,Hoja1!A:A,Hoja1!G:G,0,0)</f>
        <v>#NAME?</v>
      </c>
    </row>
    <row r="547" spans="1:8" x14ac:dyDescent="0.25">
      <c r="A547" s="64" t="s">
        <v>170</v>
      </c>
      <c r="B547" s="64" t="s">
        <v>171</v>
      </c>
      <c r="C547" s="220">
        <v>59265</v>
      </c>
      <c r="D547" s="205"/>
      <c r="E547" s="206">
        <v>0</v>
      </c>
      <c r="F547" s="218">
        <f t="shared" si="8"/>
        <v>59265</v>
      </c>
      <c r="H547" t="e">
        <f ca="1">_xlfn.XLOOKUP(A547,Hoja1!A:A,Hoja1!G:G,0,0)</f>
        <v>#NAME?</v>
      </c>
    </row>
    <row r="548" spans="1:8" x14ac:dyDescent="0.25">
      <c r="A548" s="64" t="s">
        <v>172</v>
      </c>
      <c r="B548" s="64" t="s">
        <v>358</v>
      </c>
      <c r="C548" s="220">
        <v>85221</v>
      </c>
      <c r="D548" s="205"/>
      <c r="E548" s="206">
        <v>0</v>
      </c>
      <c r="F548" s="218">
        <f t="shared" si="8"/>
        <v>85221</v>
      </c>
      <c r="H548" t="e">
        <f ca="1">_xlfn.XLOOKUP(A548,Hoja1!A:A,Hoja1!G:G,0,0)</f>
        <v>#NAME?</v>
      </c>
    </row>
    <row r="549" spans="1:8" x14ac:dyDescent="0.25">
      <c r="A549" s="64" t="s">
        <v>173</v>
      </c>
      <c r="B549" s="64" t="s">
        <v>360</v>
      </c>
      <c r="C549" s="220">
        <v>32290</v>
      </c>
      <c r="D549" s="205"/>
      <c r="E549" s="206">
        <v>0</v>
      </c>
      <c r="F549" s="218">
        <f t="shared" si="8"/>
        <v>32290</v>
      </c>
      <c r="H549" t="e">
        <f ca="1">_xlfn.XLOOKUP(A549,Hoja1!A:A,Hoja1!G:G,0,0)</f>
        <v>#NAME?</v>
      </c>
    </row>
    <row r="550" spans="1:8" x14ac:dyDescent="0.25">
      <c r="A550" s="64" t="s">
        <v>174</v>
      </c>
      <c r="B550" s="64" t="s">
        <v>175</v>
      </c>
      <c r="C550" s="220">
        <v>35322</v>
      </c>
      <c r="D550" s="205"/>
      <c r="E550" s="206">
        <v>0</v>
      </c>
      <c r="F550" s="218">
        <f t="shared" si="8"/>
        <v>35322</v>
      </c>
      <c r="H550" t="e">
        <f ca="1">_xlfn.XLOOKUP(A550,Hoja1!A:A,Hoja1!G:G,0,0)</f>
        <v>#NAME?</v>
      </c>
    </row>
    <row r="551" spans="1:8" x14ac:dyDescent="0.25">
      <c r="A551" s="64" t="s">
        <v>176</v>
      </c>
      <c r="B551" s="64" t="s">
        <v>363</v>
      </c>
      <c r="C551" s="220">
        <v>77732</v>
      </c>
      <c r="D551" s="205"/>
      <c r="E551" s="206">
        <v>0</v>
      </c>
      <c r="F551" s="218">
        <f t="shared" si="8"/>
        <v>77732</v>
      </c>
      <c r="H551" t="e">
        <f ca="1">_xlfn.XLOOKUP(A551,Hoja1!A:A,Hoja1!G:G,0,0)</f>
        <v>#NAME?</v>
      </c>
    </row>
    <row r="552" spans="1:8" x14ac:dyDescent="0.25">
      <c r="A552" s="64" t="s">
        <v>177</v>
      </c>
      <c r="B552" s="64" t="s">
        <v>365</v>
      </c>
      <c r="C552" s="220">
        <v>56645</v>
      </c>
      <c r="D552" s="205"/>
      <c r="E552" s="206">
        <v>0</v>
      </c>
      <c r="F552" s="218">
        <f t="shared" si="8"/>
        <v>56645</v>
      </c>
      <c r="H552" t="e">
        <f ca="1">_xlfn.XLOOKUP(A552,Hoja1!A:A,Hoja1!G:G,0,0)</f>
        <v>#NAME?</v>
      </c>
    </row>
    <row r="553" spans="1:8" x14ac:dyDescent="0.25">
      <c r="A553" s="64" t="s">
        <v>178</v>
      </c>
      <c r="B553" s="64" t="s">
        <v>367</v>
      </c>
      <c r="C553" s="220">
        <v>92905</v>
      </c>
      <c r="D553" s="205"/>
      <c r="E553" s="206">
        <v>0</v>
      </c>
      <c r="F553" s="218">
        <f t="shared" si="8"/>
        <v>92905</v>
      </c>
      <c r="H553" t="e">
        <f ca="1">_xlfn.XLOOKUP(A553,Hoja1!A:A,Hoja1!G:G,0,0)</f>
        <v>#NAME?</v>
      </c>
    </row>
    <row r="554" spans="1:8" x14ac:dyDescent="0.25">
      <c r="A554" s="64" t="s">
        <v>179</v>
      </c>
      <c r="B554" s="64" t="s">
        <v>369</v>
      </c>
      <c r="C554" s="220">
        <v>43774</v>
      </c>
      <c r="D554" s="205"/>
      <c r="E554" s="206">
        <v>0</v>
      </c>
      <c r="F554" s="218">
        <f t="shared" si="8"/>
        <v>43774</v>
      </c>
      <c r="H554" t="e">
        <f ca="1">_xlfn.XLOOKUP(A554,Hoja1!A:A,Hoja1!G:G,0,0)</f>
        <v>#NAME?</v>
      </c>
    </row>
    <row r="555" spans="1:8" x14ac:dyDescent="0.25">
      <c r="A555" s="64" t="s">
        <v>180</v>
      </c>
      <c r="B555" s="212" t="s">
        <v>371</v>
      </c>
      <c r="C555" s="220">
        <v>63435</v>
      </c>
      <c r="D555" s="205"/>
      <c r="E555" s="206">
        <v>0</v>
      </c>
      <c r="F555" s="218">
        <f t="shared" si="8"/>
        <v>63435</v>
      </c>
      <c r="H555" t="e">
        <f ca="1">_xlfn.XLOOKUP(A555,Hoja1!A:A,Hoja1!G:G,0,0)</f>
        <v>#NAME?</v>
      </c>
    </row>
    <row r="556" spans="1:8" x14ac:dyDescent="0.25">
      <c r="A556" s="64" t="s">
        <v>181</v>
      </c>
      <c r="B556" s="64" t="s">
        <v>1779</v>
      </c>
      <c r="C556" s="220">
        <v>60248</v>
      </c>
      <c r="D556" s="205"/>
      <c r="E556" s="206">
        <v>0</v>
      </c>
      <c r="F556" s="218">
        <f t="shared" si="8"/>
        <v>60248</v>
      </c>
      <c r="H556" t="e">
        <f ca="1">_xlfn.XLOOKUP(A556,Hoja1!A:A,Hoja1!G:G,0,0)</f>
        <v>#NAME?</v>
      </c>
    </row>
    <row r="557" spans="1:8" x14ac:dyDescent="0.25">
      <c r="A557" s="64" t="s">
        <v>1780</v>
      </c>
      <c r="B557" s="64" t="s">
        <v>1781</v>
      </c>
      <c r="C557" s="220">
        <v>63813</v>
      </c>
      <c r="D557" s="205"/>
      <c r="E557" s="206"/>
      <c r="F557" s="218">
        <f t="shared" si="8"/>
        <v>63813</v>
      </c>
      <c r="H557" s="222" t="e">
        <f ca="1">_xlfn.XLOOKUP(A557,Hoja1!A:A,Hoja1!G:G,0,0)</f>
        <v>#NAME?</v>
      </c>
    </row>
    <row r="558" spans="1:8" x14ac:dyDescent="0.25">
      <c r="A558" s="64" t="s">
        <v>457</v>
      </c>
      <c r="B558" s="64" t="s">
        <v>1782</v>
      </c>
      <c r="C558" s="220">
        <v>30107</v>
      </c>
      <c r="D558" s="205"/>
      <c r="E558" s="206">
        <v>0</v>
      </c>
      <c r="F558" s="218">
        <f t="shared" si="8"/>
        <v>30107</v>
      </c>
      <c r="H558" t="e">
        <f ca="1">_xlfn.XLOOKUP(A558,Hoja1!A:A,Hoja1!G:G,0,0)</f>
        <v>#NAME?</v>
      </c>
    </row>
    <row r="559" spans="1:8" x14ac:dyDescent="0.25">
      <c r="A559" s="64" t="s">
        <v>459</v>
      </c>
      <c r="B559" s="64" t="s">
        <v>1783</v>
      </c>
      <c r="C559" s="220">
        <v>30122</v>
      </c>
      <c r="D559" s="205"/>
      <c r="E559" s="206">
        <v>0</v>
      </c>
      <c r="F559" s="218">
        <f t="shared" si="8"/>
        <v>30122</v>
      </c>
      <c r="H559" t="e">
        <f ca="1">_xlfn.XLOOKUP(A559,Hoja1!A:A,Hoja1!G:G,0,0)</f>
        <v>#NAME?</v>
      </c>
    </row>
    <row r="560" spans="1:8" x14ac:dyDescent="0.25">
      <c r="A560" s="64" t="s">
        <v>420</v>
      </c>
      <c r="B560" s="64" t="s">
        <v>2571</v>
      </c>
      <c r="C560" s="220">
        <v>207562</v>
      </c>
      <c r="D560" s="205"/>
      <c r="E560" s="206">
        <v>0</v>
      </c>
      <c r="F560" s="218">
        <f t="shared" si="8"/>
        <v>207562</v>
      </c>
      <c r="H560" t="e">
        <f ca="1">_xlfn.XLOOKUP(A560,Hoja1!A:A,Hoja1!G:G,0,0)</f>
        <v>#NAME?</v>
      </c>
    </row>
    <row r="561" spans="1:8" x14ac:dyDescent="0.25">
      <c r="A561" s="64" t="s">
        <v>1785</v>
      </c>
      <c r="B561" s="64" t="s">
        <v>1786</v>
      </c>
      <c r="C561" s="220">
        <v>47017</v>
      </c>
      <c r="D561" s="205"/>
      <c r="E561" s="206"/>
      <c r="F561" s="218">
        <f t="shared" si="8"/>
        <v>47017</v>
      </c>
      <c r="H561" s="222" t="e">
        <f ca="1">_xlfn.XLOOKUP(A561,Hoja1!A:A,Hoja1!G:G,0,0)</f>
        <v>#NAME?</v>
      </c>
    </row>
    <row r="562" spans="1:8" x14ac:dyDescent="0.25">
      <c r="A562" s="64" t="s">
        <v>697</v>
      </c>
      <c r="B562" s="64" t="s">
        <v>719</v>
      </c>
      <c r="C562" s="220">
        <v>43316</v>
      </c>
      <c r="D562" s="205"/>
      <c r="E562" s="206">
        <v>0.14999999999999991</v>
      </c>
      <c r="F562" s="218">
        <f t="shared" si="8"/>
        <v>43316</v>
      </c>
      <c r="H562" t="e">
        <f ca="1">_xlfn.XLOOKUP(A562,Hoja1!A:A,Hoja1!G:G,0,0)</f>
        <v>#NAME?</v>
      </c>
    </row>
    <row r="563" spans="1:8" x14ac:dyDescent="0.25">
      <c r="A563" s="64" t="s">
        <v>698</v>
      </c>
      <c r="B563" s="64" t="s">
        <v>720</v>
      </c>
      <c r="C563" s="220">
        <v>77507</v>
      </c>
      <c r="D563" s="205"/>
      <c r="E563" s="206">
        <v>0.14999999999999991</v>
      </c>
      <c r="F563" s="218">
        <f t="shared" si="8"/>
        <v>77507</v>
      </c>
      <c r="H563" t="e">
        <f ca="1">_xlfn.XLOOKUP(A563,Hoja1!A:A,Hoja1!G:G,0,0)</f>
        <v>#NAME?</v>
      </c>
    </row>
    <row r="564" spans="1:8" x14ac:dyDescent="0.25">
      <c r="A564" s="64" t="s">
        <v>699</v>
      </c>
      <c r="B564" s="64" t="s">
        <v>721</v>
      </c>
      <c r="C564" s="220">
        <v>77519</v>
      </c>
      <c r="D564" s="205"/>
      <c r="E564" s="206">
        <v>0.30000000000000004</v>
      </c>
      <c r="F564" s="218">
        <f t="shared" si="8"/>
        <v>77519</v>
      </c>
      <c r="H564" t="e">
        <f ca="1">_xlfn.XLOOKUP(A564,Hoja1!A:A,Hoja1!G:G,0,0)</f>
        <v>#NAME?</v>
      </c>
    </row>
    <row r="565" spans="1:8" x14ac:dyDescent="0.25">
      <c r="A565" s="64" t="s">
        <v>700</v>
      </c>
      <c r="B565" s="212" t="s">
        <v>722</v>
      </c>
      <c r="C565" s="220">
        <v>78244</v>
      </c>
      <c r="D565" s="205"/>
      <c r="E565" s="206">
        <v>0.30000000000000004</v>
      </c>
      <c r="F565" s="218">
        <f t="shared" si="8"/>
        <v>78244</v>
      </c>
      <c r="H565" t="e">
        <f ca="1">_xlfn.XLOOKUP(A565,Hoja1!A:A,Hoja1!G:G,0,0)</f>
        <v>#NAME?</v>
      </c>
    </row>
    <row r="566" spans="1:8" x14ac:dyDescent="0.25">
      <c r="A566" s="64" t="s">
        <v>701</v>
      </c>
      <c r="B566" s="64" t="s">
        <v>723</v>
      </c>
      <c r="C566" s="220">
        <v>77519</v>
      </c>
      <c r="D566" s="205"/>
      <c r="E566" s="206">
        <v>0.30000000000000004</v>
      </c>
      <c r="F566" s="218">
        <f t="shared" si="8"/>
        <v>77519</v>
      </c>
      <c r="H566" t="e">
        <f ca="1">_xlfn.XLOOKUP(A566,Hoja1!A:A,Hoja1!G:G,0,0)</f>
        <v>#NAME?</v>
      </c>
    </row>
    <row r="567" spans="1:8" x14ac:dyDescent="0.25">
      <c r="A567" s="64" t="s">
        <v>702</v>
      </c>
      <c r="B567" s="64" t="s">
        <v>724</v>
      </c>
      <c r="C567" s="220">
        <v>42225</v>
      </c>
      <c r="D567" s="205"/>
      <c r="E567" s="206">
        <v>0.30000000000000004</v>
      </c>
      <c r="F567" s="218">
        <f t="shared" si="8"/>
        <v>42225</v>
      </c>
      <c r="H567" t="e">
        <f ca="1">_xlfn.XLOOKUP(A567,Hoja1!A:A,Hoja1!G:G,0,0)</f>
        <v>#NAME?</v>
      </c>
    </row>
    <row r="568" spans="1:8" x14ac:dyDescent="0.25">
      <c r="A568" s="64" t="s">
        <v>703</v>
      </c>
      <c r="B568" s="64" t="s">
        <v>725</v>
      </c>
      <c r="C568" s="220">
        <v>47038</v>
      </c>
      <c r="D568" s="205"/>
      <c r="E568" s="206">
        <v>0</v>
      </c>
      <c r="F568" s="218">
        <f t="shared" si="8"/>
        <v>47038</v>
      </c>
      <c r="H568" t="e">
        <f ca="1">_xlfn.XLOOKUP(A568,Hoja1!A:A,Hoja1!G:G,0,0)</f>
        <v>#NAME?</v>
      </c>
    </row>
    <row r="569" spans="1:8" x14ac:dyDescent="0.25">
      <c r="A569" s="64" t="s">
        <v>704</v>
      </c>
      <c r="B569" s="64" t="s">
        <v>726</v>
      </c>
      <c r="C569" s="220">
        <v>47160</v>
      </c>
      <c r="D569" s="205"/>
      <c r="E569" s="206">
        <v>0</v>
      </c>
      <c r="F569" s="218">
        <f t="shared" si="8"/>
        <v>47160</v>
      </c>
      <c r="H569" t="e">
        <f ca="1">_xlfn.XLOOKUP(A569,Hoja1!A:A,Hoja1!G:G,0,0)</f>
        <v>#NAME?</v>
      </c>
    </row>
    <row r="570" spans="1:8" x14ac:dyDescent="0.25">
      <c r="A570" s="64" t="s">
        <v>705</v>
      </c>
      <c r="B570" s="64" t="s">
        <v>727</v>
      </c>
      <c r="C570" s="220">
        <v>62935</v>
      </c>
      <c r="D570" s="205"/>
      <c r="E570" s="206">
        <v>0</v>
      </c>
      <c r="F570" s="218">
        <f t="shared" si="8"/>
        <v>62935</v>
      </c>
      <c r="H570" t="e">
        <f ca="1">_xlfn.XLOOKUP(A570,Hoja1!A:A,Hoja1!G:G,0,0)</f>
        <v>#NAME?</v>
      </c>
    </row>
    <row r="571" spans="1:8" x14ac:dyDescent="0.25">
      <c r="A571" s="64" t="s">
        <v>706</v>
      </c>
      <c r="B571" s="64" t="s">
        <v>728</v>
      </c>
      <c r="C571" s="220">
        <v>73844</v>
      </c>
      <c r="D571" s="205"/>
      <c r="E571" s="206">
        <v>0</v>
      </c>
      <c r="F571" s="218">
        <f t="shared" si="8"/>
        <v>73844</v>
      </c>
      <c r="H571" t="e">
        <f ca="1">_xlfn.XLOOKUP(A571,Hoja1!A:A,Hoja1!G:G,0,0)</f>
        <v>#NAME?</v>
      </c>
    </row>
    <row r="572" spans="1:8" x14ac:dyDescent="0.25">
      <c r="A572" s="64" t="s">
        <v>707</v>
      </c>
      <c r="B572" s="64" t="s">
        <v>729</v>
      </c>
      <c r="C572" s="220">
        <v>139292</v>
      </c>
      <c r="D572" s="205"/>
      <c r="E572" s="206">
        <v>0.30000000000000004</v>
      </c>
      <c r="F572" s="218">
        <f t="shared" si="8"/>
        <v>139292</v>
      </c>
      <c r="H572" t="e">
        <f ca="1">_xlfn.XLOOKUP(A572,Hoja1!A:A,Hoja1!G:G,0,0)</f>
        <v>#NAME?</v>
      </c>
    </row>
    <row r="573" spans="1:8" x14ac:dyDescent="0.25">
      <c r="A573" s="64" t="s">
        <v>921</v>
      </c>
      <c r="B573" s="64" t="s">
        <v>1787</v>
      </c>
      <c r="C573" s="220">
        <v>21431</v>
      </c>
      <c r="D573" s="205"/>
      <c r="E573" s="206">
        <v>0</v>
      </c>
      <c r="F573" s="218">
        <f t="shared" si="8"/>
        <v>21431</v>
      </c>
      <c r="H573" t="e">
        <f ca="1">_xlfn.XLOOKUP(A573,Hoja1!A:A,Hoja1!G:G,0,0)</f>
        <v>#NAME?</v>
      </c>
    </row>
    <row r="574" spans="1:8" x14ac:dyDescent="0.25">
      <c r="A574" s="64" t="s">
        <v>645</v>
      </c>
      <c r="B574" s="64" t="s">
        <v>1834</v>
      </c>
      <c r="C574" s="220">
        <v>62460</v>
      </c>
      <c r="D574" s="205"/>
      <c r="E574" s="206">
        <v>0</v>
      </c>
      <c r="F574" s="218">
        <f t="shared" si="8"/>
        <v>62460</v>
      </c>
      <c r="H574" t="e">
        <f ca="1">_xlfn.XLOOKUP(A574,Hoja1!A:A,Hoja1!G:G,0,0)</f>
        <v>#NAME?</v>
      </c>
    </row>
    <row r="575" spans="1:8" x14ac:dyDescent="0.25">
      <c r="A575" s="64" t="s">
        <v>646</v>
      </c>
      <c r="B575" s="64" t="s">
        <v>1835</v>
      </c>
      <c r="C575" s="220">
        <v>27873</v>
      </c>
      <c r="D575" s="205"/>
      <c r="E575" s="206">
        <v>0</v>
      </c>
      <c r="F575" s="218">
        <f t="shared" si="8"/>
        <v>27873</v>
      </c>
      <c r="H575" t="e">
        <f ca="1">_xlfn.XLOOKUP(A575,Hoja1!A:A,Hoja1!G:G,0,0)</f>
        <v>#NAME?</v>
      </c>
    </row>
    <row r="576" spans="1:8" x14ac:dyDescent="0.25">
      <c r="A576" s="64" t="s">
        <v>647</v>
      </c>
      <c r="B576" s="64" t="s">
        <v>1836</v>
      </c>
      <c r="C576" s="220">
        <v>29954</v>
      </c>
      <c r="D576" s="205"/>
      <c r="E576" s="206">
        <v>0</v>
      </c>
      <c r="F576" s="218">
        <f t="shared" si="8"/>
        <v>29954</v>
      </c>
      <c r="H576" t="e">
        <f ca="1">_xlfn.XLOOKUP(A576,Hoja1!A:A,Hoja1!G:G,0,0)</f>
        <v>#NAME?</v>
      </c>
    </row>
    <row r="577" spans="1:8" x14ac:dyDescent="0.25">
      <c r="A577" s="64" t="s">
        <v>648</v>
      </c>
      <c r="B577" s="64" t="s">
        <v>1837</v>
      </c>
      <c r="C577" s="220">
        <v>27473</v>
      </c>
      <c r="D577" s="205"/>
      <c r="E577" s="206">
        <v>0</v>
      </c>
      <c r="F577" s="218">
        <f t="shared" si="8"/>
        <v>27473</v>
      </c>
      <c r="H577" t="e">
        <f ca="1">_xlfn.XLOOKUP(A577,Hoja1!A:A,Hoja1!G:G,0,0)</f>
        <v>#NAME?</v>
      </c>
    </row>
    <row r="578" spans="1:8" x14ac:dyDescent="0.25">
      <c r="A578" s="64" t="s">
        <v>649</v>
      </c>
      <c r="B578" s="64" t="s">
        <v>1838</v>
      </c>
      <c r="C578" s="220">
        <v>29427</v>
      </c>
      <c r="D578" s="205"/>
      <c r="E578" s="206">
        <v>0</v>
      </c>
      <c r="F578" s="218">
        <f t="shared" si="8"/>
        <v>29427</v>
      </c>
      <c r="H578" t="e">
        <f ca="1">_xlfn.XLOOKUP(A578,Hoja1!A:A,Hoja1!G:G,0,0)</f>
        <v>#NAME?</v>
      </c>
    </row>
    <row r="579" spans="1:8" x14ac:dyDescent="0.25">
      <c r="A579" s="64" t="s">
        <v>650</v>
      </c>
      <c r="B579" s="64" t="s">
        <v>1839</v>
      </c>
      <c r="C579" s="220">
        <v>28350</v>
      </c>
      <c r="D579" s="205"/>
      <c r="E579" s="206">
        <v>0</v>
      </c>
      <c r="F579" s="218">
        <f t="shared" ref="F579:F642" si="9">ROUND(C579,0)</f>
        <v>28350</v>
      </c>
      <c r="H579" t="e">
        <f ca="1">_xlfn.XLOOKUP(A579,Hoja1!A:A,Hoja1!G:G,0,0)</f>
        <v>#NAME?</v>
      </c>
    </row>
    <row r="580" spans="1:8" x14ac:dyDescent="0.25">
      <c r="A580" s="64" t="s">
        <v>651</v>
      </c>
      <c r="B580" s="64" t="s">
        <v>1840</v>
      </c>
      <c r="C580" s="220">
        <v>55554</v>
      </c>
      <c r="D580" s="205"/>
      <c r="E580" s="206">
        <v>0</v>
      </c>
      <c r="F580" s="218">
        <f t="shared" si="9"/>
        <v>55554</v>
      </c>
      <c r="H580" t="e">
        <f ca="1">_xlfn.XLOOKUP(A580,Hoja1!A:A,Hoja1!G:G,0,0)</f>
        <v>#NAME?</v>
      </c>
    </row>
    <row r="581" spans="1:8" x14ac:dyDescent="0.25">
      <c r="A581" s="64" t="s">
        <v>977</v>
      </c>
      <c r="B581" s="64" t="s">
        <v>2572</v>
      </c>
      <c r="C581" s="220">
        <v>37976</v>
      </c>
      <c r="D581" s="205"/>
      <c r="E581" s="206">
        <v>0</v>
      </c>
      <c r="F581" s="218">
        <f t="shared" si="9"/>
        <v>37976</v>
      </c>
      <c r="H581" t="e">
        <f ca="1">_xlfn.XLOOKUP(A581,Hoja1!A:A,Hoja1!G:G,0,0)</f>
        <v>#NAME?</v>
      </c>
    </row>
    <row r="582" spans="1:8" x14ac:dyDescent="0.25">
      <c r="A582" s="64" t="s">
        <v>979</v>
      </c>
      <c r="B582" s="64" t="s">
        <v>2573</v>
      </c>
      <c r="C582" s="220">
        <v>38316</v>
      </c>
      <c r="D582" s="205"/>
      <c r="E582" s="206">
        <v>0</v>
      </c>
      <c r="F582" s="218">
        <f t="shared" si="9"/>
        <v>38316</v>
      </c>
      <c r="H582" t="e">
        <f ca="1">_xlfn.XLOOKUP(A582,Hoja1!A:A,Hoja1!G:G,0,0)</f>
        <v>#NAME?</v>
      </c>
    </row>
    <row r="583" spans="1:8" x14ac:dyDescent="0.25">
      <c r="A583" s="64" t="s">
        <v>981</v>
      </c>
      <c r="B583" s="64" t="s">
        <v>2574</v>
      </c>
      <c r="C583" s="220">
        <v>59195</v>
      </c>
      <c r="D583" s="205"/>
      <c r="E583" s="206">
        <v>0</v>
      </c>
      <c r="F583" s="218">
        <f t="shared" si="9"/>
        <v>59195</v>
      </c>
      <c r="H583" t="e">
        <f ca="1">_xlfn.XLOOKUP(A583,Hoja1!A:A,Hoja1!G:G,0,0)</f>
        <v>#NAME?</v>
      </c>
    </row>
    <row r="584" spans="1:8" x14ac:dyDescent="0.25">
      <c r="A584" s="64" t="s">
        <v>1865</v>
      </c>
      <c r="B584" s="64" t="s">
        <v>1866</v>
      </c>
      <c r="C584" s="220">
        <v>145431</v>
      </c>
      <c r="D584" s="205"/>
      <c r="E584" s="206">
        <v>0</v>
      </c>
      <c r="F584" s="218">
        <f t="shared" si="9"/>
        <v>145431</v>
      </c>
      <c r="H584" t="e">
        <f ca="1">_xlfn.XLOOKUP(A584,Hoja1!A:A,Hoja1!G:G,0,0)</f>
        <v>#NAME?</v>
      </c>
    </row>
    <row r="585" spans="1:8" x14ac:dyDescent="0.25">
      <c r="A585" s="64" t="s">
        <v>1867</v>
      </c>
      <c r="B585" s="64" t="s">
        <v>1868</v>
      </c>
      <c r="C585" s="220">
        <v>128341</v>
      </c>
      <c r="D585" s="205"/>
      <c r="E585" s="206">
        <v>0</v>
      </c>
      <c r="F585" s="218">
        <f t="shared" si="9"/>
        <v>128341</v>
      </c>
      <c r="H585" t="e">
        <f ca="1">_xlfn.XLOOKUP(A585,Hoja1!A:A,Hoja1!G:G,0,0)</f>
        <v>#NAME?</v>
      </c>
    </row>
    <row r="586" spans="1:8" x14ac:dyDescent="0.25">
      <c r="A586" s="64" t="s">
        <v>1869</v>
      </c>
      <c r="B586" s="214" t="s">
        <v>1870</v>
      </c>
      <c r="C586" s="220">
        <v>148868</v>
      </c>
      <c r="D586" s="205"/>
      <c r="E586" s="206">
        <v>0</v>
      </c>
      <c r="F586" s="218">
        <f t="shared" si="9"/>
        <v>148868</v>
      </c>
      <c r="H586" t="e">
        <f ca="1">_xlfn.XLOOKUP(A586,Hoja1!A:A,Hoja1!G:G,0,0)</f>
        <v>#NAME?</v>
      </c>
    </row>
    <row r="587" spans="1:8" x14ac:dyDescent="0.25">
      <c r="A587" s="64" t="s">
        <v>1871</v>
      </c>
      <c r="B587" s="64" t="s">
        <v>1872</v>
      </c>
      <c r="C587" s="220">
        <v>86110</v>
      </c>
      <c r="D587" s="205"/>
      <c r="E587" s="206">
        <v>0</v>
      </c>
      <c r="F587" s="218">
        <f t="shared" si="9"/>
        <v>86110</v>
      </c>
      <c r="H587" t="e">
        <f ca="1">_xlfn.XLOOKUP(A587,Hoja1!A:A,Hoja1!G:G,0,0)</f>
        <v>#NAME?</v>
      </c>
    </row>
    <row r="588" spans="1:8" x14ac:dyDescent="0.25">
      <c r="A588" s="64" t="s">
        <v>1873</v>
      </c>
      <c r="B588" s="64" t="s">
        <v>1874</v>
      </c>
      <c r="C588" s="220">
        <v>54492</v>
      </c>
      <c r="D588" s="205"/>
      <c r="E588" s="206">
        <v>0</v>
      </c>
      <c r="F588" s="218">
        <f t="shared" si="9"/>
        <v>54492</v>
      </c>
      <c r="H588" t="e">
        <f ca="1">_xlfn.XLOOKUP(A588,Hoja1!A:A,Hoja1!G:G,0,0)</f>
        <v>#NAME?</v>
      </c>
    </row>
    <row r="589" spans="1:8" x14ac:dyDescent="0.25">
      <c r="A589" s="64" t="s">
        <v>1875</v>
      </c>
      <c r="B589" s="64" t="s">
        <v>1876</v>
      </c>
      <c r="C589" s="220">
        <v>35211</v>
      </c>
      <c r="D589" s="205"/>
      <c r="E589" s="206">
        <v>0</v>
      </c>
      <c r="F589" s="218">
        <f t="shared" si="9"/>
        <v>35211</v>
      </c>
      <c r="H589" t="e">
        <f ca="1">_xlfn.XLOOKUP(A589,Hoja1!A:A,Hoja1!G:G,0,0)</f>
        <v>#NAME?</v>
      </c>
    </row>
    <row r="590" spans="1:8" x14ac:dyDescent="0.25">
      <c r="A590" s="64" t="s">
        <v>1877</v>
      </c>
      <c r="B590" s="214" t="s">
        <v>1878</v>
      </c>
      <c r="C590" s="220">
        <v>72389</v>
      </c>
      <c r="D590" s="205"/>
      <c r="E590" s="206">
        <v>0</v>
      </c>
      <c r="F590" s="218">
        <f t="shared" si="9"/>
        <v>72389</v>
      </c>
      <c r="H590" t="e">
        <f ca="1">_xlfn.XLOOKUP(A590,Hoja1!A:A,Hoja1!G:G,0,0)</f>
        <v>#NAME?</v>
      </c>
    </row>
    <row r="591" spans="1:8" x14ac:dyDescent="0.25">
      <c r="A591" s="64" t="s">
        <v>1879</v>
      </c>
      <c r="B591" s="64" t="s">
        <v>1880</v>
      </c>
      <c r="C591" s="220">
        <v>23689</v>
      </c>
      <c r="D591" s="205"/>
      <c r="E591" s="206">
        <v>0</v>
      </c>
      <c r="F591" s="218">
        <f t="shared" si="9"/>
        <v>23689</v>
      </c>
      <c r="H591" t="e">
        <f ca="1">_xlfn.XLOOKUP(A591,Hoja1!A:A,Hoja1!G:G,0,0)</f>
        <v>#NAME?</v>
      </c>
    </row>
    <row r="592" spans="1:8" x14ac:dyDescent="0.25">
      <c r="A592" s="64" t="s">
        <v>1881</v>
      </c>
      <c r="B592" s="64" t="s">
        <v>2575</v>
      </c>
      <c r="C592" s="220">
        <v>20306</v>
      </c>
      <c r="D592" s="205"/>
      <c r="E592" s="206">
        <v>0</v>
      </c>
      <c r="F592" s="218">
        <f t="shared" si="9"/>
        <v>20306</v>
      </c>
      <c r="H592" t="e">
        <f ca="1">_xlfn.XLOOKUP(A592,Hoja1!A:A,Hoja1!G:G,0,0)</f>
        <v>#NAME?</v>
      </c>
    </row>
    <row r="593" spans="1:8" x14ac:dyDescent="0.25">
      <c r="A593" s="64" t="s">
        <v>1883</v>
      </c>
      <c r="B593" s="64" t="s">
        <v>1884</v>
      </c>
      <c r="C593" s="220">
        <v>116576</v>
      </c>
      <c r="D593" s="205"/>
      <c r="E593" s="206">
        <v>0</v>
      </c>
      <c r="F593" s="218">
        <f t="shared" si="9"/>
        <v>116576</v>
      </c>
      <c r="H593" t="e">
        <f ca="1">_xlfn.XLOOKUP(A593,Hoja1!A:A,Hoja1!G:G,0,0)</f>
        <v>#NAME?</v>
      </c>
    </row>
    <row r="594" spans="1:8" x14ac:dyDescent="0.25">
      <c r="A594" s="212" t="s">
        <v>1885</v>
      </c>
      <c r="B594" s="64" t="s">
        <v>1886</v>
      </c>
      <c r="C594" s="220">
        <v>16301</v>
      </c>
      <c r="D594" s="205"/>
      <c r="E594" s="213">
        <v>0</v>
      </c>
      <c r="F594" s="218">
        <f t="shared" si="9"/>
        <v>16301</v>
      </c>
      <c r="H594" t="e">
        <f ca="1">_xlfn.XLOOKUP(A594,Hoja1!A:A,Hoja1!G:G,0,0)</f>
        <v>#NAME?</v>
      </c>
    </row>
    <row r="595" spans="1:8" x14ac:dyDescent="0.25">
      <c r="A595" s="64" t="s">
        <v>555</v>
      </c>
      <c r="B595" s="64" t="s">
        <v>1887</v>
      </c>
      <c r="C595" s="220">
        <v>14186</v>
      </c>
      <c r="D595" s="205"/>
      <c r="E595" s="206">
        <v>0</v>
      </c>
      <c r="F595" s="218">
        <f t="shared" si="9"/>
        <v>14186</v>
      </c>
      <c r="H595" t="e">
        <f ca="1">_xlfn.XLOOKUP(A595,Hoja1!A:A,Hoja1!G:G,0,0)</f>
        <v>#NAME?</v>
      </c>
    </row>
    <row r="596" spans="1:8" x14ac:dyDescent="0.25">
      <c r="A596" s="64" t="s">
        <v>563</v>
      </c>
      <c r="B596" s="64" t="s">
        <v>1888</v>
      </c>
      <c r="C596" s="220">
        <v>19750</v>
      </c>
      <c r="D596" s="205"/>
      <c r="E596" s="206">
        <v>0</v>
      </c>
      <c r="F596" s="218">
        <f t="shared" si="9"/>
        <v>19750</v>
      </c>
      <c r="H596" t="e">
        <f ca="1">_xlfn.XLOOKUP(A596,Hoja1!A:A,Hoja1!G:G,0,0)</f>
        <v>#NAME?</v>
      </c>
    </row>
    <row r="597" spans="1:8" x14ac:dyDescent="0.25">
      <c r="A597" s="64" t="s">
        <v>554</v>
      </c>
      <c r="B597" s="64" t="s">
        <v>1889</v>
      </c>
      <c r="C597" s="220">
        <v>23156</v>
      </c>
      <c r="D597" s="205"/>
      <c r="E597" s="206">
        <v>0</v>
      </c>
      <c r="F597" s="218">
        <f t="shared" si="9"/>
        <v>23156</v>
      </c>
      <c r="H597" t="e">
        <f ca="1">_xlfn.XLOOKUP(A597,Hoja1!A:A,Hoja1!G:G,0,0)</f>
        <v>#NAME?</v>
      </c>
    </row>
    <row r="598" spans="1:8" x14ac:dyDescent="0.25">
      <c r="A598" s="64" t="s">
        <v>560</v>
      </c>
      <c r="B598" s="64" t="s">
        <v>1890</v>
      </c>
      <c r="C598" s="220">
        <v>12894</v>
      </c>
      <c r="D598" s="205"/>
      <c r="E598" s="206">
        <v>0</v>
      </c>
      <c r="F598" s="218">
        <f t="shared" si="9"/>
        <v>12894</v>
      </c>
      <c r="H598" t="e">
        <f ca="1">_xlfn.XLOOKUP(A598,Hoja1!A:A,Hoja1!G:G,0,0)</f>
        <v>#NAME?</v>
      </c>
    </row>
    <row r="599" spans="1:8" x14ac:dyDescent="0.25">
      <c r="A599" s="64" t="s">
        <v>553</v>
      </c>
      <c r="B599" s="64" t="s">
        <v>1891</v>
      </c>
      <c r="C599" s="220">
        <v>17456</v>
      </c>
      <c r="D599" s="205"/>
      <c r="E599" s="206">
        <v>0</v>
      </c>
      <c r="F599" s="218">
        <f t="shared" si="9"/>
        <v>17456</v>
      </c>
      <c r="H599" t="e">
        <f ca="1">_xlfn.XLOOKUP(A599,Hoja1!A:A,Hoja1!G:G,0,0)</f>
        <v>#NAME?</v>
      </c>
    </row>
    <row r="600" spans="1:8" x14ac:dyDescent="0.25">
      <c r="A600" s="64" t="s">
        <v>562</v>
      </c>
      <c r="B600" s="64" t="s">
        <v>1892</v>
      </c>
      <c r="C600" s="220">
        <v>6874</v>
      </c>
      <c r="D600" s="205"/>
      <c r="E600" s="206">
        <v>0</v>
      </c>
      <c r="F600" s="218">
        <f t="shared" si="9"/>
        <v>6874</v>
      </c>
      <c r="H600" t="e">
        <f ca="1">_xlfn.XLOOKUP(A600,Hoja1!A:A,Hoja1!G:G,0,0)</f>
        <v>#NAME?</v>
      </c>
    </row>
    <row r="601" spans="1:8" x14ac:dyDescent="0.25">
      <c r="A601" s="64" t="s">
        <v>552</v>
      </c>
      <c r="B601" s="64" t="s">
        <v>1893</v>
      </c>
      <c r="C601" s="220">
        <v>24873</v>
      </c>
      <c r="D601" s="205"/>
      <c r="E601" s="206">
        <v>0</v>
      </c>
      <c r="F601" s="218">
        <f t="shared" si="9"/>
        <v>24873</v>
      </c>
      <c r="H601" t="e">
        <f ca="1">_xlfn.XLOOKUP(A601,Hoja1!A:A,Hoja1!G:G,0,0)</f>
        <v>#NAME?</v>
      </c>
    </row>
    <row r="602" spans="1:8" x14ac:dyDescent="0.25">
      <c r="A602" s="64" t="s">
        <v>551</v>
      </c>
      <c r="B602" s="64" t="s">
        <v>1894</v>
      </c>
      <c r="C602" s="220">
        <v>19243</v>
      </c>
      <c r="D602" s="205"/>
      <c r="E602" s="206">
        <v>0</v>
      </c>
      <c r="F602" s="218">
        <f t="shared" si="9"/>
        <v>19243</v>
      </c>
      <c r="H602" t="e">
        <f ca="1">_xlfn.XLOOKUP(A602,Hoja1!A:A,Hoja1!G:G,0,0)</f>
        <v>#NAME?</v>
      </c>
    </row>
    <row r="603" spans="1:8" x14ac:dyDescent="0.25">
      <c r="A603" s="64" t="s">
        <v>550</v>
      </c>
      <c r="B603" s="64" t="s">
        <v>1895</v>
      </c>
      <c r="C603" s="220">
        <v>16511</v>
      </c>
      <c r="D603" s="205"/>
      <c r="E603" s="206">
        <v>0</v>
      </c>
      <c r="F603" s="218">
        <f t="shared" si="9"/>
        <v>16511</v>
      </c>
      <c r="H603" t="e">
        <f ca="1">_xlfn.XLOOKUP(A603,Hoja1!A:A,Hoja1!G:G,0,0)</f>
        <v>#NAME?</v>
      </c>
    </row>
    <row r="604" spans="1:8" x14ac:dyDescent="0.25">
      <c r="A604" s="212" t="s">
        <v>549</v>
      </c>
      <c r="B604" s="64" t="s">
        <v>1896</v>
      </c>
      <c r="C604" s="220">
        <v>13812</v>
      </c>
      <c r="D604" s="205"/>
      <c r="E604" s="213">
        <v>-0.19999999999999996</v>
      </c>
      <c r="F604" s="218">
        <f t="shared" si="9"/>
        <v>13812</v>
      </c>
      <c r="H604" t="e">
        <f ca="1">_xlfn.XLOOKUP(A604,Hoja1!A:A,Hoja1!G:G,0,0)</f>
        <v>#NAME?</v>
      </c>
    </row>
    <row r="605" spans="1:8" x14ac:dyDescent="0.25">
      <c r="A605" s="64" t="s">
        <v>561</v>
      </c>
      <c r="B605" s="64" t="s">
        <v>1897</v>
      </c>
      <c r="C605" s="220">
        <v>12143</v>
      </c>
      <c r="D605" s="205"/>
      <c r="E605" s="206">
        <v>0</v>
      </c>
      <c r="F605" s="218">
        <f t="shared" si="9"/>
        <v>12143</v>
      </c>
      <c r="H605" t="e">
        <f ca="1">_xlfn.XLOOKUP(A605,Hoja1!A:A,Hoja1!G:G,0,0)</f>
        <v>#NAME?</v>
      </c>
    </row>
    <row r="606" spans="1:8" x14ac:dyDescent="0.25">
      <c r="A606" s="64" t="s">
        <v>664</v>
      </c>
      <c r="B606" s="64" t="s">
        <v>1898</v>
      </c>
      <c r="C606" s="220">
        <v>72335</v>
      </c>
      <c r="D606" s="205"/>
      <c r="E606" s="206">
        <v>0</v>
      </c>
      <c r="F606" s="218">
        <f t="shared" si="9"/>
        <v>72335</v>
      </c>
      <c r="H606" t="e">
        <f ca="1">_xlfn.XLOOKUP(A606,Hoja1!A:A,Hoja1!G:G,0,0)</f>
        <v>#NAME?</v>
      </c>
    </row>
    <row r="607" spans="1:8" x14ac:dyDescent="0.25">
      <c r="A607" s="64" t="s">
        <v>665</v>
      </c>
      <c r="B607" s="64" t="s">
        <v>1899</v>
      </c>
      <c r="C607" s="220">
        <v>94342</v>
      </c>
      <c r="D607" s="205"/>
      <c r="E607" s="206">
        <v>0</v>
      </c>
      <c r="F607" s="218">
        <f t="shared" si="9"/>
        <v>94342</v>
      </c>
      <c r="H607" t="e">
        <f ca="1">_xlfn.XLOOKUP(A607,Hoja1!A:A,Hoja1!G:G,0,0)</f>
        <v>#NAME?</v>
      </c>
    </row>
    <row r="608" spans="1:8" x14ac:dyDescent="0.25">
      <c r="A608" s="64" t="s">
        <v>666</v>
      </c>
      <c r="B608" s="64" t="s">
        <v>1900</v>
      </c>
      <c r="C608" s="220">
        <v>58920</v>
      </c>
      <c r="D608" s="205"/>
      <c r="E608" s="206">
        <v>0</v>
      </c>
      <c r="F608" s="218">
        <f t="shared" si="9"/>
        <v>58920</v>
      </c>
      <c r="H608" t="e">
        <f ca="1">_xlfn.XLOOKUP(A608,Hoja1!A:A,Hoja1!G:G,0,0)</f>
        <v>#NAME?</v>
      </c>
    </row>
    <row r="609" spans="1:8" x14ac:dyDescent="0.25">
      <c r="A609" s="64" t="s">
        <v>667</v>
      </c>
      <c r="B609" s="64" t="s">
        <v>1901</v>
      </c>
      <c r="C609" s="220">
        <v>58109</v>
      </c>
      <c r="D609" s="205"/>
      <c r="E609" s="206">
        <v>0</v>
      </c>
      <c r="F609" s="218">
        <f t="shared" si="9"/>
        <v>58109</v>
      </c>
      <c r="H609" t="e">
        <f ca="1">_xlfn.XLOOKUP(A609,Hoja1!A:A,Hoja1!G:G,0,0)</f>
        <v>#NAME?</v>
      </c>
    </row>
    <row r="610" spans="1:8" x14ac:dyDescent="0.25">
      <c r="A610" s="64" t="s">
        <v>548</v>
      </c>
      <c r="B610" s="64" t="s">
        <v>1902</v>
      </c>
      <c r="C610" s="220">
        <v>21045</v>
      </c>
      <c r="D610" s="205"/>
      <c r="E610" s="206">
        <v>0</v>
      </c>
      <c r="F610" s="218">
        <f t="shared" si="9"/>
        <v>21045</v>
      </c>
      <c r="H610" t="e">
        <f ca="1">_xlfn.XLOOKUP(A610,Hoja1!A:A,Hoja1!G:G,0,0)</f>
        <v>#NAME?</v>
      </c>
    </row>
    <row r="611" spans="1:8" x14ac:dyDescent="0.25">
      <c r="A611" s="64" t="s">
        <v>547</v>
      </c>
      <c r="B611" s="64" t="s">
        <v>1903</v>
      </c>
      <c r="C611" s="220">
        <v>28412</v>
      </c>
      <c r="D611" s="205"/>
      <c r="E611" s="206">
        <v>0</v>
      </c>
      <c r="F611" s="218">
        <f t="shared" si="9"/>
        <v>28412</v>
      </c>
      <c r="H611" t="e">
        <f ca="1">_xlfn.XLOOKUP(A611,Hoja1!A:A,Hoja1!G:G,0,0)</f>
        <v>#NAME?</v>
      </c>
    </row>
    <row r="612" spans="1:8" x14ac:dyDescent="0.25">
      <c r="A612" s="64" t="s">
        <v>546</v>
      </c>
      <c r="B612" s="64" t="s">
        <v>1904</v>
      </c>
      <c r="C612" s="220">
        <v>29176</v>
      </c>
      <c r="D612" s="205"/>
      <c r="E612" s="206">
        <v>0</v>
      </c>
      <c r="F612" s="218">
        <f t="shared" si="9"/>
        <v>29176</v>
      </c>
      <c r="H612" t="e">
        <f ca="1">_xlfn.XLOOKUP(A612,Hoja1!A:A,Hoja1!G:G,0,0)</f>
        <v>#NAME?</v>
      </c>
    </row>
    <row r="613" spans="1:8" x14ac:dyDescent="0.25">
      <c r="A613" s="64" t="s">
        <v>545</v>
      </c>
      <c r="B613" s="64" t="s">
        <v>1905</v>
      </c>
      <c r="C613" s="220">
        <v>51206</v>
      </c>
      <c r="D613" s="205"/>
      <c r="E613" s="206">
        <v>0.30000000000000004</v>
      </c>
      <c r="F613" s="218">
        <f t="shared" si="9"/>
        <v>51206</v>
      </c>
      <c r="H613" t="e">
        <f ca="1">_xlfn.XLOOKUP(A613,Hoja1!A:A,Hoja1!G:G,0,0)</f>
        <v>#NAME?</v>
      </c>
    </row>
    <row r="614" spans="1:8" x14ac:dyDescent="0.25">
      <c r="A614" s="64" t="s">
        <v>544</v>
      </c>
      <c r="B614" s="64" t="s">
        <v>1906</v>
      </c>
      <c r="C614" s="220">
        <v>38562</v>
      </c>
      <c r="D614" s="205"/>
      <c r="E614" s="206">
        <v>0</v>
      </c>
      <c r="F614" s="218">
        <f t="shared" si="9"/>
        <v>38562</v>
      </c>
      <c r="H614" t="e">
        <f ca="1">_xlfn.XLOOKUP(A614,Hoja1!A:A,Hoja1!G:G,0,0)</f>
        <v>#NAME?</v>
      </c>
    </row>
    <row r="615" spans="1:8" x14ac:dyDescent="0.25">
      <c r="A615" s="64" t="s">
        <v>543</v>
      </c>
      <c r="B615" s="64" t="s">
        <v>1907</v>
      </c>
      <c r="C615" s="220">
        <v>39232</v>
      </c>
      <c r="D615" s="205"/>
      <c r="E615" s="206">
        <v>0.30000000000000004</v>
      </c>
      <c r="F615" s="218">
        <f t="shared" si="9"/>
        <v>39232</v>
      </c>
      <c r="H615" t="e">
        <f ca="1">_xlfn.XLOOKUP(A615,Hoja1!A:A,Hoja1!G:G,0,0)</f>
        <v>#NAME?</v>
      </c>
    </row>
    <row r="616" spans="1:8" x14ac:dyDescent="0.25">
      <c r="A616" s="64" t="s">
        <v>542</v>
      </c>
      <c r="B616" s="64" t="s">
        <v>1908</v>
      </c>
      <c r="C616" s="220">
        <v>12549</v>
      </c>
      <c r="D616" s="205"/>
      <c r="E616" s="206">
        <v>0.30000000000000004</v>
      </c>
      <c r="F616" s="218">
        <f t="shared" si="9"/>
        <v>12549</v>
      </c>
      <c r="H616" t="e">
        <f ca="1">_xlfn.XLOOKUP(A616,Hoja1!A:A,Hoja1!G:G,0,0)</f>
        <v>#NAME?</v>
      </c>
    </row>
    <row r="617" spans="1:8" x14ac:dyDescent="0.25">
      <c r="A617" s="64" t="s">
        <v>556</v>
      </c>
      <c r="B617" s="64" t="s">
        <v>1909</v>
      </c>
      <c r="C617" s="220">
        <v>10180</v>
      </c>
      <c r="D617" s="205"/>
      <c r="E617" s="206">
        <v>0.30000000000000004</v>
      </c>
      <c r="F617" s="218">
        <f t="shared" si="9"/>
        <v>10180</v>
      </c>
      <c r="H617" t="e">
        <f ca="1">_xlfn.XLOOKUP(A617,Hoja1!A:A,Hoja1!G:G,0,0)</f>
        <v>#NAME?</v>
      </c>
    </row>
    <row r="618" spans="1:8" x14ac:dyDescent="0.25">
      <c r="A618" s="64" t="s">
        <v>557</v>
      </c>
      <c r="B618" s="64" t="s">
        <v>1910</v>
      </c>
      <c r="C618" s="220">
        <v>13524</v>
      </c>
      <c r="D618" s="205"/>
      <c r="E618" s="206">
        <v>0.30000000000000004</v>
      </c>
      <c r="F618" s="218">
        <f t="shared" si="9"/>
        <v>13524</v>
      </c>
      <c r="H618" t="e">
        <f ca="1">_xlfn.XLOOKUP(A618,Hoja1!A:A,Hoja1!G:G,0,0)</f>
        <v>#NAME?</v>
      </c>
    </row>
    <row r="619" spans="1:8" x14ac:dyDescent="0.25">
      <c r="A619" s="64" t="s">
        <v>558</v>
      </c>
      <c r="B619" s="64" t="s">
        <v>1911</v>
      </c>
      <c r="C619" s="220">
        <v>15264</v>
      </c>
      <c r="D619" s="205"/>
      <c r="E619" s="206">
        <v>0.30000000000000004</v>
      </c>
      <c r="F619" s="218">
        <f t="shared" si="9"/>
        <v>15264</v>
      </c>
      <c r="H619" t="e">
        <f ca="1">_xlfn.XLOOKUP(A619,Hoja1!A:A,Hoja1!G:G,0,0)</f>
        <v>#NAME?</v>
      </c>
    </row>
    <row r="620" spans="1:8" x14ac:dyDescent="0.25">
      <c r="A620" s="64" t="s">
        <v>559</v>
      </c>
      <c r="B620" s="64" t="s">
        <v>1912</v>
      </c>
      <c r="C620" s="220">
        <v>21252</v>
      </c>
      <c r="D620" s="205"/>
      <c r="E620" s="206">
        <v>0.30000000000000004</v>
      </c>
      <c r="F620" s="218">
        <f t="shared" si="9"/>
        <v>21252</v>
      </c>
      <c r="H620" t="e">
        <f ca="1">_xlfn.XLOOKUP(A620,Hoja1!A:A,Hoja1!G:G,0,0)</f>
        <v>#NAME?</v>
      </c>
    </row>
    <row r="621" spans="1:8" x14ac:dyDescent="0.25">
      <c r="A621" s="64" t="s">
        <v>674</v>
      </c>
      <c r="B621" s="64" t="s">
        <v>690</v>
      </c>
      <c r="C621" s="220">
        <v>73505</v>
      </c>
      <c r="D621" s="205"/>
      <c r="E621" s="206">
        <v>0.30000000000000004</v>
      </c>
      <c r="F621" s="218">
        <f t="shared" si="9"/>
        <v>73505</v>
      </c>
      <c r="H621" t="e">
        <f ca="1">_xlfn.XLOOKUP(A621,Hoja1!A:A,Hoja1!G:G,0,0)</f>
        <v>#NAME?</v>
      </c>
    </row>
    <row r="622" spans="1:8" x14ac:dyDescent="0.25">
      <c r="A622" s="64" t="s">
        <v>675</v>
      </c>
      <c r="B622" s="64" t="s">
        <v>691</v>
      </c>
      <c r="C622" s="220">
        <v>49942</v>
      </c>
      <c r="D622" s="205"/>
      <c r="E622" s="206">
        <v>0.30000000000000004</v>
      </c>
      <c r="F622" s="218">
        <f t="shared" si="9"/>
        <v>49942</v>
      </c>
      <c r="H622" t="e">
        <f ca="1">_xlfn.XLOOKUP(A622,Hoja1!A:A,Hoja1!G:G,0,0)</f>
        <v>#NAME?</v>
      </c>
    </row>
    <row r="623" spans="1:8" x14ac:dyDescent="0.25">
      <c r="A623" s="64" t="s">
        <v>676</v>
      </c>
      <c r="B623" s="64" t="s">
        <v>692</v>
      </c>
      <c r="C623" s="220">
        <v>36910</v>
      </c>
      <c r="D623" s="205"/>
      <c r="E623" s="206">
        <v>0.30000000000000004</v>
      </c>
      <c r="F623" s="218">
        <f t="shared" si="9"/>
        <v>36910</v>
      </c>
      <c r="H623" t="e">
        <f ca="1">_xlfn.XLOOKUP(A623,Hoja1!A:A,Hoja1!G:G,0,0)</f>
        <v>#NAME?</v>
      </c>
    </row>
    <row r="624" spans="1:8" x14ac:dyDescent="0.25">
      <c r="A624" s="64" t="s">
        <v>677</v>
      </c>
      <c r="B624" s="64" t="s">
        <v>693</v>
      </c>
      <c r="C624" s="220">
        <v>62519</v>
      </c>
      <c r="D624" s="205"/>
      <c r="E624" s="206">
        <v>0.30000000000000004</v>
      </c>
      <c r="F624" s="218">
        <f t="shared" si="9"/>
        <v>62519</v>
      </c>
      <c r="H624" t="e">
        <f ca="1">_xlfn.XLOOKUP(A624,Hoja1!A:A,Hoja1!G:G,0,0)</f>
        <v>#NAME?</v>
      </c>
    </row>
    <row r="625" spans="1:8" x14ac:dyDescent="0.25">
      <c r="A625" s="64" t="s">
        <v>678</v>
      </c>
      <c r="B625" s="64" t="s">
        <v>1913</v>
      </c>
      <c r="C625" s="220">
        <v>32547</v>
      </c>
      <c r="D625" s="205"/>
      <c r="E625" s="206">
        <v>0.30000000000000004</v>
      </c>
      <c r="F625" s="218">
        <f t="shared" si="9"/>
        <v>32547</v>
      </c>
      <c r="H625" t="e">
        <f ca="1">_xlfn.XLOOKUP(A625,Hoja1!A:A,Hoja1!G:G,0,0)</f>
        <v>#NAME?</v>
      </c>
    </row>
    <row r="626" spans="1:8" x14ac:dyDescent="0.25">
      <c r="A626" s="64" t="s">
        <v>679</v>
      </c>
      <c r="B626" s="64" t="s">
        <v>694</v>
      </c>
      <c r="C626" s="220">
        <v>39437</v>
      </c>
      <c r="D626" s="205"/>
      <c r="E626" s="206">
        <v>0.60000000000000009</v>
      </c>
      <c r="F626" s="218">
        <f t="shared" si="9"/>
        <v>39437</v>
      </c>
      <c r="H626" t="e">
        <f ca="1">_xlfn.XLOOKUP(A626,Hoja1!A:A,Hoja1!G:G,0,0)</f>
        <v>#NAME?</v>
      </c>
    </row>
    <row r="627" spans="1:8" x14ac:dyDescent="0.25">
      <c r="A627" s="64" t="s">
        <v>680</v>
      </c>
      <c r="B627" s="64" t="s">
        <v>695</v>
      </c>
      <c r="C627" s="220">
        <v>70061</v>
      </c>
      <c r="D627" s="205"/>
      <c r="E627" s="206">
        <v>0.30000000000000004</v>
      </c>
      <c r="F627" s="218">
        <f t="shared" si="9"/>
        <v>70061</v>
      </c>
      <c r="H627" t="e">
        <f ca="1">_xlfn.XLOOKUP(A627,Hoja1!A:A,Hoja1!G:G,0,0)</f>
        <v>#NAME?</v>
      </c>
    </row>
    <row r="628" spans="1:8" x14ac:dyDescent="0.25">
      <c r="A628" s="64" t="s">
        <v>681</v>
      </c>
      <c r="B628" s="64" t="s">
        <v>696</v>
      </c>
      <c r="C628" s="220">
        <v>56910</v>
      </c>
      <c r="D628" s="205"/>
      <c r="E628" s="206">
        <v>0.30000000000000004</v>
      </c>
      <c r="F628" s="218">
        <f t="shared" si="9"/>
        <v>56910</v>
      </c>
      <c r="H628" t="e">
        <f ca="1">_xlfn.XLOOKUP(A628,Hoja1!A:A,Hoja1!G:G,0,0)</f>
        <v>#NAME?</v>
      </c>
    </row>
    <row r="629" spans="1:8" x14ac:dyDescent="0.25">
      <c r="A629" s="64" t="s">
        <v>1916</v>
      </c>
      <c r="B629" s="64" t="s">
        <v>1917</v>
      </c>
      <c r="C629" s="220">
        <v>144381</v>
      </c>
      <c r="D629" s="205"/>
      <c r="E629" s="206"/>
      <c r="F629" s="218">
        <f t="shared" si="9"/>
        <v>144381</v>
      </c>
      <c r="H629" s="222" t="e">
        <f ca="1">_xlfn.XLOOKUP(A629,Hoja1!A:A,Hoja1!G:G,0,0)</f>
        <v>#NAME?</v>
      </c>
    </row>
    <row r="630" spans="1:8" x14ac:dyDescent="0.25">
      <c r="A630" s="64" t="s">
        <v>1918</v>
      </c>
      <c r="B630" s="64" t="s">
        <v>1919</v>
      </c>
      <c r="C630" s="220">
        <v>108359</v>
      </c>
      <c r="D630" s="205"/>
      <c r="E630" s="206"/>
      <c r="F630" s="218">
        <f t="shared" si="9"/>
        <v>108359</v>
      </c>
      <c r="H630" s="222" t="e">
        <f ca="1">_xlfn.XLOOKUP(A630,Hoja1!A:A,Hoja1!G:G,0,0)</f>
        <v>#NAME?</v>
      </c>
    </row>
    <row r="631" spans="1:8" x14ac:dyDescent="0.25">
      <c r="A631" s="64" t="s">
        <v>1920</v>
      </c>
      <c r="B631" s="64" t="s">
        <v>1921</v>
      </c>
      <c r="C631" s="220">
        <v>106211</v>
      </c>
      <c r="D631" s="205"/>
      <c r="E631" s="206"/>
      <c r="F631" s="218">
        <f t="shared" si="9"/>
        <v>106211</v>
      </c>
      <c r="H631" s="222" t="e">
        <f ca="1">_xlfn.XLOOKUP(A631,Hoja1!A:A,Hoja1!G:G,0,0)</f>
        <v>#NAME?</v>
      </c>
    </row>
    <row r="632" spans="1:8" x14ac:dyDescent="0.25">
      <c r="A632" s="64" t="s">
        <v>1922</v>
      </c>
      <c r="B632" s="64" t="s">
        <v>1923</v>
      </c>
      <c r="C632" s="220">
        <v>68741</v>
      </c>
      <c r="D632" s="205"/>
      <c r="E632" s="206"/>
      <c r="F632" s="218">
        <f t="shared" si="9"/>
        <v>68741</v>
      </c>
      <c r="H632" s="222" t="e">
        <f ca="1">_xlfn.XLOOKUP(A632,Hoja1!A:A,Hoja1!G:G,0,0)</f>
        <v>#NAME?</v>
      </c>
    </row>
    <row r="633" spans="1:8" x14ac:dyDescent="0.25">
      <c r="A633" s="64" t="s">
        <v>1926</v>
      </c>
      <c r="B633" s="64" t="s">
        <v>1927</v>
      </c>
      <c r="C633" s="220">
        <v>98898</v>
      </c>
      <c r="D633" s="205"/>
      <c r="E633" s="206"/>
      <c r="F633" s="218">
        <f t="shared" si="9"/>
        <v>98898</v>
      </c>
      <c r="H633" s="222" t="e">
        <f ca="1">_xlfn.XLOOKUP(A633,Hoja1!A:A,Hoja1!G:G,0,0)</f>
        <v>#NAME?</v>
      </c>
    </row>
    <row r="634" spans="1:8" x14ac:dyDescent="0.25">
      <c r="A634" s="64" t="s">
        <v>1928</v>
      </c>
      <c r="B634" s="64" t="s">
        <v>1929</v>
      </c>
      <c r="C634" s="220">
        <v>50619</v>
      </c>
      <c r="D634" s="205"/>
      <c r="E634" s="206">
        <v>0.30000000000000004</v>
      </c>
      <c r="F634" s="218">
        <f t="shared" si="9"/>
        <v>50619</v>
      </c>
      <c r="H634" t="e">
        <f ca="1">_xlfn.XLOOKUP(A634,Hoja1!A:A,Hoja1!G:G,0,0)</f>
        <v>#NAME?</v>
      </c>
    </row>
    <row r="635" spans="1:8" x14ac:dyDescent="0.25">
      <c r="A635" s="64" t="s">
        <v>508</v>
      </c>
      <c r="B635" s="64" t="s">
        <v>1930</v>
      </c>
      <c r="C635" s="220">
        <v>170028</v>
      </c>
      <c r="D635" s="205"/>
      <c r="E635" s="206">
        <v>0.30000000000000004</v>
      </c>
      <c r="F635" s="218">
        <f t="shared" si="9"/>
        <v>170028</v>
      </c>
      <c r="H635" t="e">
        <f ca="1">_xlfn.XLOOKUP(A635,Hoja1!A:A,Hoja1!G:G,0,0)</f>
        <v>#NAME?</v>
      </c>
    </row>
    <row r="636" spans="1:8" x14ac:dyDescent="0.25">
      <c r="A636" s="64" t="s">
        <v>509</v>
      </c>
      <c r="B636" s="64" t="s">
        <v>1931</v>
      </c>
      <c r="C636" s="220">
        <v>24800</v>
      </c>
      <c r="D636" s="205"/>
      <c r="E636" s="206">
        <v>0</v>
      </c>
      <c r="F636" s="218">
        <f t="shared" si="9"/>
        <v>24800</v>
      </c>
      <c r="H636" t="e">
        <f ca="1">_xlfn.XLOOKUP(A636,Hoja1!A:A,Hoja1!G:G,0,0)</f>
        <v>#NAME?</v>
      </c>
    </row>
    <row r="637" spans="1:8" x14ac:dyDescent="0.25">
      <c r="A637" s="64" t="s">
        <v>510</v>
      </c>
      <c r="B637" s="64" t="s">
        <v>1932</v>
      </c>
      <c r="C637" s="220">
        <v>40389</v>
      </c>
      <c r="D637" s="205"/>
      <c r="E637" s="206">
        <v>0</v>
      </c>
      <c r="F637" s="218">
        <f t="shared" si="9"/>
        <v>40389</v>
      </c>
      <c r="H637" t="e">
        <f ca="1">_xlfn.XLOOKUP(A637,Hoja1!A:A,Hoja1!G:G,0,0)</f>
        <v>#NAME?</v>
      </c>
    </row>
    <row r="638" spans="1:8" x14ac:dyDescent="0.25">
      <c r="A638" s="64" t="s">
        <v>511</v>
      </c>
      <c r="B638" s="64" t="s">
        <v>1933</v>
      </c>
      <c r="C638" s="220">
        <v>35293</v>
      </c>
      <c r="D638" s="205"/>
      <c r="E638" s="206">
        <v>0</v>
      </c>
      <c r="F638" s="218">
        <f t="shared" si="9"/>
        <v>35293</v>
      </c>
      <c r="H638" t="e">
        <f ca="1">_xlfn.XLOOKUP(A638,Hoja1!A:A,Hoja1!G:G,0,0)</f>
        <v>#NAME?</v>
      </c>
    </row>
    <row r="639" spans="1:8" x14ac:dyDescent="0.25">
      <c r="A639" s="64" t="s">
        <v>512</v>
      </c>
      <c r="B639" s="64" t="s">
        <v>1934</v>
      </c>
      <c r="C639" s="220">
        <v>157275</v>
      </c>
      <c r="D639" s="205"/>
      <c r="E639" s="206">
        <v>0</v>
      </c>
      <c r="F639" s="218">
        <f t="shared" si="9"/>
        <v>157275</v>
      </c>
      <c r="H639" t="e">
        <f ca="1">_xlfn.XLOOKUP(A639,Hoja1!A:A,Hoja1!G:G,0,0)</f>
        <v>#NAME?</v>
      </c>
    </row>
    <row r="640" spans="1:8" x14ac:dyDescent="0.25">
      <c r="A640" s="64" t="s">
        <v>513</v>
      </c>
      <c r="B640" s="64" t="s">
        <v>1935</v>
      </c>
      <c r="C640" s="220">
        <v>56637</v>
      </c>
      <c r="D640" s="205"/>
      <c r="E640" s="206">
        <v>0</v>
      </c>
      <c r="F640" s="218">
        <f t="shared" si="9"/>
        <v>56637</v>
      </c>
      <c r="H640" t="e">
        <f ca="1">_xlfn.XLOOKUP(A640,Hoja1!A:A,Hoja1!G:G,0,0)</f>
        <v>#NAME?</v>
      </c>
    </row>
    <row r="641" spans="1:8" x14ac:dyDescent="0.25">
      <c r="A641" s="64" t="s">
        <v>1936</v>
      </c>
      <c r="B641" s="64" t="s">
        <v>1937</v>
      </c>
      <c r="C641" s="220">
        <v>18140</v>
      </c>
      <c r="D641" s="205"/>
      <c r="E641" s="206"/>
      <c r="F641" s="218">
        <f t="shared" si="9"/>
        <v>18140</v>
      </c>
      <c r="H641" s="222" t="e">
        <f ca="1">_xlfn.XLOOKUP(A641,Hoja1!A:A,Hoja1!G:G,0,0)</f>
        <v>#NAME?</v>
      </c>
    </row>
    <row r="642" spans="1:8" x14ac:dyDescent="0.25">
      <c r="A642" s="64" t="s">
        <v>1938</v>
      </c>
      <c r="B642" s="64" t="s">
        <v>1939</v>
      </c>
      <c r="C642" s="220">
        <v>768</v>
      </c>
      <c r="D642" s="205"/>
      <c r="E642" s="206">
        <v>0</v>
      </c>
      <c r="F642" s="218">
        <f t="shared" si="9"/>
        <v>768</v>
      </c>
      <c r="H642" t="e">
        <f ca="1">_xlfn.XLOOKUP(A642,Hoja1!A:A,Hoja1!G:G,0,0)</f>
        <v>#NAME?</v>
      </c>
    </row>
    <row r="643" spans="1:8" x14ac:dyDescent="0.25">
      <c r="A643" s="64" t="s">
        <v>1940</v>
      </c>
      <c r="B643" s="64" t="s">
        <v>1941</v>
      </c>
      <c r="C643" s="220">
        <v>2881</v>
      </c>
      <c r="D643" s="205"/>
      <c r="E643" s="206">
        <v>0</v>
      </c>
      <c r="F643" s="218">
        <f t="shared" ref="F643:F694" si="10">ROUND(C643,0)</f>
        <v>2881</v>
      </c>
      <c r="H643" t="e">
        <f ca="1">_xlfn.XLOOKUP(A643,Hoja1!A:A,Hoja1!G:G,0,0)</f>
        <v>#NAME?</v>
      </c>
    </row>
    <row r="644" spans="1:8" x14ac:dyDescent="0.25">
      <c r="A644" s="64" t="s">
        <v>1942</v>
      </c>
      <c r="B644" s="64" t="s">
        <v>1943</v>
      </c>
      <c r="C644" s="220">
        <v>216941</v>
      </c>
      <c r="D644" s="205"/>
      <c r="E644" s="206">
        <v>0</v>
      </c>
      <c r="F644" s="218">
        <f t="shared" si="10"/>
        <v>216941</v>
      </c>
      <c r="H644" t="e">
        <f ca="1">_xlfn.XLOOKUP(A644,Hoja1!A:A,Hoja1!G:G,0,0)</f>
        <v>#NAME?</v>
      </c>
    </row>
    <row r="645" spans="1:8" x14ac:dyDescent="0.25">
      <c r="A645" s="64" t="s">
        <v>1944</v>
      </c>
      <c r="B645" s="64" t="s">
        <v>1945</v>
      </c>
      <c r="C645" s="220">
        <v>1067</v>
      </c>
      <c r="D645" s="205"/>
      <c r="E645" s="206">
        <v>0</v>
      </c>
      <c r="F645" s="218">
        <f t="shared" si="10"/>
        <v>1067</v>
      </c>
      <c r="H645" t="e">
        <f ca="1">_xlfn.XLOOKUP(A645,Hoja1!A:A,Hoja1!G:G,0,0)</f>
        <v>#NAME?</v>
      </c>
    </row>
    <row r="646" spans="1:8" x14ac:dyDescent="0.25">
      <c r="A646" s="64" t="s">
        <v>1946</v>
      </c>
      <c r="B646" s="64" t="s">
        <v>1947</v>
      </c>
      <c r="C646" s="220">
        <v>2017</v>
      </c>
      <c r="D646" s="205"/>
      <c r="E646" s="206">
        <v>0.7</v>
      </c>
      <c r="F646" s="218">
        <f t="shared" si="10"/>
        <v>2017</v>
      </c>
      <c r="H646" t="e">
        <f ca="1">_xlfn.XLOOKUP(A646,Hoja1!A:A,Hoja1!G:G,0,0)</f>
        <v>#NAME?</v>
      </c>
    </row>
    <row r="647" spans="1:8" x14ac:dyDescent="0.25">
      <c r="A647" s="64" t="s">
        <v>1948</v>
      </c>
      <c r="B647" s="64" t="s">
        <v>1949</v>
      </c>
      <c r="C647" s="220">
        <v>5504</v>
      </c>
      <c r="D647" s="205"/>
      <c r="E647" s="206">
        <v>0.35000000000000009</v>
      </c>
      <c r="F647" s="218">
        <f t="shared" si="10"/>
        <v>5504</v>
      </c>
      <c r="H647" t="e">
        <f ca="1">_xlfn.XLOOKUP(A647,Hoja1!A:A,Hoja1!G:G,0,0)</f>
        <v>#NAME?</v>
      </c>
    </row>
    <row r="648" spans="1:8" x14ac:dyDescent="0.25">
      <c r="A648" s="64" t="s">
        <v>1950</v>
      </c>
      <c r="B648" s="64" t="s">
        <v>1951</v>
      </c>
      <c r="C648" s="220">
        <v>9197</v>
      </c>
      <c r="D648" s="205"/>
      <c r="E648" s="206">
        <v>0.35000000000000009</v>
      </c>
      <c r="F648" s="218">
        <f t="shared" si="10"/>
        <v>9197</v>
      </c>
      <c r="H648" t="e">
        <f ca="1">_xlfn.XLOOKUP(A648,Hoja1!A:A,Hoja1!G:G,0,0)</f>
        <v>#NAME?</v>
      </c>
    </row>
    <row r="649" spans="1:8" x14ac:dyDescent="0.25">
      <c r="A649" s="64" t="s">
        <v>1952</v>
      </c>
      <c r="B649" s="64" t="s">
        <v>1953</v>
      </c>
      <c r="C649" s="220">
        <v>59</v>
      </c>
      <c r="D649" s="205"/>
      <c r="E649" s="206">
        <v>0.35000000000000009</v>
      </c>
      <c r="F649" s="218">
        <f t="shared" si="10"/>
        <v>59</v>
      </c>
      <c r="H649" t="e">
        <f ca="1">_xlfn.XLOOKUP(A649,Hoja1!A:A,Hoja1!G:G,0,0)</f>
        <v>#NAME?</v>
      </c>
    </row>
    <row r="650" spans="1:8" x14ac:dyDescent="0.25">
      <c r="A650" s="64" t="s">
        <v>1954</v>
      </c>
      <c r="B650" s="64" t="s">
        <v>1955</v>
      </c>
      <c r="C650" s="220">
        <v>135</v>
      </c>
      <c r="D650" s="205"/>
      <c r="E650" s="206">
        <v>0.35000000000000009</v>
      </c>
      <c r="F650" s="218">
        <f t="shared" si="10"/>
        <v>135</v>
      </c>
      <c r="H650" t="e">
        <f ca="1">_xlfn.XLOOKUP(A650,Hoja1!A:A,Hoja1!G:G,0,0)</f>
        <v>#NAME?</v>
      </c>
    </row>
    <row r="651" spans="1:8" x14ac:dyDescent="0.25">
      <c r="A651" s="64" t="s">
        <v>1956</v>
      </c>
      <c r="B651" s="64" t="s">
        <v>1957</v>
      </c>
      <c r="C651" s="220">
        <v>325</v>
      </c>
      <c r="D651" s="205"/>
      <c r="E651" s="206">
        <v>0.35000000000000009</v>
      </c>
      <c r="F651" s="218">
        <f t="shared" si="10"/>
        <v>325</v>
      </c>
      <c r="H651" t="e">
        <f ca="1">_xlfn.XLOOKUP(A651,Hoja1!A:A,Hoja1!G:G,0,0)</f>
        <v>#NAME?</v>
      </c>
    </row>
    <row r="652" spans="1:8" x14ac:dyDescent="0.25">
      <c r="A652" s="64" t="s">
        <v>1958</v>
      </c>
      <c r="B652" s="64" t="s">
        <v>1959</v>
      </c>
      <c r="C652" s="220">
        <v>6805</v>
      </c>
      <c r="D652" s="205"/>
      <c r="E652" s="206">
        <v>0.35000000000000009</v>
      </c>
      <c r="F652" s="218">
        <f t="shared" si="10"/>
        <v>6805</v>
      </c>
      <c r="H652" t="e">
        <f ca="1">_xlfn.XLOOKUP(A652,Hoja1!A:A,Hoja1!G:G,0,0)</f>
        <v>#NAME?</v>
      </c>
    </row>
    <row r="653" spans="1:8" x14ac:dyDescent="0.25">
      <c r="A653" s="64" t="s">
        <v>1972</v>
      </c>
      <c r="B653" s="64" t="s">
        <v>1973</v>
      </c>
      <c r="C653" s="220">
        <v>32864</v>
      </c>
      <c r="D653" s="205"/>
      <c r="E653" s="206"/>
      <c r="F653" s="218">
        <f t="shared" si="10"/>
        <v>32864</v>
      </c>
      <c r="H653" s="222" t="e">
        <f ca="1">_xlfn.XLOOKUP(A653,Hoja1!A:A,Hoja1!G:G,0,0)</f>
        <v>#NAME?</v>
      </c>
    </row>
    <row r="654" spans="1:8" x14ac:dyDescent="0.25">
      <c r="A654" s="64" t="s">
        <v>1974</v>
      </c>
      <c r="B654" s="64" t="s">
        <v>1975</v>
      </c>
      <c r="C654" s="220">
        <v>35804</v>
      </c>
      <c r="D654" s="205"/>
      <c r="E654" s="206"/>
      <c r="F654" s="218">
        <f t="shared" si="10"/>
        <v>35804</v>
      </c>
      <c r="H654" s="222" t="e">
        <f ca="1">_xlfn.XLOOKUP(A654,Hoja1!A:A,Hoja1!G:G,0,0)</f>
        <v>#NAME?</v>
      </c>
    </row>
    <row r="655" spans="1:8" x14ac:dyDescent="0.25">
      <c r="A655" s="64" t="s">
        <v>1976</v>
      </c>
      <c r="B655" s="64" t="s">
        <v>1977</v>
      </c>
      <c r="C655" s="220">
        <v>23033</v>
      </c>
      <c r="D655" s="205"/>
      <c r="E655" s="206"/>
      <c r="F655" s="218">
        <f t="shared" si="10"/>
        <v>23033</v>
      </c>
      <c r="H655" s="222" t="e">
        <f ca="1">_xlfn.XLOOKUP(A655,Hoja1!A:A,Hoja1!G:G,0,0)</f>
        <v>#NAME?</v>
      </c>
    </row>
    <row r="656" spans="1:8" x14ac:dyDescent="0.25">
      <c r="A656" s="64" t="s">
        <v>1978</v>
      </c>
      <c r="B656" s="64" t="s">
        <v>1979</v>
      </c>
      <c r="C656" s="220">
        <v>18350</v>
      </c>
      <c r="D656" s="205"/>
      <c r="E656" s="206"/>
      <c r="F656" s="218">
        <f t="shared" si="10"/>
        <v>18350</v>
      </c>
      <c r="H656" s="222" t="e">
        <f ca="1">_xlfn.XLOOKUP(A656,Hoja1!A:A,Hoja1!G:G,0,0)</f>
        <v>#NAME?</v>
      </c>
    </row>
    <row r="657" spans="1:8" x14ac:dyDescent="0.25">
      <c r="A657" s="64" t="s">
        <v>182</v>
      </c>
      <c r="B657" s="64" t="s">
        <v>2576</v>
      </c>
      <c r="C657" s="220">
        <v>125496</v>
      </c>
      <c r="D657" s="205"/>
      <c r="E657" s="206">
        <v>0.35000000000000009</v>
      </c>
      <c r="F657" s="218">
        <f t="shared" si="10"/>
        <v>125496</v>
      </c>
      <c r="H657" t="e">
        <f ca="1">_xlfn.XLOOKUP(A657,Hoja1!A:A,Hoja1!G:G,0,0)</f>
        <v>#NAME?</v>
      </c>
    </row>
    <row r="658" spans="1:8" x14ac:dyDescent="0.25">
      <c r="A658" s="64" t="s">
        <v>183</v>
      </c>
      <c r="B658" s="64" t="s">
        <v>1983</v>
      </c>
      <c r="C658" s="220">
        <v>125185</v>
      </c>
      <c r="D658" s="205"/>
      <c r="E658" s="206">
        <v>0.35000000000000009</v>
      </c>
      <c r="F658" s="218">
        <f t="shared" si="10"/>
        <v>125185</v>
      </c>
      <c r="H658" t="e">
        <f ca="1">_xlfn.XLOOKUP(A658,Hoja1!A:A,Hoja1!G:G,0,0)</f>
        <v>#NAME?</v>
      </c>
    </row>
    <row r="659" spans="1:8" x14ac:dyDescent="0.25">
      <c r="A659" s="64" t="s">
        <v>184</v>
      </c>
      <c r="B659" s="64" t="s">
        <v>1984</v>
      </c>
      <c r="C659" s="220">
        <v>126192</v>
      </c>
      <c r="D659" s="205"/>
      <c r="E659" s="206">
        <v>0.35000000000000009</v>
      </c>
      <c r="F659" s="218">
        <f t="shared" si="10"/>
        <v>126192</v>
      </c>
      <c r="H659" t="e">
        <f ca="1">_xlfn.XLOOKUP(A659,Hoja1!A:A,Hoja1!G:G,0,0)</f>
        <v>#NAME?</v>
      </c>
    </row>
    <row r="660" spans="1:8" x14ac:dyDescent="0.25">
      <c r="A660" s="64" t="s">
        <v>185</v>
      </c>
      <c r="B660" s="64" t="s">
        <v>1985</v>
      </c>
      <c r="C660" s="220">
        <v>126192</v>
      </c>
      <c r="D660" s="205"/>
      <c r="E660" s="206">
        <v>0</v>
      </c>
      <c r="F660" s="218">
        <f t="shared" si="10"/>
        <v>126192</v>
      </c>
      <c r="H660" t="e">
        <f ca="1">_xlfn.XLOOKUP(A660,Hoja1!A:A,Hoja1!G:G,0,0)</f>
        <v>#NAME?</v>
      </c>
    </row>
    <row r="661" spans="1:8" x14ac:dyDescent="0.25">
      <c r="A661" s="64" t="s">
        <v>186</v>
      </c>
      <c r="B661" s="64" t="s">
        <v>1986</v>
      </c>
      <c r="C661" s="220">
        <v>125844</v>
      </c>
      <c r="D661" s="205"/>
      <c r="E661" s="206">
        <v>0</v>
      </c>
      <c r="F661" s="218">
        <f t="shared" si="10"/>
        <v>125844</v>
      </c>
      <c r="H661" t="e">
        <f ca="1">_xlfn.XLOOKUP(A661,Hoja1!A:A,Hoja1!G:G,0,0)</f>
        <v>#NAME?</v>
      </c>
    </row>
    <row r="662" spans="1:8" x14ac:dyDescent="0.25">
      <c r="A662" s="64" t="s">
        <v>187</v>
      </c>
      <c r="B662" s="64" t="s">
        <v>2577</v>
      </c>
      <c r="C662" s="220">
        <v>12994</v>
      </c>
      <c r="D662" s="205"/>
      <c r="E662" s="206">
        <v>0</v>
      </c>
      <c r="F662" s="218">
        <f t="shared" si="10"/>
        <v>12994</v>
      </c>
      <c r="H662" t="e">
        <f ca="1">_xlfn.XLOOKUP(A662,Hoja1!A:A,Hoja1!G:G,0,0)</f>
        <v>#NAME?</v>
      </c>
    </row>
    <row r="663" spans="1:8" x14ac:dyDescent="0.25">
      <c r="A663" s="64" t="s">
        <v>188</v>
      </c>
      <c r="B663" s="64" t="s">
        <v>1988</v>
      </c>
      <c r="C663" s="220">
        <v>64439</v>
      </c>
      <c r="D663" s="205"/>
      <c r="E663" s="206">
        <v>0</v>
      </c>
      <c r="F663" s="218">
        <f t="shared" si="10"/>
        <v>64439</v>
      </c>
      <c r="H663" t="e">
        <f ca="1">_xlfn.XLOOKUP(A663,Hoja1!A:A,Hoja1!G:G,0,0)</f>
        <v>#NAME?</v>
      </c>
    </row>
    <row r="664" spans="1:8" x14ac:dyDescent="0.25">
      <c r="A664" s="64" t="s">
        <v>189</v>
      </c>
      <c r="B664" s="64" t="s">
        <v>1989</v>
      </c>
      <c r="C664" s="220">
        <v>64566</v>
      </c>
      <c r="D664" s="205"/>
      <c r="E664" s="206">
        <v>0</v>
      </c>
      <c r="F664" s="218">
        <f t="shared" si="10"/>
        <v>64566</v>
      </c>
      <c r="H664" t="e">
        <f ca="1">_xlfn.XLOOKUP(A664,Hoja1!A:A,Hoja1!G:G,0,0)</f>
        <v>#NAME?</v>
      </c>
    </row>
    <row r="665" spans="1:8" x14ac:dyDescent="0.25">
      <c r="A665" s="64" t="s">
        <v>190</v>
      </c>
      <c r="B665" s="64" t="s">
        <v>1990</v>
      </c>
      <c r="C665" s="220">
        <v>64276</v>
      </c>
      <c r="D665" s="205"/>
      <c r="E665" s="206">
        <v>0</v>
      </c>
      <c r="F665" s="218">
        <f t="shared" si="10"/>
        <v>64276</v>
      </c>
      <c r="H665" t="e">
        <f ca="1">_xlfn.XLOOKUP(A665,Hoja1!A:A,Hoja1!G:G,0,0)</f>
        <v>#NAME?</v>
      </c>
    </row>
    <row r="666" spans="1:8" x14ac:dyDescent="0.25">
      <c r="A666" s="64" t="s">
        <v>2578</v>
      </c>
      <c r="B666" s="64" t="s">
        <v>2579</v>
      </c>
      <c r="C666" s="220">
        <v>61888</v>
      </c>
      <c r="D666" s="205"/>
      <c r="E666" s="206"/>
      <c r="F666" s="218">
        <f t="shared" si="10"/>
        <v>61888</v>
      </c>
      <c r="H666" s="222" t="e">
        <f ca="1">_xlfn.XLOOKUP(A666,Hoja1!A:A,Hoja1!G:G,0,0)</f>
        <v>#NAME?</v>
      </c>
    </row>
    <row r="667" spans="1:8" x14ac:dyDescent="0.25">
      <c r="A667" s="64" t="s">
        <v>2580</v>
      </c>
      <c r="B667" s="64" t="s">
        <v>2581</v>
      </c>
      <c r="C667" s="220">
        <v>73025</v>
      </c>
      <c r="D667" s="205"/>
      <c r="E667" s="206"/>
      <c r="F667" s="218">
        <f t="shared" si="10"/>
        <v>73025</v>
      </c>
      <c r="H667" s="222" t="e">
        <f ca="1">_xlfn.XLOOKUP(A667,Hoja1!A:A,Hoja1!G:G,0,0)</f>
        <v>#NAME?</v>
      </c>
    </row>
    <row r="668" spans="1:8" x14ac:dyDescent="0.25">
      <c r="A668" s="64" t="s">
        <v>2582</v>
      </c>
      <c r="B668" s="64" t="s">
        <v>2583</v>
      </c>
      <c r="C668" s="220">
        <v>69155</v>
      </c>
      <c r="D668" s="205"/>
      <c r="E668" s="206"/>
      <c r="F668" s="218">
        <f t="shared" si="10"/>
        <v>69155</v>
      </c>
      <c r="H668" s="222" t="e">
        <f ca="1">_xlfn.XLOOKUP(A668,Hoja1!A:A,Hoja1!G:G,0,0)</f>
        <v>#NAME?</v>
      </c>
    </row>
    <row r="669" spans="1:8" x14ac:dyDescent="0.25">
      <c r="A669" s="64" t="s">
        <v>2584</v>
      </c>
      <c r="B669" s="64" t="s">
        <v>2585</v>
      </c>
      <c r="C669" s="220">
        <v>107175</v>
      </c>
      <c r="D669" s="205"/>
      <c r="E669" s="206"/>
      <c r="F669" s="218">
        <f t="shared" si="10"/>
        <v>107175</v>
      </c>
      <c r="H669" s="222" t="e">
        <f ca="1">_xlfn.XLOOKUP(A669,Hoja1!A:A,Hoja1!G:G,0,0)</f>
        <v>#NAME?</v>
      </c>
    </row>
    <row r="670" spans="1:8" x14ac:dyDescent="0.25">
      <c r="A670" s="64" t="s">
        <v>2586</v>
      </c>
      <c r="B670" s="64" t="s">
        <v>2587</v>
      </c>
      <c r="C670" s="220">
        <v>107175</v>
      </c>
      <c r="D670" s="205"/>
      <c r="E670" s="206"/>
      <c r="F670" s="218">
        <f t="shared" si="10"/>
        <v>107175</v>
      </c>
      <c r="H670" s="222" t="e">
        <f ca="1">_xlfn.XLOOKUP(A670,Hoja1!A:A,Hoja1!G:G,0,0)</f>
        <v>#NAME?</v>
      </c>
    </row>
    <row r="671" spans="1:8" x14ac:dyDescent="0.25">
      <c r="A671" s="64" t="s">
        <v>2588</v>
      </c>
      <c r="B671" s="64" t="s">
        <v>2589</v>
      </c>
      <c r="C671" s="220">
        <v>107175</v>
      </c>
      <c r="D671" s="205"/>
      <c r="E671" s="206"/>
      <c r="F671" s="218">
        <f t="shared" si="10"/>
        <v>107175</v>
      </c>
      <c r="H671" s="222" t="e">
        <f ca="1">_xlfn.XLOOKUP(A671,Hoja1!A:A,Hoja1!G:G,0,0)</f>
        <v>#NAME?</v>
      </c>
    </row>
    <row r="672" spans="1:8" x14ac:dyDescent="0.25">
      <c r="A672" s="64" t="s">
        <v>1991</v>
      </c>
      <c r="B672" s="64" t="s">
        <v>1992</v>
      </c>
      <c r="C672" s="220">
        <v>34176</v>
      </c>
      <c r="D672" s="205"/>
      <c r="E672" s="206">
        <v>0</v>
      </c>
      <c r="F672" s="218">
        <f t="shared" si="10"/>
        <v>34176</v>
      </c>
      <c r="H672" t="e">
        <f ca="1">_xlfn.XLOOKUP(A672,Hoja1!A:A,Hoja1!G:G,0,0)</f>
        <v>#NAME?</v>
      </c>
    </row>
    <row r="673" spans="1:8" x14ac:dyDescent="0.25">
      <c r="A673" s="64" t="s">
        <v>2590</v>
      </c>
      <c r="B673" s="64" t="s">
        <v>2591</v>
      </c>
      <c r="C673" s="220">
        <v>45008</v>
      </c>
      <c r="D673" s="205"/>
      <c r="E673" s="206"/>
      <c r="F673" s="218">
        <f t="shared" si="10"/>
        <v>45008</v>
      </c>
      <c r="H673" s="222" t="e">
        <f ca="1">_xlfn.XLOOKUP(A673,Hoja1!A:A,Hoja1!G:G,0,0)</f>
        <v>#NAME?</v>
      </c>
    </row>
    <row r="674" spans="1:8" x14ac:dyDescent="0.25">
      <c r="A674" s="64" t="s">
        <v>2592</v>
      </c>
      <c r="B674" s="64" t="s">
        <v>2593</v>
      </c>
      <c r="C674" s="220">
        <v>37328</v>
      </c>
      <c r="D674" s="205"/>
      <c r="E674" s="206"/>
      <c r="F674" s="218">
        <f t="shared" si="10"/>
        <v>37328</v>
      </c>
      <c r="H674" s="222" t="e">
        <f ca="1">_xlfn.XLOOKUP(A674,Hoja1!A:A,Hoja1!G:G,0,0)</f>
        <v>#NAME?</v>
      </c>
    </row>
    <row r="675" spans="1:8" x14ac:dyDescent="0.25">
      <c r="A675" s="64" t="s">
        <v>2594</v>
      </c>
      <c r="B675" s="64" t="s">
        <v>2595</v>
      </c>
      <c r="C675" s="220">
        <v>36310</v>
      </c>
      <c r="D675" s="205"/>
      <c r="E675" s="206"/>
      <c r="F675" s="218">
        <f t="shared" si="10"/>
        <v>36310</v>
      </c>
      <c r="H675" s="222" t="e">
        <f ca="1">_xlfn.XLOOKUP(A675,Hoja1!A:A,Hoja1!G:G,0,0)</f>
        <v>#NAME?</v>
      </c>
    </row>
    <row r="676" spans="1:8" x14ac:dyDescent="0.25">
      <c r="A676" s="64" t="s">
        <v>2596</v>
      </c>
      <c r="B676" s="64" t="s">
        <v>2597</v>
      </c>
      <c r="C676" s="220">
        <v>36173</v>
      </c>
      <c r="D676" s="205"/>
      <c r="E676" s="206"/>
      <c r="F676" s="218">
        <f t="shared" si="10"/>
        <v>36173</v>
      </c>
      <c r="H676" s="222" t="e">
        <f ca="1">_xlfn.XLOOKUP(A676,Hoja1!A:A,Hoja1!G:G,0,0)</f>
        <v>#NAME?</v>
      </c>
    </row>
    <row r="677" spans="1:8" x14ac:dyDescent="0.25">
      <c r="A677" s="64" t="s">
        <v>2598</v>
      </c>
      <c r="B677" s="64" t="s">
        <v>2599</v>
      </c>
      <c r="C677" s="220">
        <v>64660</v>
      </c>
      <c r="D677" s="205"/>
      <c r="E677" s="206"/>
      <c r="F677" s="218">
        <f t="shared" si="10"/>
        <v>64660</v>
      </c>
      <c r="H677" s="222" t="e">
        <f ca="1">_xlfn.XLOOKUP(A677,Hoja1!A:A,Hoja1!G:G,0,0)</f>
        <v>#NAME?</v>
      </c>
    </row>
    <row r="678" spans="1:8" x14ac:dyDescent="0.25">
      <c r="A678" s="64" t="s">
        <v>2600</v>
      </c>
      <c r="B678" s="64" t="s">
        <v>2601</v>
      </c>
      <c r="C678" s="220">
        <v>51056</v>
      </c>
      <c r="D678" s="205"/>
      <c r="E678" s="206"/>
      <c r="F678" s="218">
        <f t="shared" si="10"/>
        <v>51056</v>
      </c>
      <c r="H678" s="222" t="e">
        <f ca="1">_xlfn.XLOOKUP(A678,Hoja1!A:A,Hoja1!G:G,0,0)</f>
        <v>#NAME?</v>
      </c>
    </row>
    <row r="679" spans="1:8" x14ac:dyDescent="0.25">
      <c r="A679" s="64" t="s">
        <v>2602</v>
      </c>
      <c r="B679" s="64" t="s">
        <v>2603</v>
      </c>
      <c r="C679" s="220">
        <v>20422</v>
      </c>
      <c r="D679" s="205"/>
      <c r="E679" s="206"/>
      <c r="F679" s="218">
        <f t="shared" si="10"/>
        <v>20422</v>
      </c>
      <c r="H679" s="222" t="e">
        <f ca="1">_xlfn.XLOOKUP(A679,Hoja1!A:A,Hoja1!G:G,0,0)</f>
        <v>#NAME?</v>
      </c>
    </row>
    <row r="680" spans="1:8" x14ac:dyDescent="0.25">
      <c r="A680" s="64" t="s">
        <v>2604</v>
      </c>
      <c r="B680" s="64" t="s">
        <v>2605</v>
      </c>
      <c r="C680" s="220">
        <v>21527</v>
      </c>
      <c r="D680" s="205"/>
      <c r="E680" s="206"/>
      <c r="F680" s="218">
        <f t="shared" si="10"/>
        <v>21527</v>
      </c>
      <c r="H680" s="222" t="e">
        <f ca="1">_xlfn.XLOOKUP(A680,Hoja1!A:A,Hoja1!G:G,0,0)</f>
        <v>#NAME?</v>
      </c>
    </row>
    <row r="681" spans="1:8" x14ac:dyDescent="0.25">
      <c r="A681" s="64" t="s">
        <v>2606</v>
      </c>
      <c r="B681" s="64" t="s">
        <v>2607</v>
      </c>
      <c r="C681" s="220">
        <v>23237</v>
      </c>
      <c r="D681" s="205"/>
      <c r="E681" s="206"/>
      <c r="F681" s="218">
        <f t="shared" si="10"/>
        <v>23237</v>
      </c>
      <c r="H681" s="222" t="e">
        <f ca="1">_xlfn.XLOOKUP(A681,Hoja1!A:A,Hoja1!G:G,0,0)</f>
        <v>#NAME?</v>
      </c>
    </row>
    <row r="682" spans="1:8" x14ac:dyDescent="0.25">
      <c r="A682" s="64" t="s">
        <v>2608</v>
      </c>
      <c r="B682" s="64" t="s">
        <v>2609</v>
      </c>
      <c r="C682" s="220">
        <v>24640</v>
      </c>
      <c r="D682" s="205"/>
      <c r="E682" s="206"/>
      <c r="F682" s="218">
        <f t="shared" si="10"/>
        <v>24640</v>
      </c>
      <c r="H682" s="222" t="e">
        <f ca="1">_xlfn.XLOOKUP(A682,Hoja1!A:A,Hoja1!G:G,0,0)</f>
        <v>#NAME?</v>
      </c>
    </row>
    <row r="683" spans="1:8" x14ac:dyDescent="0.25">
      <c r="A683" s="64" t="s">
        <v>2610</v>
      </c>
      <c r="B683" s="64" t="s">
        <v>2611</v>
      </c>
      <c r="C683" s="220">
        <v>39372</v>
      </c>
      <c r="D683" s="205"/>
      <c r="E683" s="206"/>
      <c r="F683" s="218">
        <f t="shared" si="10"/>
        <v>39372</v>
      </c>
      <c r="H683" s="222" t="e">
        <f ca="1">_xlfn.XLOOKUP(A683,Hoja1!A:A,Hoja1!G:G,0,0)</f>
        <v>#NAME?</v>
      </c>
    </row>
    <row r="684" spans="1:8" x14ac:dyDescent="0.25">
      <c r="A684" s="64" t="s">
        <v>2612</v>
      </c>
      <c r="B684" s="64" t="s">
        <v>2613</v>
      </c>
      <c r="C684" s="220">
        <v>57970</v>
      </c>
      <c r="D684" s="205"/>
      <c r="E684" s="206"/>
      <c r="F684" s="218">
        <f t="shared" si="10"/>
        <v>57970</v>
      </c>
      <c r="H684" s="222" t="e">
        <f ca="1">_xlfn.XLOOKUP(A684,Hoja1!A:A,Hoja1!G:G,0,0)</f>
        <v>#NAME?</v>
      </c>
    </row>
    <row r="685" spans="1:8" x14ac:dyDescent="0.25">
      <c r="A685" s="64" t="s">
        <v>2614</v>
      </c>
      <c r="B685" s="64" t="s">
        <v>2615</v>
      </c>
      <c r="C685" s="220">
        <v>16336</v>
      </c>
      <c r="D685" s="205"/>
      <c r="E685" s="206"/>
      <c r="F685" s="218">
        <f t="shared" si="10"/>
        <v>16336</v>
      </c>
      <c r="H685" s="222" t="e">
        <f ca="1">_xlfn.XLOOKUP(A685,Hoja1!A:A,Hoja1!G:G,0,0)</f>
        <v>#NAME?</v>
      </c>
    </row>
    <row r="686" spans="1:8" x14ac:dyDescent="0.25">
      <c r="A686" s="64" t="s">
        <v>2616</v>
      </c>
      <c r="B686" s="64" t="s">
        <v>2617</v>
      </c>
      <c r="C686" s="220">
        <v>54581</v>
      </c>
      <c r="D686" s="205"/>
      <c r="E686" s="206"/>
      <c r="F686" s="218">
        <f t="shared" si="10"/>
        <v>54581</v>
      </c>
      <c r="H686" s="222" t="e">
        <f ca="1">_xlfn.XLOOKUP(A686,Hoja1!A:A,Hoja1!G:G,0,0)</f>
        <v>#NAME?</v>
      </c>
    </row>
    <row r="687" spans="1:8" x14ac:dyDescent="0.25">
      <c r="A687" s="64" t="s">
        <v>2618</v>
      </c>
      <c r="B687" s="64" t="s">
        <v>2619</v>
      </c>
      <c r="C687" s="220">
        <v>66378</v>
      </c>
      <c r="D687" s="205"/>
      <c r="E687" s="206"/>
      <c r="F687" s="218">
        <f t="shared" si="10"/>
        <v>66378</v>
      </c>
      <c r="H687" s="222" t="e">
        <f ca="1">_xlfn.XLOOKUP(A687,Hoja1!A:A,Hoja1!G:G,0,0)</f>
        <v>#NAME?</v>
      </c>
    </row>
    <row r="688" spans="1:8" x14ac:dyDescent="0.25">
      <c r="A688" s="64" t="s">
        <v>2620</v>
      </c>
      <c r="B688" s="64" t="s">
        <v>2621</v>
      </c>
      <c r="C688" s="220">
        <v>65116</v>
      </c>
      <c r="D688" s="205"/>
      <c r="E688" s="206"/>
      <c r="F688" s="218">
        <f t="shared" si="10"/>
        <v>65116</v>
      </c>
      <c r="H688" s="222" t="e">
        <f ca="1">_xlfn.XLOOKUP(A688,Hoja1!A:A,Hoja1!G:G,0,0)</f>
        <v>#NAME?</v>
      </c>
    </row>
    <row r="689" spans="1:8" x14ac:dyDescent="0.25">
      <c r="A689" s="64" t="s">
        <v>2622</v>
      </c>
      <c r="B689" s="64" t="s">
        <v>2623</v>
      </c>
      <c r="C689" s="220">
        <v>115910</v>
      </c>
      <c r="D689" s="205"/>
      <c r="E689" s="206"/>
      <c r="F689" s="218">
        <f t="shared" si="10"/>
        <v>115910</v>
      </c>
      <c r="H689" s="222" t="e">
        <f ca="1">_xlfn.XLOOKUP(A689,Hoja1!A:A,Hoja1!G:G,0,0)</f>
        <v>#NAME?</v>
      </c>
    </row>
    <row r="690" spans="1:8" x14ac:dyDescent="0.25">
      <c r="A690" s="64" t="s">
        <v>2624</v>
      </c>
      <c r="B690" s="64" t="s">
        <v>2625</v>
      </c>
      <c r="C690" s="220">
        <v>34144</v>
      </c>
      <c r="D690" s="205"/>
      <c r="E690" s="206"/>
      <c r="F690" s="218">
        <f t="shared" si="10"/>
        <v>34144</v>
      </c>
      <c r="H690" s="222" t="e">
        <f ca="1">_xlfn.XLOOKUP(A690,Hoja1!A:A,Hoja1!G:G,0,0)</f>
        <v>#NAME?</v>
      </c>
    </row>
    <row r="691" spans="1:8" x14ac:dyDescent="0.25">
      <c r="A691" s="64" t="s">
        <v>2626</v>
      </c>
      <c r="B691" s="64" t="s">
        <v>2627</v>
      </c>
      <c r="C691" s="220">
        <v>36078</v>
      </c>
      <c r="D691" s="205"/>
      <c r="E691" s="206"/>
      <c r="F691" s="218">
        <f t="shared" si="10"/>
        <v>36078</v>
      </c>
      <c r="H691" s="222" t="e">
        <f ca="1">_xlfn.XLOOKUP(A691,Hoja1!A:A,Hoja1!G:G,0,0)</f>
        <v>#NAME?</v>
      </c>
    </row>
    <row r="692" spans="1:8" x14ac:dyDescent="0.25">
      <c r="A692" s="64" t="s">
        <v>2628</v>
      </c>
      <c r="B692" s="64" t="s">
        <v>2629</v>
      </c>
      <c r="C692" s="220">
        <v>18653</v>
      </c>
      <c r="D692" s="205"/>
      <c r="E692" s="206"/>
      <c r="F692" s="218">
        <f t="shared" si="10"/>
        <v>18653</v>
      </c>
      <c r="H692" s="222" t="e">
        <f ca="1">_xlfn.XLOOKUP(A692,Hoja1!A:A,Hoja1!G:G,0,0)</f>
        <v>#NAME?</v>
      </c>
    </row>
    <row r="693" spans="1:8" x14ac:dyDescent="0.25">
      <c r="A693" s="64" t="s">
        <v>2630</v>
      </c>
      <c r="B693" s="64" t="s">
        <v>2631</v>
      </c>
      <c r="C693" s="220">
        <v>34225</v>
      </c>
      <c r="D693" s="205"/>
      <c r="E693" s="206"/>
      <c r="F693" s="218">
        <f t="shared" si="10"/>
        <v>34225</v>
      </c>
      <c r="H693" s="222" t="e">
        <f ca="1">_xlfn.XLOOKUP(A693,Hoja1!A:A,Hoja1!G:G,0,0)</f>
        <v>#NAME?</v>
      </c>
    </row>
    <row r="694" spans="1:8" x14ac:dyDescent="0.25">
      <c r="A694" s="64" t="s">
        <v>2632</v>
      </c>
      <c r="B694" s="64" t="s">
        <v>2633</v>
      </c>
      <c r="C694" s="220">
        <v>56889</v>
      </c>
      <c r="D694" s="205"/>
      <c r="E694" s="206"/>
      <c r="F694" s="218">
        <f t="shared" si="10"/>
        <v>56889</v>
      </c>
      <c r="H694" s="222" t="e">
        <f ca="1">_xlfn.XLOOKUP(A694,Hoja1!A:A,Hoja1!G:G,0,0)</f>
        <v>#NAME?</v>
      </c>
    </row>
    <row r="695" spans="1:8" x14ac:dyDescent="0.25">
      <c r="A695" s="64"/>
      <c r="B695" s="64"/>
      <c r="C695" s="220"/>
      <c r="D695" s="205"/>
      <c r="E695" s="206"/>
      <c r="F695" s="218"/>
    </row>
    <row r="696" spans="1:8" x14ac:dyDescent="0.25">
      <c r="A696" s="64"/>
      <c r="B696" s="64"/>
      <c r="C696" s="220"/>
      <c r="D696" s="205"/>
      <c r="E696" s="206"/>
      <c r="F696" s="218"/>
    </row>
    <row r="697" spans="1:8" x14ac:dyDescent="0.25">
      <c r="A697" s="64"/>
      <c r="B697" s="64"/>
      <c r="C697" s="220"/>
      <c r="D697" s="205"/>
      <c r="E697" s="206"/>
      <c r="F697" s="218"/>
    </row>
    <row r="698" spans="1:8" x14ac:dyDescent="0.25">
      <c r="A698" s="64"/>
      <c r="B698" s="64"/>
      <c r="C698" s="220"/>
      <c r="D698" s="205"/>
      <c r="E698" s="206"/>
      <c r="F698" s="218"/>
    </row>
    <row r="699" spans="1:8" x14ac:dyDescent="0.25">
      <c r="A699" s="64"/>
      <c r="B699" s="64"/>
      <c r="C699" s="220"/>
      <c r="D699" s="205"/>
      <c r="E699" s="206"/>
      <c r="F699" s="218"/>
    </row>
    <row r="700" spans="1:8" x14ac:dyDescent="0.25">
      <c r="A700" s="64"/>
      <c r="B700" s="64"/>
      <c r="C700" s="220"/>
      <c r="D700" s="205"/>
      <c r="E700" s="206"/>
      <c r="F700" s="218"/>
    </row>
    <row r="701" spans="1:8" x14ac:dyDescent="0.25">
      <c r="A701" s="64"/>
      <c r="B701" s="64"/>
      <c r="C701" s="220"/>
      <c r="D701" s="205"/>
      <c r="E701" s="206"/>
      <c r="F701" s="218"/>
    </row>
    <row r="702" spans="1:8" x14ac:dyDescent="0.25">
      <c r="A702" s="64"/>
      <c r="B702" s="64"/>
      <c r="C702" s="220"/>
      <c r="D702" s="205"/>
      <c r="E702" s="206"/>
      <c r="F702" s="218"/>
    </row>
    <row r="703" spans="1:8" x14ac:dyDescent="0.25">
      <c r="A703" s="64"/>
      <c r="B703" s="64"/>
      <c r="C703" s="220"/>
      <c r="D703" s="205"/>
      <c r="E703" s="206"/>
      <c r="F703" s="218"/>
    </row>
    <row r="704" spans="1:8" x14ac:dyDescent="0.25">
      <c r="A704" s="64"/>
      <c r="B704" s="64"/>
      <c r="C704" s="220"/>
      <c r="D704" s="205"/>
      <c r="E704" s="206"/>
      <c r="F704" s="218"/>
    </row>
    <row r="705" spans="1:6" x14ac:dyDescent="0.25">
      <c r="A705" s="64"/>
      <c r="B705" s="64"/>
      <c r="C705" s="220"/>
      <c r="D705" s="205"/>
      <c r="E705" s="206"/>
      <c r="F705" s="218"/>
    </row>
    <row r="706" spans="1:6" x14ac:dyDescent="0.25">
      <c r="A706" s="64"/>
      <c r="B706" s="64"/>
      <c r="C706" s="220"/>
      <c r="D706" s="205"/>
      <c r="E706" s="206"/>
      <c r="F706" s="218"/>
    </row>
    <row r="707" spans="1:6" x14ac:dyDescent="0.25">
      <c r="A707" s="64"/>
      <c r="B707" s="64"/>
      <c r="C707" s="220"/>
      <c r="D707" s="205"/>
      <c r="E707" s="206"/>
      <c r="F707" s="218"/>
    </row>
    <row r="708" spans="1:6" x14ac:dyDescent="0.25">
      <c r="A708" s="64"/>
      <c r="B708" s="64"/>
      <c r="C708" s="220"/>
      <c r="D708" s="205"/>
      <c r="E708" s="206"/>
      <c r="F708" s="218"/>
    </row>
    <row r="709" spans="1:6" x14ac:dyDescent="0.25">
      <c r="A709" s="64"/>
      <c r="B709" s="64"/>
      <c r="C709" s="220"/>
      <c r="D709" s="205"/>
      <c r="E709" s="206"/>
      <c r="F709" s="218"/>
    </row>
    <row r="710" spans="1:6" x14ac:dyDescent="0.25">
      <c r="A710" s="64"/>
      <c r="B710" s="64"/>
      <c r="C710" s="220"/>
      <c r="D710" s="205"/>
      <c r="E710" s="206"/>
      <c r="F710" s="218"/>
    </row>
    <row r="711" spans="1:6" x14ac:dyDescent="0.25">
      <c r="A711" s="64"/>
      <c r="B711" s="64"/>
      <c r="C711" s="220"/>
      <c r="D711" s="205"/>
      <c r="E711" s="206"/>
      <c r="F711" s="218"/>
    </row>
    <row r="712" spans="1:6" x14ac:dyDescent="0.25">
      <c r="A712" s="64"/>
      <c r="B712" s="64"/>
      <c r="C712" s="220"/>
      <c r="D712" s="205"/>
      <c r="E712" s="206"/>
      <c r="F712" s="218"/>
    </row>
    <row r="713" spans="1:6" x14ac:dyDescent="0.25">
      <c r="A713" s="64"/>
      <c r="B713" s="64"/>
      <c r="C713" s="220"/>
      <c r="D713" s="205"/>
      <c r="E713" s="206"/>
      <c r="F713" s="218"/>
    </row>
    <row r="714" spans="1:6" x14ac:dyDescent="0.25">
      <c r="A714" s="64"/>
      <c r="B714" s="64"/>
      <c r="C714" s="220"/>
      <c r="D714" s="205"/>
      <c r="E714" s="206"/>
      <c r="F714" s="218"/>
    </row>
    <row r="715" spans="1:6" x14ac:dyDescent="0.25">
      <c r="A715" s="64"/>
      <c r="B715" s="64"/>
      <c r="C715" s="220"/>
      <c r="D715" s="205"/>
      <c r="E715" s="206"/>
      <c r="F715" s="218"/>
    </row>
    <row r="716" spans="1:6" x14ac:dyDescent="0.25">
      <c r="A716" s="64"/>
      <c r="B716" s="64"/>
      <c r="C716" s="220"/>
      <c r="D716" s="205"/>
      <c r="E716" s="206"/>
      <c r="F716" s="218"/>
    </row>
    <row r="717" spans="1:6" x14ac:dyDescent="0.25">
      <c r="A717" s="64"/>
      <c r="B717" s="64"/>
      <c r="C717" s="220"/>
      <c r="D717" s="205"/>
      <c r="E717" s="206"/>
      <c r="F717" s="218"/>
    </row>
    <row r="718" spans="1:6" x14ac:dyDescent="0.25">
      <c r="A718" s="64"/>
      <c r="B718" s="64"/>
      <c r="C718" s="220"/>
      <c r="D718" s="205"/>
      <c r="E718" s="206"/>
      <c r="F718" s="218"/>
    </row>
    <row r="719" spans="1:6" x14ac:dyDescent="0.25">
      <c r="A719" s="64"/>
      <c r="B719" s="64"/>
      <c r="C719" s="220"/>
      <c r="D719" s="205"/>
      <c r="E719" s="206"/>
      <c r="F719" s="218"/>
    </row>
    <row r="720" spans="1:6" x14ac:dyDescent="0.25">
      <c r="A720" s="64"/>
      <c r="B720" s="64"/>
      <c r="C720" s="220"/>
      <c r="D720" s="205"/>
      <c r="E720" s="206"/>
      <c r="F720" s="218"/>
    </row>
    <row r="721" spans="1:6" x14ac:dyDescent="0.25">
      <c r="A721" s="64"/>
      <c r="B721" s="64"/>
      <c r="C721" s="220"/>
      <c r="D721" s="205"/>
      <c r="E721" s="206"/>
      <c r="F721" s="218"/>
    </row>
    <row r="722" spans="1:6" x14ac:dyDescent="0.25">
      <c r="A722" s="64"/>
      <c r="B722" s="64"/>
      <c r="C722" s="220"/>
      <c r="D722" s="205"/>
      <c r="E722" s="206"/>
      <c r="F722" s="218"/>
    </row>
    <row r="723" spans="1:6" x14ac:dyDescent="0.25">
      <c r="A723" s="64"/>
      <c r="B723" s="64"/>
      <c r="C723" s="220"/>
      <c r="D723" s="205"/>
      <c r="E723" s="206"/>
      <c r="F723" s="218"/>
    </row>
    <row r="724" spans="1:6" x14ac:dyDescent="0.25">
      <c r="A724" s="64"/>
      <c r="B724" s="64"/>
      <c r="C724" s="220"/>
      <c r="D724" s="205"/>
      <c r="E724" s="206"/>
      <c r="F724" s="218"/>
    </row>
    <row r="725" spans="1:6" x14ac:dyDescent="0.25">
      <c r="A725" s="64"/>
      <c r="B725" s="64"/>
      <c r="C725" s="220"/>
      <c r="D725" s="205"/>
      <c r="E725" s="206"/>
      <c r="F725" s="218"/>
    </row>
    <row r="726" spans="1:6" x14ac:dyDescent="0.25">
      <c r="A726" s="64"/>
      <c r="B726" s="64"/>
      <c r="C726" s="220"/>
      <c r="D726" s="205"/>
      <c r="E726" s="206"/>
      <c r="F726" s="218"/>
    </row>
    <row r="727" spans="1:6" x14ac:dyDescent="0.25">
      <c r="A727" s="64"/>
      <c r="B727" s="64"/>
      <c r="C727" s="220"/>
      <c r="D727" s="205"/>
      <c r="E727" s="206"/>
      <c r="F727" s="218"/>
    </row>
    <row r="728" spans="1:6" x14ac:dyDescent="0.25">
      <c r="A728" s="64"/>
      <c r="B728" s="64"/>
      <c r="C728" s="220"/>
      <c r="D728" s="205"/>
      <c r="E728" s="206"/>
      <c r="F728" s="218"/>
    </row>
    <row r="729" spans="1:6" x14ac:dyDescent="0.25">
      <c r="A729" s="64"/>
      <c r="B729" s="64"/>
      <c r="C729" s="220"/>
      <c r="D729" s="205"/>
      <c r="E729" s="206"/>
      <c r="F729" s="218"/>
    </row>
    <row r="730" spans="1:6" x14ac:dyDescent="0.25">
      <c r="A730" s="64"/>
      <c r="B730" s="64"/>
      <c r="C730" s="220"/>
      <c r="D730" s="205"/>
      <c r="E730" s="206"/>
      <c r="F730" s="218"/>
    </row>
    <row r="731" spans="1:6" x14ac:dyDescent="0.25">
      <c r="A731" s="64"/>
      <c r="B731" s="64"/>
      <c r="C731" s="220"/>
      <c r="D731" s="205"/>
      <c r="E731" s="206"/>
      <c r="F731" s="218"/>
    </row>
    <row r="732" spans="1:6" x14ac:dyDescent="0.25">
      <c r="A732" s="64"/>
      <c r="B732" s="64"/>
      <c r="C732" s="220"/>
      <c r="D732" s="205"/>
      <c r="E732" s="206"/>
      <c r="F732" s="218"/>
    </row>
    <row r="733" spans="1:6" x14ac:dyDescent="0.25">
      <c r="A733" s="64"/>
      <c r="B733" s="64"/>
      <c r="C733" s="220"/>
      <c r="D733" s="205"/>
      <c r="E733" s="206"/>
      <c r="F733" s="218"/>
    </row>
    <row r="734" spans="1:6" x14ac:dyDescent="0.25">
      <c r="A734" s="64"/>
      <c r="B734" s="64"/>
      <c r="C734" s="220"/>
      <c r="D734" s="205"/>
      <c r="E734" s="206"/>
      <c r="F734" s="218"/>
    </row>
    <row r="735" spans="1:6" x14ac:dyDescent="0.25">
      <c r="A735" s="64"/>
      <c r="B735" s="64"/>
      <c r="C735" s="220"/>
      <c r="D735" s="205"/>
      <c r="E735" s="206"/>
      <c r="F735" s="218"/>
    </row>
    <row r="736" spans="1:6" x14ac:dyDescent="0.25">
      <c r="A736" s="64"/>
      <c r="B736" s="64"/>
      <c r="C736" s="220"/>
      <c r="D736" s="205"/>
      <c r="E736" s="206"/>
      <c r="F736" s="218"/>
    </row>
    <row r="737" spans="1:6" x14ac:dyDescent="0.25">
      <c r="A737" s="64"/>
      <c r="B737" s="64"/>
      <c r="C737" s="220"/>
      <c r="D737" s="205"/>
      <c r="E737" s="206"/>
      <c r="F737" s="218"/>
    </row>
    <row r="738" spans="1:6" x14ac:dyDescent="0.25">
      <c r="A738" s="64"/>
      <c r="B738" s="64"/>
      <c r="C738" s="220"/>
      <c r="D738" s="205"/>
      <c r="E738" s="206"/>
      <c r="F738" s="218"/>
    </row>
    <row r="739" spans="1:6" x14ac:dyDescent="0.25">
      <c r="A739" s="64"/>
      <c r="B739" s="64"/>
      <c r="C739" s="220"/>
      <c r="D739" s="205"/>
      <c r="E739" s="206"/>
      <c r="F739" s="218"/>
    </row>
    <row r="740" spans="1:6" x14ac:dyDescent="0.25">
      <c r="A740" s="64"/>
      <c r="B740" s="64"/>
      <c r="C740" s="220"/>
      <c r="D740" s="205"/>
      <c r="E740" s="206"/>
      <c r="F740" s="218"/>
    </row>
    <row r="741" spans="1:6" x14ac:dyDescent="0.25">
      <c r="A741" s="64"/>
      <c r="B741" s="64"/>
      <c r="C741" s="220"/>
      <c r="D741" s="205"/>
      <c r="E741" s="206"/>
      <c r="F741" s="218"/>
    </row>
    <row r="742" spans="1:6" x14ac:dyDescent="0.25">
      <c r="A742" s="64"/>
      <c r="B742" s="64"/>
      <c r="C742" s="220"/>
      <c r="D742" s="205"/>
      <c r="E742" s="206"/>
      <c r="F742" s="218"/>
    </row>
    <row r="743" spans="1:6" x14ac:dyDescent="0.25">
      <c r="A743" s="64"/>
      <c r="B743" s="64"/>
      <c r="C743" s="220"/>
      <c r="D743" s="205"/>
      <c r="E743" s="206"/>
      <c r="F743" s="218"/>
    </row>
    <row r="744" spans="1:6" x14ac:dyDescent="0.25">
      <c r="A744" s="64"/>
      <c r="B744" s="64"/>
      <c r="C744" s="220"/>
      <c r="D744" s="205"/>
      <c r="E744" s="206"/>
      <c r="F744" s="218"/>
    </row>
    <row r="745" spans="1:6" x14ac:dyDescent="0.25">
      <c r="A745" s="64"/>
      <c r="B745" s="64"/>
      <c r="C745" s="220"/>
      <c r="D745" s="205"/>
      <c r="E745" s="206"/>
      <c r="F745" s="218"/>
    </row>
    <row r="746" spans="1:6" x14ac:dyDescent="0.25">
      <c r="A746" s="64"/>
      <c r="B746" s="64"/>
      <c r="C746" s="220"/>
      <c r="D746" s="205"/>
      <c r="E746" s="206"/>
      <c r="F746" s="218"/>
    </row>
    <row r="747" spans="1:6" x14ac:dyDescent="0.25">
      <c r="A747" s="64"/>
      <c r="B747" s="64"/>
      <c r="C747" s="220"/>
      <c r="D747" s="205"/>
      <c r="E747" s="206"/>
      <c r="F747" s="218"/>
    </row>
    <row r="748" spans="1:6" x14ac:dyDescent="0.25">
      <c r="A748" s="64"/>
      <c r="B748" s="64"/>
      <c r="C748" s="220"/>
      <c r="D748" s="205"/>
      <c r="E748" s="206"/>
      <c r="F748" s="218"/>
    </row>
    <row r="749" spans="1:6" x14ac:dyDescent="0.25">
      <c r="A749" s="64"/>
      <c r="B749" s="64"/>
      <c r="C749" s="220"/>
      <c r="D749" s="205"/>
      <c r="E749" s="206"/>
      <c r="F749" s="218"/>
    </row>
    <row r="750" spans="1:6" x14ac:dyDescent="0.25">
      <c r="A750" s="64"/>
      <c r="B750" s="64"/>
      <c r="C750" s="220"/>
      <c r="D750" s="205"/>
      <c r="E750" s="206"/>
      <c r="F750" s="218"/>
    </row>
    <row r="751" spans="1:6" x14ac:dyDescent="0.25">
      <c r="A751" s="64"/>
      <c r="B751" s="64"/>
      <c r="C751" s="220"/>
      <c r="D751" s="205"/>
      <c r="E751" s="206"/>
      <c r="F751" s="218"/>
    </row>
    <row r="752" spans="1:6" x14ac:dyDescent="0.25">
      <c r="A752" s="64"/>
      <c r="B752" s="64"/>
      <c r="C752" s="220"/>
      <c r="D752" s="205"/>
      <c r="E752" s="206"/>
      <c r="F752" s="218"/>
    </row>
    <row r="753" spans="1:6" x14ac:dyDescent="0.25">
      <c r="A753" s="64"/>
      <c r="B753" s="64"/>
      <c r="C753" s="220"/>
      <c r="D753" s="205"/>
      <c r="E753" s="206"/>
      <c r="F753" s="218"/>
    </row>
    <row r="754" spans="1:6" x14ac:dyDescent="0.25">
      <c r="A754" s="64"/>
      <c r="B754" s="64"/>
      <c r="C754" s="220"/>
      <c r="D754" s="205"/>
      <c r="E754" s="206"/>
      <c r="F754" s="218"/>
    </row>
    <row r="755" spans="1:6" x14ac:dyDescent="0.25">
      <c r="A755" s="64"/>
      <c r="B755" s="64"/>
      <c r="C755" s="220"/>
      <c r="D755" s="205"/>
      <c r="E755" s="206"/>
      <c r="F755" s="218"/>
    </row>
    <row r="756" spans="1:6" x14ac:dyDescent="0.25">
      <c r="A756" s="64"/>
      <c r="B756" s="64"/>
      <c r="C756" s="220"/>
      <c r="D756" s="205"/>
      <c r="E756" s="206"/>
      <c r="F756" s="218"/>
    </row>
    <row r="757" spans="1:6" x14ac:dyDescent="0.25">
      <c r="A757" s="64"/>
      <c r="B757" s="64"/>
      <c r="C757" s="220"/>
      <c r="D757" s="205"/>
      <c r="E757" s="206"/>
      <c r="F757" s="218"/>
    </row>
    <row r="758" spans="1:6" x14ac:dyDescent="0.25">
      <c r="A758" s="64"/>
      <c r="B758" s="64"/>
      <c r="C758" s="220"/>
      <c r="D758" s="205"/>
      <c r="E758" s="206"/>
      <c r="F758" s="218"/>
    </row>
    <row r="759" spans="1:6" x14ac:dyDescent="0.25">
      <c r="A759" s="64"/>
      <c r="B759" s="64"/>
      <c r="C759" s="220"/>
      <c r="D759" s="205"/>
      <c r="E759" s="206"/>
      <c r="F759" s="218"/>
    </row>
    <row r="760" spans="1:6" x14ac:dyDescent="0.25">
      <c r="A760" s="64"/>
      <c r="B760" s="64"/>
      <c r="C760" s="220"/>
      <c r="D760" s="205"/>
      <c r="E760" s="206"/>
      <c r="F760" s="218"/>
    </row>
    <row r="761" spans="1:6" x14ac:dyDescent="0.25">
      <c r="A761" s="64"/>
      <c r="B761" s="64"/>
      <c r="C761" s="220"/>
      <c r="D761" s="205"/>
      <c r="E761" s="206"/>
      <c r="F761" s="218"/>
    </row>
    <row r="762" spans="1:6" x14ac:dyDescent="0.25">
      <c r="A762" s="64"/>
      <c r="B762" s="64"/>
      <c r="C762" s="220"/>
      <c r="D762" s="205"/>
      <c r="E762" s="206"/>
      <c r="F762" s="218"/>
    </row>
    <row r="763" spans="1:6" x14ac:dyDescent="0.25">
      <c r="A763" s="64"/>
      <c r="B763" s="64"/>
      <c r="C763" s="220"/>
      <c r="D763" s="205"/>
      <c r="E763" s="206"/>
      <c r="F763" s="218"/>
    </row>
    <row r="764" spans="1:6" x14ac:dyDescent="0.25">
      <c r="A764" s="64"/>
      <c r="B764" s="64"/>
      <c r="C764" s="220"/>
      <c r="D764" s="205"/>
      <c r="E764" s="206"/>
      <c r="F764" s="218"/>
    </row>
    <row r="765" spans="1:6" x14ac:dyDescent="0.25">
      <c r="A765" s="64"/>
      <c r="B765" s="64"/>
      <c r="C765" s="220"/>
      <c r="D765" s="205"/>
      <c r="E765" s="206"/>
      <c r="F765" s="218"/>
    </row>
    <row r="766" spans="1:6" x14ac:dyDescent="0.25">
      <c r="A766" s="64"/>
      <c r="B766" s="64"/>
      <c r="C766" s="220"/>
      <c r="D766" s="205"/>
      <c r="E766" s="206"/>
      <c r="F766" s="218"/>
    </row>
    <row r="767" spans="1:6" x14ac:dyDescent="0.25">
      <c r="A767" s="64"/>
      <c r="B767" s="64"/>
      <c r="C767" s="220"/>
      <c r="D767" s="205"/>
      <c r="E767" s="206"/>
      <c r="F767" s="218"/>
    </row>
    <row r="768" spans="1:6" x14ac:dyDescent="0.25">
      <c r="A768" s="64"/>
      <c r="B768" s="64"/>
      <c r="C768" s="220"/>
      <c r="D768" s="205"/>
      <c r="E768" s="206"/>
      <c r="F768" s="218"/>
    </row>
  </sheetData>
  <autoFilter ref="H1:H768" xr:uid="{E5423771-3A0F-4332-8602-F45626D820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995B-C093-4D57-8F48-FA0D65771CEA}">
  <dimension ref="A3:G492"/>
  <sheetViews>
    <sheetView topLeftCell="A21" workbookViewId="0">
      <selection activeCell="A39" sqref="A39"/>
    </sheetView>
  </sheetViews>
  <sheetFormatPr baseColWidth="10" defaultRowHeight="15" x14ac:dyDescent="0.25"/>
  <cols>
    <col min="1" max="1" width="59.5703125" bestFit="1" customWidth="1"/>
  </cols>
  <sheetData>
    <row r="3" spans="1:7" x14ac:dyDescent="0.25">
      <c r="A3" t="str" cm="1">
        <f t="array" ref="A3:G204">_xlfn.VSTACK('Papeles-Cartulina'!B6:H69,PVC!B7:H31,'Porta Comida XPS'!B6:H28,'Band. Expandido'!B7:H47,'Linea Aluminio'!B6:H54)</f>
        <v>0001BIO00002</v>
      </c>
      <c r="B3">
        <v>0</v>
      </c>
      <c r="C3" t="str">
        <v>kg</v>
      </c>
      <c r="D3">
        <v>1</v>
      </c>
      <c r="E3" t="str">
        <v>BIOXIDO 75 X 50</v>
      </c>
      <c r="F3" t="str">
        <v>Resma 10 KG.</v>
      </c>
      <c r="G3">
        <v>72428</v>
      </c>
    </row>
    <row r="4" spans="1:7" x14ac:dyDescent="0.25">
      <c r="A4" t="str">
        <v>0001BIO00004</v>
      </c>
      <c r="B4">
        <v>0</v>
      </c>
      <c r="C4" t="str">
        <v>kg</v>
      </c>
      <c r="D4">
        <v>1</v>
      </c>
      <c r="E4" t="str">
        <v>BIOXIDO 37 X 50</v>
      </c>
      <c r="F4" t="str">
        <v>Resma 10 KG.</v>
      </c>
      <c r="G4">
        <v>72428</v>
      </c>
    </row>
    <row r="5" spans="1:7" x14ac:dyDescent="0.25">
      <c r="A5" t="str">
        <v>0001BIO00008</v>
      </c>
      <c r="B5">
        <v>0</v>
      </c>
      <c r="C5" t="str">
        <v>kg</v>
      </c>
      <c r="D5">
        <v>1</v>
      </c>
      <c r="E5" t="str">
        <v>BIOXIDO 37 X 25</v>
      </c>
      <c r="F5" t="str">
        <v>Resma 10 KG.</v>
      </c>
      <c r="G5">
        <v>72428</v>
      </c>
    </row>
    <row r="6" spans="1:7" x14ac:dyDescent="0.25">
      <c r="A6" t="str">
        <v>0001BIO00016</v>
      </c>
      <c r="B6">
        <v>0</v>
      </c>
      <c r="C6" t="str">
        <v>kg</v>
      </c>
      <c r="D6">
        <v>1</v>
      </c>
      <c r="E6" t="str">
        <v>BIOXIDO 18 X 25</v>
      </c>
      <c r="F6" t="str">
        <v>Resma 10 KG.</v>
      </c>
      <c r="G6">
        <v>72428</v>
      </c>
    </row>
    <row r="7" spans="1:7" x14ac:dyDescent="0.25">
      <c r="A7" t="str">
        <v>0002DES03246</v>
      </c>
      <c r="B7">
        <v>0</v>
      </c>
      <c r="C7" t="str">
        <v>res</v>
      </c>
      <c r="D7">
        <v>1</v>
      </c>
      <c r="E7" t="str">
        <v>DESMOLDANTE 32 X 46</v>
      </c>
      <c r="F7" t="str">
        <v>Resma 5 KG.</v>
      </c>
      <c r="G7">
        <v>64589</v>
      </c>
    </row>
    <row r="8" spans="1:7" x14ac:dyDescent="0.25">
      <c r="A8" t="str">
        <v>0002DES04060</v>
      </c>
      <c r="B8">
        <v>0</v>
      </c>
      <c r="C8" t="str">
        <v>res</v>
      </c>
      <c r="D8">
        <v>1</v>
      </c>
      <c r="E8" t="str">
        <v>DESMOLDANTE 40 X 60</v>
      </c>
      <c r="F8" t="str">
        <v>Resma 5 KG.</v>
      </c>
      <c r="G8">
        <v>64589</v>
      </c>
    </row>
    <row r="9" spans="1:7" x14ac:dyDescent="0.25">
      <c r="A9" t="str">
        <v>0002DES04565</v>
      </c>
      <c r="B9">
        <v>0</v>
      </c>
      <c r="C9" t="str">
        <v>res</v>
      </c>
      <c r="D9">
        <v>1</v>
      </c>
      <c r="E9" t="str">
        <v>DESMOLDANTE 45 X 64</v>
      </c>
      <c r="F9" t="str">
        <v>Resma 5 KG.</v>
      </c>
      <c r="G9">
        <v>64589</v>
      </c>
    </row>
    <row r="10" spans="1:7" x14ac:dyDescent="0.25">
      <c r="A10" t="str">
        <v>0002DES06080</v>
      </c>
      <c r="B10">
        <v>0</v>
      </c>
      <c r="C10" t="str">
        <v>res</v>
      </c>
      <c r="D10">
        <v>1</v>
      </c>
      <c r="E10" t="str">
        <v>DESMOLDANTE 60 X 80</v>
      </c>
      <c r="F10" t="str">
        <v>Resma 5 KG.</v>
      </c>
      <c r="G10">
        <v>64589</v>
      </c>
    </row>
    <row r="11" spans="1:7" x14ac:dyDescent="0.25">
      <c r="A11" t="str">
        <v>0002DES07090</v>
      </c>
      <c r="B11">
        <v>0</v>
      </c>
      <c r="C11" t="str">
        <v>res</v>
      </c>
      <c r="D11">
        <v>1</v>
      </c>
      <c r="E11" t="str">
        <v>DESMOLDANTE 70 X 90</v>
      </c>
      <c r="F11" t="str">
        <v>Resma 5 KG.</v>
      </c>
      <c r="G11">
        <v>64589</v>
      </c>
    </row>
    <row r="12" spans="1:7" x14ac:dyDescent="0.25">
      <c r="A12" t="str">
        <v>PAPEL PARAFINADO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tr">
        <v>0082ALL00009</v>
      </c>
      <c r="B13">
        <v>0</v>
      </c>
      <c r="C13" t="str">
        <v>res</v>
      </c>
      <c r="D13">
        <v>1</v>
      </c>
      <c r="E13" t="str">
        <v>PAPEL PARAFINADO LISO  40 x 40 cm</v>
      </c>
      <c r="F13" t="str">
        <v>Resma 1 KG.</v>
      </c>
      <c r="G13">
        <v>12994</v>
      </c>
    </row>
    <row r="14" spans="1:7" x14ac:dyDescent="0.25">
      <c r="A14" t="str">
        <v>0082ALL00020</v>
      </c>
      <c r="B14">
        <v>0</v>
      </c>
      <c r="C14" t="str">
        <v>res</v>
      </c>
      <c r="D14">
        <v>1</v>
      </c>
      <c r="E14" t="str">
        <v>PAPEL PARAFINADO LISO  35 x 40 cm</v>
      </c>
      <c r="F14" t="str">
        <v>Resma 5 KG.</v>
      </c>
      <c r="G14">
        <v>64439</v>
      </c>
    </row>
    <row r="15" spans="1:7" x14ac:dyDescent="0.25">
      <c r="A15" t="str">
        <v>0082ALL00021</v>
      </c>
      <c r="B15">
        <v>0</v>
      </c>
      <c r="C15" t="str">
        <v>res</v>
      </c>
      <c r="D15">
        <v>1</v>
      </c>
      <c r="E15" t="str">
        <v>PAPEL PARAFINADO GENERICO  35 x 40 cm</v>
      </c>
      <c r="F15" t="str">
        <v>Resma 5  KG.</v>
      </c>
      <c r="G15">
        <v>64566</v>
      </c>
    </row>
    <row r="16" spans="1:7" x14ac:dyDescent="0.25">
      <c r="A16" t="str">
        <v>0082ALL00022</v>
      </c>
      <c r="B16">
        <v>0</v>
      </c>
      <c r="C16" t="str">
        <v>res</v>
      </c>
      <c r="D16">
        <v>1</v>
      </c>
      <c r="E16" t="str">
        <v xml:space="preserve">PAPEL PARAFINADO PERSONALIZADO  </v>
      </c>
      <c r="F16" t="str">
        <v>Resma 5 KG.</v>
      </c>
      <c r="G16">
        <v>64276</v>
      </c>
    </row>
    <row r="17" spans="1:7" x14ac:dyDescent="0.25">
      <c r="A17" t="str">
        <v>PAPEL ALUMINIZADO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tr">
        <v>0082ALL00002</v>
      </c>
      <c r="B18">
        <v>0</v>
      </c>
      <c r="C18" t="str">
        <v>res</v>
      </c>
      <c r="D18">
        <v>1</v>
      </c>
      <c r="E18" t="str">
        <v>PAPEL ALUMINIO IMPRESO GENERICO 25 x 35 cm</v>
      </c>
      <c r="F18" t="str">
        <v>Resma 5 KG.</v>
      </c>
      <c r="G18">
        <v>125496</v>
      </c>
    </row>
    <row r="19" spans="1:7" x14ac:dyDescent="0.25">
      <c r="A19" t="str">
        <v>0082ALL00003</v>
      </c>
      <c r="B19">
        <v>0</v>
      </c>
      <c r="C19" t="str">
        <v>res</v>
      </c>
      <c r="D19">
        <v>1</v>
      </c>
      <c r="E19" t="str">
        <v xml:space="preserve">PAPEL ALUMINIO PERSONALIZADO  </v>
      </c>
      <c r="F19" t="str">
        <v>Resma 5 KG.</v>
      </c>
      <c r="G19">
        <v>125185</v>
      </c>
    </row>
    <row r="20" spans="1:7" x14ac:dyDescent="0.25">
      <c r="A20" t="str">
        <v>0082ALL00004</v>
      </c>
      <c r="B20">
        <v>0</v>
      </c>
      <c r="C20" t="str">
        <v>res</v>
      </c>
      <c r="D20">
        <v>1</v>
      </c>
      <c r="E20" t="str">
        <v xml:space="preserve">PAPEL ALUMINIO LISO   25 x 35 cm  </v>
      </c>
      <c r="F20" t="str">
        <v>Resma 5 KG.</v>
      </c>
      <c r="G20">
        <v>126192</v>
      </c>
    </row>
    <row r="21" spans="1:7" x14ac:dyDescent="0.25">
      <c r="A21" t="str">
        <v>0082ALL00005</v>
      </c>
      <c r="B21">
        <v>0</v>
      </c>
      <c r="C21" t="str">
        <v>res</v>
      </c>
      <c r="D21">
        <v>1</v>
      </c>
      <c r="E21" t="str">
        <v xml:space="preserve">PAPEL ALUMINIO LISO   34 x 50 cm  </v>
      </c>
      <c r="F21" t="str">
        <v>Resma 5 KG.</v>
      </c>
      <c r="G21">
        <v>126192</v>
      </c>
    </row>
    <row r="22" spans="1:7" x14ac:dyDescent="0.25">
      <c r="A22" t="str">
        <v>0082ALL00006</v>
      </c>
      <c r="B22">
        <v>0</v>
      </c>
      <c r="C22" t="str">
        <v>res</v>
      </c>
      <c r="D22">
        <v>1</v>
      </c>
      <c r="E22" t="str">
        <v xml:space="preserve">PAPEL ALUMINIO IMPRESO GENERICO  34 x 50 cm  </v>
      </c>
      <c r="F22" t="str">
        <v>Resma 5 KG.</v>
      </c>
      <c r="G22">
        <v>125844</v>
      </c>
    </row>
    <row r="23" spans="1:7" x14ac:dyDescent="0.25">
      <c r="A23" t="str">
        <v>CARTON - CARTULINA ANTIGRASA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tr">
        <v>0018DARBB0026</v>
      </c>
      <c r="B24" t="str">
        <v>RPN02026101XC</v>
      </c>
      <c r="C24" t="str">
        <v>caja</v>
      </c>
      <c r="D24">
        <v>200</v>
      </c>
      <c r="E24" t="str">
        <v>CAJA PARA ALIMENTOS DARNEL NATURAL 26 Oz BLANCA PAQX50 Un.</v>
      </c>
      <c r="F24" t="str">
        <v>Nuevo</v>
      </c>
      <c r="G24">
        <v>47151</v>
      </c>
    </row>
    <row r="25" spans="1:7" x14ac:dyDescent="0.25">
      <c r="A25" t="str">
        <v>0018DARBK0026</v>
      </c>
      <c r="B25" t="str">
        <v>RPN02026102XC</v>
      </c>
      <c r="C25" t="str">
        <v>PAQ</v>
      </c>
      <c r="D25" t="str">
        <v>200</v>
      </c>
      <c r="E25" t="str">
        <v>CAJA PARA ALIMENTOS DARNEL NATURAL 26 Oz MOCA PAQX50 CAJ X200UNID</v>
      </c>
      <c r="F25" t="str">
        <v>Nuevo</v>
      </c>
      <c r="G25">
        <v>43116</v>
      </c>
    </row>
    <row r="26" spans="1:7" x14ac:dyDescent="0.25">
      <c r="A26" t="str">
        <v>0018DARBB0045</v>
      </c>
      <c r="B26" t="str">
        <v>RPN02045101XC</v>
      </c>
      <c r="C26" t="str">
        <v>PAQ</v>
      </c>
      <c r="D26" t="str">
        <v>200</v>
      </c>
      <c r="E26" t="str">
        <v>CAJA PARA ALIMENTOS DARNEL NATURAL 45 Oz BLANCO PQX50 CJX200</v>
      </c>
      <c r="F26" t="str">
        <v>Nuevo</v>
      </c>
      <c r="G26">
        <v>68591</v>
      </c>
    </row>
    <row r="27" spans="1:7" x14ac:dyDescent="0.25">
      <c r="A27" t="str">
        <v>0018DARBKS045</v>
      </c>
      <c r="B27" t="str">
        <v>RPN02045102XTE</v>
      </c>
      <c r="C27" t="str">
        <v>PAQ</v>
      </c>
      <c r="D27" t="str">
        <v>200</v>
      </c>
      <c r="E27" t="str">
        <v>CAJA ALIMENTOS SAFETYPLUS DARNEL NATURALS 45 Oz MOCA PQX50 CAJX200</v>
      </c>
      <c r="F27" t="str">
        <v>Nuevo</v>
      </c>
      <c r="G27">
        <v>67623</v>
      </c>
    </row>
    <row r="28" spans="1:7" x14ac:dyDescent="0.25">
      <c r="A28" t="str">
        <v>0018DARBB0049</v>
      </c>
      <c r="B28" t="str">
        <v>RPN02049101XC</v>
      </c>
      <c r="C28" t="str">
        <v>PAQ</v>
      </c>
      <c r="D28" t="str">
        <v>200</v>
      </c>
      <c r="E28" t="str">
        <v>CAJA PARA ALIMENTOS DARNEL NATURALS 49 Oz BLANCO PQX50 CAJX200</v>
      </c>
      <c r="F28" t="str">
        <v>Nuevo</v>
      </c>
      <c r="G28">
        <v>73442</v>
      </c>
    </row>
    <row r="29" spans="1:7" x14ac:dyDescent="0.25">
      <c r="A29" t="str">
        <v>0018DARBK0049</v>
      </c>
      <c r="B29" t="str">
        <v>RPN02049102XC</v>
      </c>
      <c r="C29" t="str">
        <v>PAQ</v>
      </c>
      <c r="D29" t="str">
        <v>200</v>
      </c>
      <c r="E29" t="str">
        <v>CAJA PARA ALIMENTOS DARNEL NATURAL 49 Oz MOCA PQX50 CJX200</v>
      </c>
      <c r="F29" t="str">
        <v>Nuevo</v>
      </c>
      <c r="G29">
        <v>67949</v>
      </c>
    </row>
    <row r="30" spans="1:7" x14ac:dyDescent="0.25">
      <c r="A30" t="str">
        <v>0018DARBB0066</v>
      </c>
      <c r="B30" t="str">
        <v>RPN02066101XC</v>
      </c>
      <c r="C30" t="str">
        <v>PAQ</v>
      </c>
      <c r="D30" t="str">
        <v>200</v>
      </c>
      <c r="E30" t="str">
        <v>CAJA PARA ALIMENTOS DARNEL NATURAL 66 Oz BLANCO PQX50 CJX200</v>
      </c>
      <c r="F30" t="str">
        <v>Nuevo</v>
      </c>
      <c r="G30">
        <v>80488</v>
      </c>
    </row>
    <row r="31" spans="1:7" x14ac:dyDescent="0.25">
      <c r="A31" t="str">
        <v>0018DARBK0066</v>
      </c>
      <c r="B31" t="str">
        <v>RPN02066102XC</v>
      </c>
      <c r="C31" t="str">
        <v>PAQ</v>
      </c>
      <c r="D31" t="str">
        <v>200</v>
      </c>
      <c r="E31" t="str">
        <v>CAJA PARA ALIMENTOS DARNEL NATURAL 66 Oz MOCA PQX50 CJX200</v>
      </c>
      <c r="F31" t="str">
        <v>Nuevo</v>
      </c>
      <c r="G31">
        <v>74222</v>
      </c>
    </row>
    <row r="32" spans="1:7" x14ac:dyDescent="0.25">
      <c r="A32" t="str">
        <v>0018DARBB0072</v>
      </c>
      <c r="B32" t="str">
        <v>RPN0207201X</v>
      </c>
      <c r="C32" t="str">
        <v>PAQ</v>
      </c>
      <c r="D32" t="str">
        <v>100</v>
      </c>
      <c r="E32" t="str">
        <v>CAJA PARA ALIMENTOS DARNEL NATURALS 72 Oz BLANCO BLX100</v>
      </c>
      <c r="F32" t="str">
        <v>Nuevo</v>
      </c>
      <c r="G32">
        <v>50051</v>
      </c>
    </row>
    <row r="33" spans="1:7" x14ac:dyDescent="0.25">
      <c r="A33" t="str">
        <v>0018DARBBK072</v>
      </c>
      <c r="B33" t="str">
        <v>RPN0207202X</v>
      </c>
      <c r="C33" t="str">
        <v>PAQ</v>
      </c>
      <c r="D33" t="str">
        <v>100</v>
      </c>
      <c r="E33" t="str">
        <v>CAJA PARA ALIMENTOS DARNEL NATURALS 72 Oz MOCA BLX100</v>
      </c>
      <c r="F33" t="str">
        <v>Nuevo</v>
      </c>
      <c r="G33">
        <v>50375</v>
      </c>
    </row>
    <row r="34" spans="1:7" x14ac:dyDescent="0.25">
      <c r="A34" t="str">
        <v>0018DARBB0115</v>
      </c>
      <c r="B34" t="str">
        <v>RPN02011501X</v>
      </c>
      <c r="C34" t="str">
        <v>PAQ</v>
      </c>
      <c r="D34" t="str">
        <v>100</v>
      </c>
      <c r="E34" t="str">
        <v>CAJA PARA ALIMENTOS DARNEL NATURALS 115 Oz BLANCO BLX100 UNID</v>
      </c>
      <c r="F34" t="str">
        <v>Nuevo</v>
      </c>
      <c r="G34">
        <v>43095</v>
      </c>
    </row>
    <row r="35" spans="1:7" x14ac:dyDescent="0.25">
      <c r="A35" t="str">
        <v>0018DARBBK115</v>
      </c>
      <c r="B35" t="str">
        <v>RPN02011502X</v>
      </c>
      <c r="C35" t="str">
        <v>caja</v>
      </c>
      <c r="D35">
        <v>100</v>
      </c>
      <c r="E35" t="str">
        <v>CAJA PARA ALIMENTOS DARNEL NATURAL 115oz MOCA</v>
      </c>
      <c r="F35" t="str">
        <v>Nuevo</v>
      </c>
      <c r="G35">
        <v>43428</v>
      </c>
    </row>
    <row r="36" spans="1:7" x14ac:dyDescent="0.25">
      <c r="A36" t="str">
        <v>CAJAS y ESTUCHES PARA PAPAS FRITAS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tr">
        <v>0018DARBBF0001</v>
      </c>
      <c r="B37" t="str">
        <v>RPN02P08201X</v>
      </c>
      <c r="C37" t="str">
        <v>PAQ</v>
      </c>
      <c r="D37" t="str">
        <v>600</v>
      </c>
      <c r="E37" t="str">
        <v>CAJA PEQUEÑA PARA PAPAS FRITAS DARNEL NATURAL BLANCA PQX100 CJX600</v>
      </c>
      <c r="F37" t="str">
        <v>Nuevo</v>
      </c>
      <c r="G37">
        <v>33056</v>
      </c>
    </row>
    <row r="38" spans="1:7" x14ac:dyDescent="0.25">
      <c r="A38" t="str">
        <v>0018DARBBF0005</v>
      </c>
      <c r="B38" t="str">
        <v>RPN02P08701X</v>
      </c>
      <c r="C38" t="str">
        <v>PAQ</v>
      </c>
      <c r="D38" t="str">
        <v>600</v>
      </c>
      <c r="E38" t="str">
        <v>CAJA MEDIANA PARA PAPAS FRITAS DARNEL NATURAL BLANCO PQX100 CJX600</v>
      </c>
      <c r="F38" t="str">
        <v>Nuevo</v>
      </c>
      <c r="G38">
        <v>60322</v>
      </c>
    </row>
    <row r="39" spans="1:7" x14ac:dyDescent="0.25">
      <c r="A39" t="str">
        <v>0018DARBBF0010</v>
      </c>
      <c r="B39" t="str">
        <v>RPN02P12801X</v>
      </c>
      <c r="C39" t="str">
        <v>PAQ</v>
      </c>
      <c r="D39" t="str">
        <v>600</v>
      </c>
      <c r="E39" t="str">
        <v>CAJA GRANDE PARA PAPAS FRITAS DARNEL NATURAL BLANCO PQX100 CJX600</v>
      </c>
      <c r="F39" t="str">
        <v>Nuevo</v>
      </c>
      <c r="G39">
        <v>81948</v>
      </c>
    </row>
    <row r="40" spans="1:7" x14ac:dyDescent="0.25">
      <c r="A40" t="str">
        <v>0018DARBKF0001</v>
      </c>
      <c r="B40" t="str">
        <v>RPN02P08202X</v>
      </c>
      <c r="C40" t="str">
        <v>PAQ</v>
      </c>
      <c r="D40" t="str">
        <v>600</v>
      </c>
      <c r="E40" t="str">
        <v>CAJA PEQUEÑA PARA PAPAS FRITAS DARNEL NATURAL MOCA PQX100 CJX600</v>
      </c>
      <c r="F40" t="str">
        <v>Nuevo</v>
      </c>
      <c r="G40">
        <v>29445</v>
      </c>
    </row>
    <row r="41" spans="1:7" x14ac:dyDescent="0.25">
      <c r="A41" t="str">
        <v>0018ESP00004</v>
      </c>
      <c r="B41" t="str">
        <v>0018ESP00004</v>
      </c>
      <c r="C41" t="str">
        <v>PAQ</v>
      </c>
      <c r="D41" t="str">
        <v>1000</v>
      </c>
      <c r="E41" t="str">
        <v>ESTUCHES PAPAS FRITAS KRAFT X 1000</v>
      </c>
      <c r="F41" t="str">
        <v>210 Grs (Aprox)</v>
      </c>
      <c r="G41">
        <v>97504</v>
      </c>
    </row>
    <row r="42" spans="1:7" x14ac:dyDescent="0.25">
      <c r="A42" t="str">
        <v>CAJAS PARA ALIMENTOS SAFETYPLUS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t="str">
        <v>0018DARBKS026</v>
      </c>
      <c r="B43" t="str">
        <v>RPN02026102XTE</v>
      </c>
      <c r="C43" t="str">
        <v>caja</v>
      </c>
      <c r="D43">
        <v>200</v>
      </c>
      <c r="E43" t="str">
        <v>CAJA P/ALIMENTOS SAFETYPLUS DARNEL NAT. 26oz MOCA PQX50 Un.</v>
      </c>
      <c r="F43" t="str">
        <v>Nuevo</v>
      </c>
      <c r="G43">
        <v>45268</v>
      </c>
    </row>
    <row r="44" spans="1:7" x14ac:dyDescent="0.25">
      <c r="A44" t="str">
        <v>0018DARBK0045</v>
      </c>
      <c r="B44" t="str">
        <v>RPN02045102XC</v>
      </c>
      <c r="C44" t="str">
        <v>caja</v>
      </c>
      <c r="D44">
        <v>200</v>
      </c>
      <c r="E44" t="str">
        <v>CAJA PARA ALIMENTOS DARNEL NATURAL 45 Oz MOCA PQX50 Un.</v>
      </c>
      <c r="F44" t="str">
        <v>Nuevo</v>
      </c>
      <c r="G44">
        <v>62476</v>
      </c>
    </row>
    <row r="45" spans="1:7" x14ac:dyDescent="0.25">
      <c r="A45" t="str">
        <v>0018DARBKS0049</v>
      </c>
      <c r="B45" t="str">
        <v>RPN02049102XTE</v>
      </c>
      <c r="C45" t="str">
        <v>caja</v>
      </c>
      <c r="D45">
        <v>200</v>
      </c>
      <c r="E45" t="str">
        <v>CAJA P/ALIMENTOS SAFETYPLUS DARNEL NAT. 49oz MOCA PQX50 Un.</v>
      </c>
      <c r="F45" t="str">
        <v>Nuevo</v>
      </c>
      <c r="G45">
        <v>72723</v>
      </c>
    </row>
    <row r="46" spans="1:7" x14ac:dyDescent="0.25">
      <c r="A46" t="str">
        <v>0018DARBKS0066</v>
      </c>
      <c r="B46" t="str">
        <v>RPN02066102XTE</v>
      </c>
      <c r="C46" t="str">
        <v>caja</v>
      </c>
      <c r="D46">
        <v>200</v>
      </c>
      <c r="E46" t="str">
        <v>CAJA P/ALIMENTOS SAFETYPLUS DARNEL NAT 66oz MOCA PQX50 Un.</v>
      </c>
      <c r="F46" t="str">
        <v>Nuevo</v>
      </c>
      <c r="G46">
        <v>79883</v>
      </c>
    </row>
    <row r="47" spans="1:7" x14ac:dyDescent="0.25">
      <c r="A47" t="str">
        <v>CAJAS PARA HAMBURGUESAS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t="str">
        <v>0018DARKH0001</v>
      </c>
      <c r="B48" t="str">
        <v>RPN0209302X</v>
      </c>
      <c r="C48" t="str">
        <v>caja</v>
      </c>
      <c r="D48">
        <v>300</v>
      </c>
      <c r="E48" t="str">
        <v>CAJA PEQUEÑA P/HAMBURGUESA DARNEL NATURAL MOCA PAQX50 Un.</v>
      </c>
      <c r="F48" t="str">
        <v>Nuevo</v>
      </c>
      <c r="G48">
        <v>44059</v>
      </c>
    </row>
    <row r="49" spans="1:7" x14ac:dyDescent="0.25">
      <c r="A49" t="str">
        <v>0018DARKH0005</v>
      </c>
      <c r="B49" t="str">
        <v>RPN0209502X</v>
      </c>
      <c r="C49" t="str">
        <v>caja</v>
      </c>
      <c r="D49">
        <v>300</v>
      </c>
      <c r="E49" t="str">
        <v>CAJA MEDIANA P/HAMBURGUESA DARNEL NATURAL MOCA PAQX50 Un.</v>
      </c>
      <c r="F49" t="str">
        <v>Nuevo</v>
      </c>
      <c r="G49">
        <v>45245</v>
      </c>
    </row>
    <row r="50" spans="1:7" x14ac:dyDescent="0.25">
      <c r="A50" t="str">
        <v>0018DARKH0010</v>
      </c>
      <c r="B50" t="str">
        <v>RPN02011402X</v>
      </c>
      <c r="C50" t="str">
        <v>caja</v>
      </c>
      <c r="D50">
        <v>400</v>
      </c>
      <c r="E50" t="str">
        <v>CAJA GRANDE P/HAMBURGUESA DARNEL NATURAL MOCA PAQX50 Un.</v>
      </c>
      <c r="F50" t="str">
        <v>Nuevo</v>
      </c>
      <c r="G50">
        <v>55794</v>
      </c>
    </row>
    <row r="51" spans="1:7" x14ac:dyDescent="0.25">
      <c r="A51" t="str">
        <v>PORTA VASO CARTULINA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t="str">
        <v>0018ESV00003</v>
      </c>
      <c r="B52">
        <v>0</v>
      </c>
      <c r="C52" t="str">
        <v>caja</v>
      </c>
      <c r="D52">
        <v>400</v>
      </c>
      <c r="E52" t="str">
        <v xml:space="preserve">PORTA VASOS DE CARTULINA </v>
      </c>
      <c r="F52">
        <v>0</v>
      </c>
      <c r="G52">
        <v>54611</v>
      </c>
    </row>
    <row r="53" spans="1:7" x14ac:dyDescent="0.25">
      <c r="A53" t="str">
        <v>PAPEL SEDA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tr">
        <v>0002SED75100</v>
      </c>
      <c r="B54">
        <v>0</v>
      </c>
      <c r="C54" t="str">
        <v>res</v>
      </c>
      <c r="D54">
        <v>1</v>
      </c>
      <c r="E54" t="str">
        <v>PAPEL SEDA 75 x 100 cm.</v>
      </c>
      <c r="F54" t="str">
        <v>Resma 5 KG.</v>
      </c>
      <c r="G54">
        <v>26092</v>
      </c>
    </row>
    <row r="55" spans="1:7" x14ac:dyDescent="0.25">
      <c r="A55" t="str">
        <v>BANDEJAS KRAFT MICROCORRUGADAS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tr">
        <v>0012COM00052</v>
      </c>
      <c r="B56">
        <v>0</v>
      </c>
      <c r="C56" t="str">
        <v>caja</v>
      </c>
      <c r="D56">
        <v>600</v>
      </c>
      <c r="E56" t="str">
        <v>BAND. Kraft puro CARTULINA Nro 2 (10 x 6,5 x 3 cm)</v>
      </c>
      <c r="F56" t="str">
        <v>3 paq x 200 Un.</v>
      </c>
      <c r="G56">
        <v>37544</v>
      </c>
    </row>
    <row r="57" spans="1:7" x14ac:dyDescent="0.25">
      <c r="A57" t="str">
        <v>0012COM10012</v>
      </c>
      <c r="B57">
        <v>0</v>
      </c>
      <c r="C57" t="str">
        <v>caja</v>
      </c>
      <c r="D57">
        <v>400</v>
      </c>
      <c r="E57" t="str">
        <v>BAND Kraft microcorr IMPRESA nro 2 (17x13,8x1,5 cm)</v>
      </c>
      <c r="F57" t="str">
        <v>4 paq x 100 Un.</v>
      </c>
      <c r="G57">
        <v>33673</v>
      </c>
    </row>
    <row r="58" spans="1:7" x14ac:dyDescent="0.25">
      <c r="A58" t="str">
        <v>0012COM10013</v>
      </c>
      <c r="B58">
        <v>0</v>
      </c>
      <c r="C58" t="str">
        <v>caja</v>
      </c>
      <c r="D58">
        <v>400</v>
      </c>
      <c r="E58" t="str">
        <v>BAND Kraft microcorr IMPRESA nro 3  (20,5x18x2 cm)</v>
      </c>
      <c r="F58" t="str">
        <v>4 paq x 100 Un.</v>
      </c>
      <c r="G58">
        <v>39055</v>
      </c>
    </row>
    <row r="59" spans="1:7" x14ac:dyDescent="0.25">
      <c r="A59" t="str">
        <v>0012COM10014</v>
      </c>
      <c r="B59">
        <v>0</v>
      </c>
      <c r="C59" t="str">
        <v>caja</v>
      </c>
      <c r="D59">
        <v>400</v>
      </c>
      <c r="E59" t="str">
        <v>BAND Kraft microcorr. IMPRESA nro 4  (23,3x18x2 cm)</v>
      </c>
      <c r="F59" t="str">
        <v>4 paq x 100 Un.</v>
      </c>
      <c r="G59">
        <v>49140</v>
      </c>
    </row>
    <row r="60" spans="1:7" x14ac:dyDescent="0.25">
      <c r="A60" t="str">
        <v>0012COM10015</v>
      </c>
      <c r="B60">
        <v>0</v>
      </c>
      <c r="C60" t="str">
        <v>caja</v>
      </c>
      <c r="D60">
        <v>200</v>
      </c>
      <c r="E60" t="str">
        <v>BAND Kraft microcorr IMPRESA nro 5  (27x20,5x2,3 cm)</v>
      </c>
      <c r="F60" t="str">
        <v>2 paq x 100 Un.</v>
      </c>
      <c r="G60">
        <v>30348</v>
      </c>
    </row>
    <row r="61" spans="1:7" x14ac:dyDescent="0.25">
      <c r="A61" t="str">
        <v>0012COM10016</v>
      </c>
      <c r="B61">
        <v>0</v>
      </c>
      <c r="C61" t="str">
        <v>caja</v>
      </c>
      <c r="D61">
        <v>200</v>
      </c>
      <c r="E61" t="str">
        <v>BAND Kraft microcorr IMPRESA nro 6  (19x14x4 cm)</v>
      </c>
      <c r="F61" t="str">
        <v>2 paq x 100 Un.</v>
      </c>
      <c r="G61">
        <v>28301</v>
      </c>
    </row>
    <row r="62" spans="1:7" x14ac:dyDescent="0.25">
      <c r="A62" t="str">
        <v>0012COM10017</v>
      </c>
      <c r="B62">
        <v>0</v>
      </c>
      <c r="C62" t="str">
        <v>caja</v>
      </c>
      <c r="D62">
        <v>200</v>
      </c>
      <c r="E62" t="str">
        <v xml:space="preserve">BAND Kraft microcorr IMPRESA nro 7 (23x17x3,5 cm) </v>
      </c>
      <c r="F62" t="str">
        <v>2 paq x 100 Un.</v>
      </c>
      <c r="G62">
        <v>34372</v>
      </c>
    </row>
    <row r="63" spans="1:7" x14ac:dyDescent="0.25">
      <c r="A63" t="str">
        <v>BOLSAS DE PAPEL  Y  SERVILLETAS ENSOBRADAS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tr">
        <v>0004KRA00090</v>
      </c>
      <c r="B64">
        <v>0</v>
      </c>
      <c r="C64" t="str">
        <v>paq</v>
      </c>
      <c r="D64">
        <v>250</v>
      </c>
      <c r="E64" t="str">
        <v>BOLSA CHICA PAPEL KRAFT Impresa "Delivery"</v>
      </c>
      <c r="F64" t="str">
        <v>370x200x120mm</v>
      </c>
      <c r="G64">
        <v>21515</v>
      </c>
    </row>
    <row r="65" spans="1:7" x14ac:dyDescent="0.25">
      <c r="A65" t="str">
        <v>0004KRA00091</v>
      </c>
      <c r="B65">
        <v>0</v>
      </c>
      <c r="C65" t="str">
        <v>paq</v>
      </c>
      <c r="D65">
        <v>250</v>
      </c>
      <c r="E65" t="str">
        <v>BOLSA GRANDE PAPEL KRAFT Impresa "Delivery"</v>
      </c>
      <c r="F65" t="str">
        <v>470x200x120mm</v>
      </c>
      <c r="G65">
        <v>26260</v>
      </c>
    </row>
    <row r="66" spans="1:7" x14ac:dyDescent="0.25">
      <c r="A66" t="str">
        <v>0005SERZ0001</v>
      </c>
      <c r="B66">
        <v>0</v>
      </c>
      <c r="C66" t="str">
        <v>paq</v>
      </c>
      <c r="D66">
        <v>500</v>
      </c>
      <c r="E66" t="str">
        <v>SERVILLETAS PAPEL KRAFT Ensobradas (2 Un x sobre)</v>
      </c>
      <c r="F66" t="str">
        <v>400x145 mm</v>
      </c>
      <c r="G66">
        <v>21216</v>
      </c>
    </row>
    <row r="67" spans="1:7" x14ac:dyDescent="0.25">
      <c r="A67" t="str">
        <v>0027LIG00030</v>
      </c>
      <c r="B67" t="str">
        <v>SA135-300-500L</v>
      </c>
      <c r="C67" t="str">
        <v>Rollo</v>
      </c>
      <c r="D67">
        <v>1</v>
      </c>
      <c r="E67" t="str">
        <v>PVC 300mm (12") 300MM x 500 MTS.</v>
      </c>
      <c r="F67">
        <v>0</v>
      </c>
      <c r="G67">
        <v>13343</v>
      </c>
    </row>
    <row r="68" spans="1:7" x14ac:dyDescent="0.25">
      <c r="A68" t="str">
        <v>0027LIG00038</v>
      </c>
      <c r="B68" t="str">
        <v>SA135-380-500L</v>
      </c>
      <c r="C68" t="str">
        <v>Rollo</v>
      </c>
      <c r="D68">
        <v>1</v>
      </c>
      <c r="E68" t="str">
        <v>PVC 380mm (15") 380MM x 500 MTS.</v>
      </c>
      <c r="F68">
        <v>0</v>
      </c>
      <c r="G68">
        <v>16489</v>
      </c>
    </row>
    <row r="69" spans="1:7" x14ac:dyDescent="0.25">
      <c r="A69" t="str">
        <v>0027LIG00045</v>
      </c>
      <c r="B69" t="str">
        <v>SA135-450-500L</v>
      </c>
      <c r="C69" t="str">
        <v>Rollo</v>
      </c>
      <c r="D69">
        <v>1</v>
      </c>
      <c r="E69" t="str">
        <v>PVC 450mm (18") 450MM  x 500 MTS.</v>
      </c>
      <c r="F69">
        <v>0</v>
      </c>
      <c r="G69">
        <v>19249</v>
      </c>
    </row>
    <row r="70" spans="1:7" x14ac:dyDescent="0.25">
      <c r="A70" t="str">
        <v>PVC DARNEL 1000 Mts.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tr">
        <v>0027LIG01012</v>
      </c>
      <c r="B71" t="str">
        <v>SA1D353001000</v>
      </c>
      <c r="C71" t="str">
        <v>Rollo</v>
      </c>
      <c r="D71">
        <v>1</v>
      </c>
      <c r="E71" t="str">
        <v>PVC ECONO FILM 12" (300MM x 1000 MTS.)</v>
      </c>
      <c r="F71">
        <v>0</v>
      </c>
      <c r="G71">
        <v>23283</v>
      </c>
    </row>
    <row r="72" spans="1:7" x14ac:dyDescent="0.25">
      <c r="A72" t="str">
        <v>0027LIG01015</v>
      </c>
      <c r="B72" t="str">
        <v>SA1D353801000</v>
      </c>
      <c r="C72" t="str">
        <v>Rollo</v>
      </c>
      <c r="D72">
        <v>1</v>
      </c>
      <c r="E72" t="str">
        <v>PVC ECONO FILM 15" (380MM x 1000 MTS.)</v>
      </c>
      <c r="F72">
        <v>0</v>
      </c>
      <c r="G72">
        <v>29490</v>
      </c>
    </row>
    <row r="73" spans="1:7" x14ac:dyDescent="0.25">
      <c r="A73" t="str">
        <v>0027LIG01018</v>
      </c>
      <c r="B73" t="str">
        <v>SA1D354501000</v>
      </c>
      <c r="C73" t="str">
        <v>Rollo</v>
      </c>
      <c r="D73">
        <v>1</v>
      </c>
      <c r="E73" t="str">
        <v>PVC ECONO FILM 18" (450MM x 1000 MTS.)</v>
      </c>
      <c r="F73">
        <v>0</v>
      </c>
      <c r="G73">
        <v>34282</v>
      </c>
    </row>
    <row r="74" spans="1:7" x14ac:dyDescent="0.25">
      <c r="A74" t="str">
        <v>PVC DARNEL 1400 Mts.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tr">
        <v>0027EST00012</v>
      </c>
      <c r="B75" t="str">
        <v>SA1D35-300-1400</v>
      </c>
      <c r="C75" t="str">
        <v>Rollo</v>
      </c>
      <c r="D75">
        <v>1</v>
      </c>
      <c r="E75" t="str">
        <v>PVC 12 " (300 MM X 1400 MTS.)</v>
      </c>
      <c r="F75">
        <v>0</v>
      </c>
      <c r="G75">
        <v>34508</v>
      </c>
    </row>
    <row r="76" spans="1:7" x14ac:dyDescent="0.25">
      <c r="A76" t="str">
        <v>0027EST00015</v>
      </c>
      <c r="B76" t="str">
        <v>SA1D35-380-1400</v>
      </c>
      <c r="C76" t="str">
        <v>Rollo</v>
      </c>
      <c r="D76">
        <v>1</v>
      </c>
      <c r="E76" t="str">
        <v>PVC 15 " (380MM X 1400 MTS.)</v>
      </c>
      <c r="F76">
        <v>0</v>
      </c>
      <c r="G76">
        <v>43780</v>
      </c>
    </row>
    <row r="77" spans="1:7" x14ac:dyDescent="0.25">
      <c r="A77" t="str">
        <v>0027EST00018</v>
      </c>
      <c r="B77" t="str">
        <v>SA1D35-450-1400</v>
      </c>
      <c r="C77" t="str">
        <v>Rollo</v>
      </c>
      <c r="D77">
        <v>1</v>
      </c>
      <c r="E77" t="str">
        <v>PVC 18 " (450MM X 1400 MTS.)</v>
      </c>
      <c r="F77">
        <v>0</v>
      </c>
      <c r="G77">
        <v>51888</v>
      </c>
    </row>
    <row r="78" spans="1:7" x14ac:dyDescent="0.25">
      <c r="A78" t="str">
        <v>PVC LINEA TAMI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tr">
        <v>0027TAM28050</v>
      </c>
      <c r="B79" t="str">
        <v>ST2-280-50R</v>
      </c>
      <c r="C79" t="str">
        <v>Rollo</v>
      </c>
      <c r="D79">
        <v>1</v>
      </c>
      <c r="E79" t="str">
        <v>PVC TAMI WRAP 280 MM X 50 MTS</v>
      </c>
      <c r="F79" t="str">
        <v>35 unid./caja</v>
      </c>
      <c r="G79">
        <v>1375</v>
      </c>
    </row>
    <row r="80" spans="1:7" x14ac:dyDescent="0.25">
      <c r="A80" t="str">
        <v>0027TAM28100</v>
      </c>
      <c r="B80" t="str">
        <v>ST2-280-100R</v>
      </c>
      <c r="C80" t="str">
        <v>Rollo</v>
      </c>
      <c r="D80">
        <v>1</v>
      </c>
      <c r="E80" t="str">
        <v>PVC TAMI WRAP 280 MM X 100 MTS</v>
      </c>
      <c r="F80" t="str">
        <v>24 unid./caja</v>
      </c>
      <c r="G80">
        <v>2287</v>
      </c>
    </row>
    <row r="81" spans="1:7" x14ac:dyDescent="0.25">
      <c r="A81" t="str">
        <v>PVC LINEA DOMESTICA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tr">
        <v>0027REP00282</v>
      </c>
      <c r="B82" t="str">
        <v>ST3-280-200</v>
      </c>
      <c r="C82" t="str">
        <v>Rollo</v>
      </c>
      <c r="D82">
        <v>1</v>
      </c>
      <c r="E82" t="str">
        <v>PVC REPUESTO 12" (300MM X  200 MTS)</v>
      </c>
      <c r="F82" t="str">
        <v>15 unid./caja</v>
      </c>
      <c r="G82">
        <v>4416</v>
      </c>
    </row>
    <row r="83" spans="1:7" x14ac:dyDescent="0.25">
      <c r="A83" t="str">
        <v>0027REP00382</v>
      </c>
      <c r="B83" t="str">
        <v>ST3-380-200</v>
      </c>
      <c r="C83" t="str">
        <v>Rollo</v>
      </c>
      <c r="D83">
        <v>1</v>
      </c>
      <c r="E83" t="str">
        <v>PVC REPUESTO 15" (380MM X  200 MTS)</v>
      </c>
      <c r="F83" t="str">
        <v>15 Unid./caja</v>
      </c>
      <c r="G83">
        <v>5733</v>
      </c>
    </row>
    <row r="84" spans="1:7" x14ac:dyDescent="0.25">
      <c r="A84" t="str">
        <v>0027REP00015</v>
      </c>
      <c r="B84" t="str">
        <v>SD135-380-300R</v>
      </c>
      <c r="C84" t="str">
        <v>Rollo</v>
      </c>
      <c r="D84">
        <v>1</v>
      </c>
      <c r="E84" t="str">
        <v>PVC REPUESTO 15" (380MM X 300 MTS.)</v>
      </c>
      <c r="F84" t="str">
        <v>12 unid./caja</v>
      </c>
      <c r="G84">
        <v>9255</v>
      </c>
    </row>
    <row r="85" spans="1:7" x14ac:dyDescent="0.25">
      <c r="A85" t="str">
        <v>0027REP00030</v>
      </c>
      <c r="B85" t="str">
        <v>SD135-380-300D</v>
      </c>
      <c r="C85" t="str">
        <v>Rollo</v>
      </c>
      <c r="D85">
        <v>1</v>
      </c>
      <c r="E85" t="str">
        <v>REPUESTO 15" (380MM X 300 MTS.) C/Dispenser</v>
      </c>
      <c r="F85" t="str">
        <v>6 unid./caja</v>
      </c>
      <c r="G85">
        <v>13184</v>
      </c>
    </row>
    <row r="86" spans="1:7" x14ac:dyDescent="0.25">
      <c r="A86" t="str">
        <v>0027REP00018</v>
      </c>
      <c r="B86" t="str">
        <v>SD135-450-300DRB</v>
      </c>
      <c r="C86" t="str">
        <v>Rollo</v>
      </c>
      <c r="D86">
        <v>1</v>
      </c>
      <c r="E86" t="str">
        <v>PVC REPUESTO 18" (450MM X 300 MTS)</v>
      </c>
      <c r="F86" t="str">
        <v>12 unid./caja</v>
      </c>
      <c r="G86">
        <v>11297</v>
      </c>
    </row>
    <row r="87" spans="1:7" x14ac:dyDescent="0.25">
      <c r="A87" t="str">
        <v>0027REP00036</v>
      </c>
      <c r="B87" t="str">
        <v>SD135-450-300D</v>
      </c>
      <c r="C87" t="str">
        <v>Rollo</v>
      </c>
      <c r="D87">
        <v>1</v>
      </c>
      <c r="E87" t="str">
        <v>PVC REPUESTO 18" (450mm X 300mts) C/Dispenser</v>
      </c>
      <c r="F87" t="str">
        <v>6 unid./caja</v>
      </c>
      <c r="G87">
        <v>14713</v>
      </c>
    </row>
    <row r="88" spans="1:7" x14ac:dyDescent="0.25">
      <c r="A88" t="str">
        <v>PVC LINEA BIODEGRADABLE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tr">
        <v>0027BIO38100</v>
      </c>
      <c r="B89" t="str">
        <v>SA4B35-380-1000</v>
      </c>
      <c r="C89" t="str">
        <v>Rollo</v>
      </c>
      <c r="D89">
        <v>1</v>
      </c>
      <c r="E89" t="str">
        <v>PVC BIODEG. DARNEL 380MM X 1000 MTS</v>
      </c>
      <c r="F89">
        <v>0</v>
      </c>
      <c r="G89">
        <v>33577</v>
      </c>
    </row>
    <row r="90" spans="1:7" x14ac:dyDescent="0.25">
      <c r="A90" t="str">
        <v>0027BIO28100</v>
      </c>
      <c r="B90" t="str">
        <v>SA4B31-280-100DR</v>
      </c>
      <c r="C90" t="str">
        <v>Rollo</v>
      </c>
      <c r="D90">
        <v>1</v>
      </c>
      <c r="E90" t="str">
        <v>PVC BIODEG. DARNEL  280MM X 100 MTS</v>
      </c>
      <c r="F90" t="str">
        <v>24 unid./caja</v>
      </c>
      <c r="G90">
        <v>2683</v>
      </c>
    </row>
    <row r="91" spans="1:7" x14ac:dyDescent="0.25">
      <c r="A91" t="str">
        <v>0027BIO28300</v>
      </c>
      <c r="B91" t="str">
        <v>SA4B31-280-300D</v>
      </c>
      <c r="C91" t="str">
        <v>Rollo</v>
      </c>
      <c r="D91">
        <v>1</v>
      </c>
      <c r="E91" t="str">
        <v>PVC BIODEG DARNEL 280mm x 300 Mts C/Dispenser</v>
      </c>
      <c r="F91" t="str">
        <v>6 unid./caja</v>
      </c>
      <c r="G91">
        <v>9310</v>
      </c>
    </row>
    <row r="92" spans="1:7" x14ac:dyDescent="0.25">
      <c r="A92" t="str">
        <v>0034CON00020</v>
      </c>
      <c r="B92" t="str">
        <v>D742801RLFY</v>
      </c>
      <c r="C92" t="str">
        <v>paq</v>
      </c>
      <c r="D92">
        <v>100</v>
      </c>
      <c r="E92" t="str">
        <v xml:space="preserve">PLATO TERMICO C/TAPA R102  850ml (base/tapa) </v>
      </c>
      <c r="F92" t="str">
        <v>diam 190x50mm</v>
      </c>
      <c r="G92">
        <v>24084</v>
      </c>
    </row>
    <row r="93" spans="1:7" x14ac:dyDescent="0.25">
      <c r="A93" t="str">
        <v>0034CON00021</v>
      </c>
      <c r="B93" t="str">
        <v>D741701RY</v>
      </c>
      <c r="C93" t="str">
        <v>paq</v>
      </c>
      <c r="D93">
        <v>100</v>
      </c>
      <c r="E93" t="str">
        <v xml:space="preserve">PLATO TERMICO C/TAPA R100  500ml (base/tapa) </v>
      </c>
      <c r="F93" t="str">
        <v>diam 190x35mm</v>
      </c>
      <c r="G93">
        <v>24509</v>
      </c>
    </row>
    <row r="94" spans="1:7" x14ac:dyDescent="0.25">
      <c r="A94" t="str">
        <v>0034CON00022</v>
      </c>
      <c r="B94" t="str">
        <v>D744001RY</v>
      </c>
      <c r="C94" t="str">
        <v>paq</v>
      </c>
      <c r="D94">
        <v>100</v>
      </c>
      <c r="E94" t="str">
        <v xml:space="preserve">PLATO TERMICO C/TAPA R104 1200ml (base/tapa) </v>
      </c>
      <c r="F94" t="str">
        <v>diam 190x68mm</v>
      </c>
      <c r="G94">
        <v>28822</v>
      </c>
    </row>
    <row r="95" spans="1:7" x14ac:dyDescent="0.25">
      <c r="A95" t="str">
        <v>PLATOS ESPUMADOS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tr">
        <v>0034DARPWH05</v>
      </c>
      <c r="B96" t="str">
        <v>D5105101NW</v>
      </c>
      <c r="C96" t="str">
        <v>caja</v>
      </c>
      <c r="D96">
        <v>480</v>
      </c>
      <c r="E96" t="str">
        <v>DARNEL PLATO HONDO BLANCO 5oz x 20u.</v>
      </c>
      <c r="F96" t="str">
        <v>Nuevo</v>
      </c>
      <c r="G96">
        <v>15646</v>
      </c>
    </row>
    <row r="97" spans="1:7" x14ac:dyDescent="0.25">
      <c r="A97" t="str">
        <v>0034DARPW0015</v>
      </c>
      <c r="B97" t="str">
        <v>D510601NW</v>
      </c>
      <c r="C97" t="str">
        <v>caja</v>
      </c>
      <c r="D97">
        <v>480</v>
      </c>
      <c r="E97" t="str">
        <v>DARNEL PLATO BLANCO 15,5 cm x 20u.</v>
      </c>
      <c r="F97" t="str">
        <v>Nuevo</v>
      </c>
      <c r="G97">
        <v>22123</v>
      </c>
    </row>
    <row r="98" spans="1:7" x14ac:dyDescent="0.25">
      <c r="A98" t="str">
        <v>0034DARPW0023</v>
      </c>
      <c r="B98" t="str">
        <v>D510901NW</v>
      </c>
      <c r="C98" t="str">
        <v>caja</v>
      </c>
      <c r="D98">
        <v>480</v>
      </c>
      <c r="E98" t="str">
        <v>DARNEL PLATO BLANCO 23 cm x 20u.</v>
      </c>
      <c r="F98" t="str">
        <v>Nuevo</v>
      </c>
      <c r="G98">
        <v>43919</v>
      </c>
    </row>
    <row r="99" spans="1:7" x14ac:dyDescent="0.25">
      <c r="A99" t="str">
        <v>ESTUCHES RECTANGULAR DE EXPANDIDO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tr">
        <v>0034DARP0001</v>
      </c>
      <c r="B100" t="str">
        <v>NUEVO</v>
      </c>
      <c r="C100" t="str">
        <v>Bolson</v>
      </c>
      <c r="D100">
        <v>200</v>
      </c>
      <c r="E100" t="str">
        <v>PORTACOMIDA UY EXPANDIDO NR-J1 S/DIV x 200 un</v>
      </c>
      <c r="F100" t="str">
        <v>230x160x60mm</v>
      </c>
      <c r="G100">
        <v>28791</v>
      </c>
    </row>
    <row r="101" spans="1:7" x14ac:dyDescent="0.25">
      <c r="A101" t="str">
        <v>0034DARP0002</v>
      </c>
      <c r="B101" t="str">
        <v>NUEVO</v>
      </c>
      <c r="C101" t="str">
        <v>Bolson</v>
      </c>
      <c r="D101">
        <v>200</v>
      </c>
      <c r="E101" t="str">
        <v>PORTACOMIDA UY EXPANDIDO NR-J2 C/DIV x 200 un</v>
      </c>
      <c r="F101" t="str">
        <v>230x160x60mm</v>
      </c>
      <c r="G101">
        <v>30819</v>
      </c>
    </row>
    <row r="102" spans="1:7" x14ac:dyDescent="0.25">
      <c r="A102" t="str">
        <v>0034DARP0011</v>
      </c>
      <c r="B102" t="str">
        <v>NUEVO</v>
      </c>
      <c r="C102" t="str">
        <v>Bolson</v>
      </c>
      <c r="D102">
        <v>200</v>
      </c>
      <c r="E102" t="str">
        <v>PORTACOMIDA Uy EXPAND. NR-J1 BIO S/DIV x 200un</v>
      </c>
      <c r="F102" t="str">
        <v>230x160x60mm</v>
      </c>
      <c r="G102">
        <v>34510</v>
      </c>
    </row>
    <row r="103" spans="1:7" x14ac:dyDescent="0.25">
      <c r="A103" t="str">
        <v>0034DARP0022</v>
      </c>
      <c r="B103" t="str">
        <v>NUEVO</v>
      </c>
      <c r="C103" t="str">
        <v>Bolson</v>
      </c>
      <c r="D103">
        <v>200</v>
      </c>
      <c r="E103" t="str">
        <v>PORTACOMIDA UY EXPAND. NR-J2 BIO C/DIV x 200un</v>
      </c>
      <c r="F103" t="str">
        <v>230x160x60mm</v>
      </c>
      <c r="G103">
        <v>36469</v>
      </c>
    </row>
    <row r="104" spans="1:7" x14ac:dyDescent="0.25">
      <c r="A104" t="str">
        <v>ESTUCHES HAMBURGUESA DE EXPANDIDO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tr">
        <v>0034CON00017</v>
      </c>
      <c r="B105" t="str">
        <v>D401101LNWCFY</v>
      </c>
      <c r="C105" t="str">
        <v>paq</v>
      </c>
      <c r="D105">
        <v>400</v>
      </c>
      <c r="E105" t="str">
        <v>ESTUCHE HAMBURGUESA CHICO   G-1</v>
      </c>
      <c r="F105" t="str">
        <v>150x150x75mm</v>
      </c>
      <c r="G105">
        <v>42029</v>
      </c>
    </row>
    <row r="106" spans="1:7" x14ac:dyDescent="0.25">
      <c r="A106" t="str">
        <v>0034CON00018</v>
      </c>
      <c r="B106" t="str">
        <v>D402103CFY</v>
      </c>
      <c r="C106" t="str">
        <v>paq</v>
      </c>
      <c r="D106">
        <v>400</v>
      </c>
      <c r="E106" t="str">
        <v xml:space="preserve">ESTUCHE HAMBURGUESA GRANDE DH-03   </v>
      </c>
      <c r="F106" t="str">
        <v>170x170x80mm</v>
      </c>
      <c r="G106">
        <v>50045</v>
      </c>
    </row>
    <row r="107" spans="1:7" x14ac:dyDescent="0.25">
      <c r="A107" t="str">
        <v>PORTA COMIDAS DE EXPANDIDO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t="str">
        <v>0034CON00010</v>
      </c>
      <c r="B108" t="str">
        <v>D7416015FY</v>
      </c>
      <c r="C108" t="str">
        <v>paq</v>
      </c>
      <c r="D108">
        <v>400</v>
      </c>
      <c r="E108" t="str">
        <v>BANDEJA TERMICA DM70 de 500ml  (simil 102)</v>
      </c>
      <c r="F108" t="str">
        <v>116x162x39mm</v>
      </c>
      <c r="G108">
        <v>29616</v>
      </c>
    </row>
    <row r="109" spans="1:7" x14ac:dyDescent="0.25">
      <c r="A109" t="str">
        <v>0034CON00011</v>
      </c>
      <c r="B109" t="str">
        <v>D7416015LTFY</v>
      </c>
      <c r="C109" t="str">
        <v>paq</v>
      </c>
      <c r="D109">
        <v>400</v>
      </c>
      <c r="E109" t="str">
        <v>TAPA PARA BAND. TERMICA DM70 de 500ml</v>
      </c>
      <c r="F109" t="str">
        <v>130x170x10mm</v>
      </c>
      <c r="G109">
        <v>22679</v>
      </c>
    </row>
    <row r="110" spans="1:7" x14ac:dyDescent="0.25">
      <c r="A110" t="str">
        <v>0034CON00012</v>
      </c>
      <c r="B110" t="str">
        <v>D743001RFY</v>
      </c>
      <c r="C110" t="str">
        <v>paq</v>
      </c>
      <c r="D110">
        <v>200</v>
      </c>
      <c r="E110" t="str">
        <v xml:space="preserve">BANDEJA TERMICA DM90-A3 con 3 DIVIS  900ml  </v>
      </c>
      <c r="F110" t="str">
        <v>162x220x52mm</v>
      </c>
      <c r="G110">
        <v>34952</v>
      </c>
    </row>
    <row r="111" spans="1:7" x14ac:dyDescent="0.25">
      <c r="A111" t="str">
        <v>0034CON00013</v>
      </c>
      <c r="B111" t="str">
        <v>D743401RFY</v>
      </c>
      <c r="C111" t="str">
        <v>paq</v>
      </c>
      <c r="D111">
        <v>200</v>
      </c>
      <c r="E111" t="str">
        <v xml:space="preserve">BANDEJA TERMICA DM90-A1 (1000ml) </v>
      </c>
      <c r="F111" t="str">
        <v>162x220x52mm</v>
      </c>
      <c r="G111">
        <v>28097</v>
      </c>
    </row>
    <row r="112" spans="1:7" x14ac:dyDescent="0.25">
      <c r="A112" t="str">
        <v>0034CON00014</v>
      </c>
      <c r="B112" t="str">
        <v>D742001RLTFY</v>
      </c>
      <c r="C112" t="str">
        <v>paq</v>
      </c>
      <c r="D112">
        <v>200</v>
      </c>
      <c r="E112" t="str">
        <v xml:space="preserve">TAPA PARA BAND. TERMICA DM90 para (900 y 1000ml)  </v>
      </c>
      <c r="F112" t="str">
        <v>173x225x12mm</v>
      </c>
      <c r="G112">
        <v>24555</v>
      </c>
    </row>
    <row r="113" spans="1:7" x14ac:dyDescent="0.25">
      <c r="A113" t="str">
        <v>0034CON00015</v>
      </c>
      <c r="B113" t="str">
        <v>D744101RFY</v>
      </c>
      <c r="C113" t="str">
        <v>paq</v>
      </c>
      <c r="D113">
        <v>200</v>
      </c>
      <c r="E113" t="str">
        <v xml:space="preserve">BANDEJA TERMICA con 3 DIVIS DM100 (1200ml)  </v>
      </c>
      <c r="F113" t="str">
        <v>205x260x40mm</v>
      </c>
      <c r="G113">
        <v>42304</v>
      </c>
    </row>
    <row r="114" spans="1:7" x14ac:dyDescent="0.25">
      <c r="A114" t="str">
        <v>0034CON00016</v>
      </c>
      <c r="B114" t="str">
        <v>D744101RLTFY</v>
      </c>
      <c r="C114" t="str">
        <v>paq</v>
      </c>
      <c r="D114">
        <v>200</v>
      </c>
      <c r="E114" t="str">
        <v>TAPA PARA BAND TERMICA DM 100 (para 1200ml)</v>
      </c>
      <c r="F114" t="str">
        <v>216x275x12mm</v>
      </c>
      <c r="G114">
        <v>40979</v>
      </c>
    </row>
    <row r="115" spans="1:7" x14ac:dyDescent="0.25">
      <c r="A115" t="str">
        <v>0032ECO00615</v>
      </c>
      <c r="B115" t="str">
        <v>D2001001LE</v>
      </c>
      <c r="C115" t="str">
        <v>Bolson</v>
      </c>
      <c r="D115">
        <v>400</v>
      </c>
      <c r="E115" t="str">
        <v>BANDEJA 615 ECO BLANCA</v>
      </c>
      <c r="F115">
        <v>0</v>
      </c>
      <c r="G115">
        <v>23381</v>
      </c>
    </row>
    <row r="116" spans="1:7" x14ac:dyDescent="0.25">
      <c r="A116" t="str">
        <v>0032ECO00617</v>
      </c>
      <c r="B116" t="str">
        <v>D2001101L</v>
      </c>
      <c r="C116" t="str">
        <v>Bolson</v>
      </c>
      <c r="D116">
        <v>400</v>
      </c>
      <c r="E116" t="str">
        <v>BANDEJA 617 ECO BLANCA</v>
      </c>
      <c r="F116">
        <v>0</v>
      </c>
      <c r="G116">
        <v>13789</v>
      </c>
    </row>
    <row r="117" spans="1:7" x14ac:dyDescent="0.25">
      <c r="A117" t="str">
        <v>0032ECO00618</v>
      </c>
      <c r="B117" t="str">
        <v>D2000201LEE</v>
      </c>
      <c r="C117" t="str">
        <v>Bolson</v>
      </c>
      <c r="D117">
        <v>400</v>
      </c>
      <c r="E117" t="str">
        <v>BANDEJA 618 ECO BLANCA</v>
      </c>
      <c r="F117">
        <v>0</v>
      </c>
      <c r="G117">
        <v>17700</v>
      </c>
    </row>
    <row r="118" spans="1:7" x14ac:dyDescent="0.25">
      <c r="A118" t="str">
        <v>0032ECO00619</v>
      </c>
      <c r="B118" t="str">
        <v>D2000401LEE</v>
      </c>
      <c r="C118" t="str">
        <v>Bolson</v>
      </c>
      <c r="D118">
        <v>400</v>
      </c>
      <c r="E118" t="str">
        <v>BANDEJA 619 ECO BLANCA</v>
      </c>
      <c r="F118">
        <v>0</v>
      </c>
      <c r="G118">
        <v>24844</v>
      </c>
    </row>
    <row r="119" spans="1:7" x14ac:dyDescent="0.25">
      <c r="A119" t="str">
        <v>0032ECO00625</v>
      </c>
      <c r="B119" t="str">
        <v>D2000801LE</v>
      </c>
      <c r="C119" t="str">
        <v>Bolson</v>
      </c>
      <c r="D119">
        <v>200</v>
      </c>
      <c r="E119" t="str">
        <v>BANDEJA 625 ECO BLANCA</v>
      </c>
      <c r="F119">
        <v>0</v>
      </c>
      <c r="G119">
        <v>17503</v>
      </c>
    </row>
    <row r="120" spans="1:7" x14ac:dyDescent="0.25">
      <c r="A120" t="str">
        <v>0032ECO00628</v>
      </c>
      <c r="B120" t="str">
        <v>D20028R01LE</v>
      </c>
      <c r="C120" t="str">
        <v>Bolson</v>
      </c>
      <c r="D120">
        <v>200</v>
      </c>
      <c r="E120" t="str">
        <v>BANDEJA 628 ECO BLANCA PIZZERA</v>
      </c>
      <c r="F120">
        <v>0</v>
      </c>
      <c r="G120">
        <v>28905</v>
      </c>
    </row>
    <row r="121" spans="1:7" x14ac:dyDescent="0.25">
      <c r="A121" t="str">
        <v>BANDEJAS DE EXPANDIDO STANDARD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t="str">
        <v>0032STD00615</v>
      </c>
      <c r="B122" t="str">
        <v>D2001001LE</v>
      </c>
      <c r="C122" t="str">
        <v>Bolson</v>
      </c>
      <c r="D122">
        <v>400</v>
      </c>
      <c r="E122" t="str">
        <v>BANDEJA 615 BLANCA Standard</v>
      </c>
      <c r="F122">
        <v>0</v>
      </c>
      <c r="G122">
        <v>28861</v>
      </c>
    </row>
    <row r="123" spans="1:7" x14ac:dyDescent="0.25">
      <c r="A123" t="str">
        <v>0032STD00617</v>
      </c>
      <c r="B123" t="str">
        <v>D2001101LA</v>
      </c>
      <c r="C123" t="str">
        <v>Bolson</v>
      </c>
      <c r="D123">
        <v>400</v>
      </c>
      <c r="E123" t="str">
        <v>BANDEJA 617 BLANCA Standard</v>
      </c>
      <c r="F123">
        <v>0</v>
      </c>
      <c r="G123">
        <v>18115</v>
      </c>
    </row>
    <row r="124" spans="1:7" x14ac:dyDescent="0.25">
      <c r="A124" t="str">
        <v>0032STD00618</v>
      </c>
      <c r="B124" t="str">
        <v>D2000201LE</v>
      </c>
      <c r="C124" t="str">
        <v>Bolson</v>
      </c>
      <c r="D124">
        <v>400</v>
      </c>
      <c r="E124" t="str">
        <v>BANDEJA 618 BLANCA Standard</v>
      </c>
      <c r="F124">
        <v>0</v>
      </c>
      <c r="G124">
        <v>22010</v>
      </c>
    </row>
    <row r="125" spans="1:7" x14ac:dyDescent="0.25">
      <c r="A125" t="str">
        <v>0032STD00619</v>
      </c>
      <c r="B125" t="str">
        <v>D2000401LE</v>
      </c>
      <c r="C125" t="str">
        <v>Bolson</v>
      </c>
      <c r="D125">
        <v>400</v>
      </c>
      <c r="E125" t="str">
        <v>BANDEJA 619 BLANCA Standard</v>
      </c>
      <c r="F125">
        <v>0</v>
      </c>
      <c r="G125">
        <v>30722</v>
      </c>
    </row>
    <row r="126" spans="1:7" x14ac:dyDescent="0.25">
      <c r="A126" t="str">
        <v>0032STD00625</v>
      </c>
      <c r="B126" t="str">
        <v>D2000801L</v>
      </c>
      <c r="C126" t="str">
        <v>Bolson</v>
      </c>
      <c r="D126">
        <v>200</v>
      </c>
      <c r="E126" t="str">
        <v>BANDEJA 625 BLANCA Standard</v>
      </c>
      <c r="F126">
        <v>0</v>
      </c>
      <c r="G126">
        <v>21488</v>
      </c>
    </row>
    <row r="127" spans="1:7" x14ac:dyDescent="0.25">
      <c r="A127" t="str">
        <v>0032STD00628</v>
      </c>
      <c r="B127" t="str">
        <v>D20028R01L</v>
      </c>
      <c r="C127" t="str">
        <v>Bolson</v>
      </c>
      <c r="D127">
        <v>200</v>
      </c>
      <c r="E127" t="str">
        <v>BANDEJA 628 BLANCA PIZZERA Standard</v>
      </c>
      <c r="F127">
        <v>0</v>
      </c>
      <c r="G127">
        <v>37446</v>
      </c>
    </row>
    <row r="128" spans="1:7" x14ac:dyDescent="0.25">
      <c r="A128" t="str">
        <v>OBLEAS DE EXPANDIDO STANDARD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t="str">
        <v>0032STDO0618</v>
      </c>
      <c r="B129" t="str">
        <v>D00211401L</v>
      </c>
      <c r="C129" t="str">
        <v>Bolson</v>
      </c>
      <c r="D129">
        <v>400</v>
      </c>
      <c r="E129" t="str">
        <v>OBLEA 618 BLANCA Standard</v>
      </c>
      <c r="F129">
        <v>0</v>
      </c>
      <c r="G129">
        <v>21712</v>
      </c>
    </row>
    <row r="130" spans="1:7" x14ac:dyDescent="0.25">
      <c r="A130" t="str">
        <v>0032STDO0619</v>
      </c>
      <c r="B130" t="str">
        <v>D00231801L</v>
      </c>
      <c r="C130" t="str">
        <v>Bolson</v>
      </c>
      <c r="D130">
        <v>400</v>
      </c>
      <c r="E130" t="str">
        <v>OBLEA 619 BLANCA Standard</v>
      </c>
      <c r="F130">
        <v>0</v>
      </c>
      <c r="G130">
        <v>27440</v>
      </c>
    </row>
    <row r="131" spans="1:7" x14ac:dyDescent="0.25">
      <c r="A131" t="str">
        <v>BANDEJAS DE EXPANDIDO AUTOABSORBENTES BLANCAS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t="str">
        <v>0031LIE00615</v>
      </c>
      <c r="B132" t="str">
        <v>D2001001LBB</v>
      </c>
      <c r="C132" t="str">
        <v>Bolson</v>
      </c>
      <c r="D132">
        <v>400</v>
      </c>
      <c r="E132" t="str">
        <v>BAND N° 10BB Bca (10SLE BCA) Absorbentes</v>
      </c>
      <c r="F132">
        <v>0</v>
      </c>
      <c r="G132">
        <v>52040</v>
      </c>
    </row>
    <row r="133" spans="1:7" x14ac:dyDescent="0.25">
      <c r="A133" t="str">
        <v>0031LIE00618</v>
      </c>
      <c r="B133" t="str">
        <v>D2000201LBB</v>
      </c>
      <c r="C133" t="str">
        <v>Bolson</v>
      </c>
      <c r="D133">
        <v>400</v>
      </c>
      <c r="E133" t="str">
        <v>BAND N° 2BB  Bca  (2SLE BCA) Absorbentes</v>
      </c>
      <c r="F133">
        <v>0</v>
      </c>
      <c r="G133">
        <v>39300</v>
      </c>
    </row>
    <row r="134" spans="1:7" x14ac:dyDescent="0.25">
      <c r="A134" t="str">
        <v>0031LIE00619</v>
      </c>
      <c r="B134" t="str">
        <v>D2000401LBB</v>
      </c>
      <c r="C134" t="str">
        <v>Bolson</v>
      </c>
      <c r="D134">
        <v>400</v>
      </c>
      <c r="E134" t="str">
        <v>BAND N° 4BB  Bca  (4SLE BCA) Absorbentes</v>
      </c>
      <c r="F134">
        <v>0</v>
      </c>
      <c r="G134">
        <v>52858</v>
      </c>
    </row>
    <row r="135" spans="1:7" x14ac:dyDescent="0.25">
      <c r="A135" t="str">
        <v>0031LIN00625</v>
      </c>
      <c r="B135" t="str">
        <v>D2000801LBBC</v>
      </c>
      <c r="C135" t="str">
        <v>Bolson</v>
      </c>
      <c r="D135">
        <v>200</v>
      </c>
      <c r="E135" t="str">
        <v>BAND N° 8BBC  Bca (8SL BCA) Absorbentes</v>
      </c>
      <c r="F135">
        <v>0</v>
      </c>
      <c r="G135">
        <v>47057</v>
      </c>
    </row>
    <row r="136" spans="1:7" x14ac:dyDescent="0.25">
      <c r="A136" t="str">
        <v>BANDEJAS DE EXPANDIDO STANDARD COLOR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t="str">
        <v>0032STD02615</v>
      </c>
      <c r="B137">
        <v>0</v>
      </c>
      <c r="C137" t="str">
        <v>Bolson</v>
      </c>
      <c r="D137">
        <v>400</v>
      </c>
      <c r="E137" t="str">
        <v>BANDEJA 615 COLOR (AMA, ROSA, NEGRA) Std.</v>
      </c>
      <c r="F137">
        <v>0</v>
      </c>
      <c r="G137">
        <v>30175</v>
      </c>
    </row>
    <row r="138" spans="1:7" x14ac:dyDescent="0.25">
      <c r="A138" t="str">
        <v>0032STD02618</v>
      </c>
      <c r="B138">
        <v>0</v>
      </c>
      <c r="C138" t="str">
        <v>Bolson</v>
      </c>
      <c r="D138">
        <v>400</v>
      </c>
      <c r="E138" t="str">
        <v>BANDEJA 618 COLOR (AMA, ROSA, NEGRA) Std.</v>
      </c>
      <c r="F138">
        <v>0</v>
      </c>
      <c r="G138">
        <v>23685</v>
      </c>
    </row>
    <row r="139" spans="1:7" x14ac:dyDescent="0.25">
      <c r="A139" t="str">
        <v>0032STD02619</v>
      </c>
      <c r="B139">
        <v>0</v>
      </c>
      <c r="C139" t="str">
        <v>Bolson</v>
      </c>
      <c r="D139">
        <v>400</v>
      </c>
      <c r="E139" t="str">
        <v>BANDEJA 619 COLOR (AMA, ROSA, NEGRA) Std.</v>
      </c>
      <c r="F139">
        <v>0</v>
      </c>
      <c r="G139">
        <v>32980</v>
      </c>
    </row>
    <row r="140" spans="1:7" x14ac:dyDescent="0.25">
      <c r="A140" t="str">
        <v>BANDEJAS DE EXPANDIDO REGULARES BIODEGRADABLES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t="str">
        <v>0032BIO00615</v>
      </c>
      <c r="B141" t="str">
        <v>D2001003LE</v>
      </c>
      <c r="C141" t="str">
        <v>Bolson</v>
      </c>
      <c r="D141">
        <v>400</v>
      </c>
      <c r="E141" t="str">
        <v>BAND N° 10 STD Blanca BIO (615 BIO)</v>
      </c>
      <c r="F141">
        <v>0</v>
      </c>
      <c r="G141">
        <v>33143</v>
      </c>
    </row>
    <row r="142" spans="1:7" x14ac:dyDescent="0.25">
      <c r="A142" t="str">
        <v>0032BIO00617</v>
      </c>
      <c r="B142" t="str">
        <v>D2001103LA</v>
      </c>
      <c r="C142" t="str">
        <v>Bolson</v>
      </c>
      <c r="D142">
        <v>400</v>
      </c>
      <c r="E142" t="str">
        <v>BAND N° 11 STD Blanca BIO (617 BIO)</v>
      </c>
      <c r="F142">
        <v>0</v>
      </c>
      <c r="G142">
        <v>20454</v>
      </c>
    </row>
    <row r="143" spans="1:7" x14ac:dyDescent="0.25">
      <c r="A143" t="str">
        <v>0032BIO00618</v>
      </c>
      <c r="B143" t="str">
        <v>D2000203LE</v>
      </c>
      <c r="C143" t="str">
        <v>Bolson</v>
      </c>
      <c r="D143">
        <v>400</v>
      </c>
      <c r="E143" t="str">
        <v>BAND. N° 2 STD Blanca BIO (618 BIO)</v>
      </c>
      <c r="F143">
        <v>0</v>
      </c>
      <c r="G143">
        <v>25667</v>
      </c>
    </row>
    <row r="144" spans="1:7" x14ac:dyDescent="0.25">
      <c r="A144" t="str">
        <v>0032BIO00619</v>
      </c>
      <c r="B144" t="str">
        <v>D2000403LE</v>
      </c>
      <c r="C144" t="str">
        <v>Bolson</v>
      </c>
      <c r="D144">
        <v>400</v>
      </c>
      <c r="E144" t="str">
        <v>BAND. N° 4 STD Blanca BIO (619 BIO)</v>
      </c>
      <c r="F144">
        <v>0</v>
      </c>
      <c r="G144">
        <v>35844</v>
      </c>
    </row>
    <row r="145" spans="1:7" x14ac:dyDescent="0.25">
      <c r="A145" t="str">
        <v>0032BIO00628</v>
      </c>
      <c r="B145" t="str">
        <v>D20028R03L</v>
      </c>
      <c r="C145" t="str">
        <v>Bolson</v>
      </c>
      <c r="D145">
        <v>200</v>
      </c>
      <c r="E145" t="str">
        <v>BAND. N° 28 STD Blanca BIO (628 BIO)</v>
      </c>
      <c r="F145">
        <v>0</v>
      </c>
      <c r="G145">
        <v>0</v>
      </c>
    </row>
    <row r="146" spans="1:7" x14ac:dyDescent="0.25">
      <c r="A146" t="str">
        <v>BANDEJAS DE EXPANDIDO AUTOABSORBENTES BIODEGRADABLES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>
        <v>0</v>
      </c>
      <c r="B147" t="str">
        <v>D2000203LBB</v>
      </c>
      <c r="C147" t="str">
        <v>Bolson</v>
      </c>
      <c r="D147">
        <v>0</v>
      </c>
      <c r="E147" t="str">
        <v>BAND 2SL Absorb. BIO (618 Abs.)</v>
      </c>
      <c r="F147" t="str">
        <v>NUEVO</v>
      </c>
      <c r="G147">
        <v>0</v>
      </c>
    </row>
    <row r="148" spans="1:7" x14ac:dyDescent="0.25">
      <c r="A148">
        <v>0</v>
      </c>
      <c r="B148" t="str">
        <v>D2000403LBB</v>
      </c>
      <c r="C148" t="str">
        <v>Bolson</v>
      </c>
      <c r="D148">
        <v>0</v>
      </c>
      <c r="E148" t="str">
        <v>BAND 4SL Absorb. BIO (619 Abs.)</v>
      </c>
      <c r="F148" t="str">
        <v>NUEVO</v>
      </c>
      <c r="G148">
        <v>0</v>
      </c>
    </row>
    <row r="149" spans="1:7" x14ac:dyDescent="0.25">
      <c r="A149">
        <v>0</v>
      </c>
      <c r="B149" t="str">
        <v>D2001003LBB</v>
      </c>
      <c r="C149" t="str">
        <v>Bolson</v>
      </c>
      <c r="D149">
        <v>0</v>
      </c>
      <c r="E149" t="str">
        <v>BAND 10SL Absorb. BIO (615 Abs.)</v>
      </c>
      <c r="F149" t="str">
        <v>NUEVO</v>
      </c>
      <c r="G149">
        <v>0</v>
      </c>
    </row>
    <row r="150" spans="1:7" x14ac:dyDescent="0.25">
      <c r="A150">
        <v>0</v>
      </c>
      <c r="B150" t="str">
        <v>D2100803LBBA</v>
      </c>
      <c r="C150" t="str">
        <v>Bolson</v>
      </c>
      <c r="D150">
        <v>0</v>
      </c>
      <c r="E150" t="str">
        <v>BAND 8SL Absorb. BIO (625 Abs.)</v>
      </c>
      <c r="F150" t="str">
        <v>NUEVO</v>
      </c>
      <c r="G150">
        <v>0</v>
      </c>
    </row>
    <row r="151" spans="1:7" x14ac:dyDescent="0.25">
      <c r="A151" t="str">
        <v>PORTA COMIDAS DE EXPANDIDO BIO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t="str">
        <v>0034DARPB001</v>
      </c>
      <c r="B152" t="str">
        <v>D403103LNW</v>
      </c>
      <c r="C152" t="str">
        <v>Caja</v>
      </c>
      <c r="D152">
        <v>200</v>
      </c>
      <c r="E152" t="str">
        <v>PORTACOMIDA JL-1  BIO</v>
      </c>
      <c r="F152" t="str">
        <v>Nuevo</v>
      </c>
      <c r="G152">
        <v>45748</v>
      </c>
    </row>
    <row r="153" spans="1:7" x14ac:dyDescent="0.25">
      <c r="A153" t="str">
        <v>0034DARPB002</v>
      </c>
      <c r="B153" t="str">
        <v>D403103NW</v>
      </c>
      <c r="C153" t="str">
        <v>Caja</v>
      </c>
      <c r="D153">
        <v>200</v>
      </c>
      <c r="E153" t="str">
        <v>PORTACOMIDA J-1  BIO</v>
      </c>
      <c r="F153" t="str">
        <v>Nuevo</v>
      </c>
      <c r="G153">
        <v>49737</v>
      </c>
    </row>
    <row r="154" spans="1:7" x14ac:dyDescent="0.25">
      <c r="A154" t="str">
        <v>0034DARPB003</v>
      </c>
      <c r="B154" t="str">
        <v>D405103NW</v>
      </c>
      <c r="C154" t="str">
        <v>Caja</v>
      </c>
      <c r="D154">
        <v>200</v>
      </c>
      <c r="E154" t="str">
        <v>PORTACOMIDA  P-1  BIO</v>
      </c>
      <c r="F154" t="str">
        <v>Nuevo</v>
      </c>
      <c r="G154">
        <v>52087</v>
      </c>
    </row>
    <row r="155" spans="1:7" x14ac:dyDescent="0.25">
      <c r="A155" t="str">
        <v>0034DARPB004</v>
      </c>
      <c r="B155" t="str">
        <v>D405303NW</v>
      </c>
      <c r="C155" t="str">
        <v>Caja</v>
      </c>
      <c r="D155">
        <v>200</v>
      </c>
      <c r="E155" t="str">
        <v>PORTACOMIDA P-3 (3 Div.)  BIO</v>
      </c>
      <c r="F155" t="str">
        <v>Nuevo</v>
      </c>
      <c r="G155">
        <v>50977</v>
      </c>
    </row>
    <row r="156" spans="1:7" x14ac:dyDescent="0.25">
      <c r="A156" t="str">
        <v>0063DAR00003</v>
      </c>
      <c r="B156" t="str">
        <v>Q12301000Y</v>
      </c>
      <c r="C156" t="str">
        <v>Rollo</v>
      </c>
      <c r="D156">
        <v>9</v>
      </c>
      <c r="E156" t="str">
        <v>Papel ALUMINIO 30cm x 100mts c/Dispens.</v>
      </c>
      <c r="F156" t="str">
        <v>9 unid x caja</v>
      </c>
      <c r="G156">
        <v>176828.93280000001</v>
      </c>
    </row>
    <row r="157" spans="1:7" x14ac:dyDescent="0.25">
      <c r="A157" t="str">
        <v>0063DAR00004</v>
      </c>
      <c r="B157" t="str">
        <v>Q12300040Y</v>
      </c>
      <c r="C157" t="str">
        <v>Rollo</v>
      </c>
      <c r="D157">
        <v>25</v>
      </c>
      <c r="E157" t="str">
        <v>Papel ALUMINO 30cm x 4mts</v>
      </c>
      <c r="F157" t="str">
        <v>25 un. x caja</v>
      </c>
      <c r="G157">
        <v>25791.2304</v>
      </c>
    </row>
    <row r="158" spans="1:7" x14ac:dyDescent="0.25">
      <c r="A158" t="str">
        <v>0063DAR00005</v>
      </c>
      <c r="B158" t="str">
        <v>Q12300075Y</v>
      </c>
      <c r="C158" t="str">
        <v>Rollo</v>
      </c>
      <c r="D158">
        <v>25</v>
      </c>
      <c r="E158" t="str">
        <v>Papel ALUMINO 30cm x 7,5mts</v>
      </c>
      <c r="F158" t="str">
        <v>25 un. x caja</v>
      </c>
      <c r="G158">
        <v>42004.664000000004</v>
      </c>
    </row>
    <row r="159" spans="1:7" x14ac:dyDescent="0.25">
      <c r="A159" t="str">
        <v>0063DAR00006</v>
      </c>
      <c r="B159" t="str">
        <v>Q12450040Y</v>
      </c>
      <c r="C159" t="str">
        <v>Rollo</v>
      </c>
      <c r="D159">
        <v>25</v>
      </c>
      <c r="E159" t="str">
        <v>Papel ALUMINO 45cm x 4mts</v>
      </c>
      <c r="F159" t="str">
        <v>25 un. x caja</v>
      </c>
      <c r="G159">
        <v>42351.360000000001</v>
      </c>
    </row>
    <row r="160" spans="1:7" x14ac:dyDescent="0.25">
      <c r="A160" t="str">
        <v>0063DAR00007</v>
      </c>
      <c r="B160" t="str">
        <v>Q12450650Y</v>
      </c>
      <c r="C160" t="str">
        <v>Rollo</v>
      </c>
      <c r="D160">
        <v>9</v>
      </c>
      <c r="E160" t="str">
        <v>Papel ALUMINO 45cm x 65mts c/Dispens.</v>
      </c>
      <c r="F160" t="str">
        <v>9 unid x caja</v>
      </c>
      <c r="G160">
        <v>193448.47139999998</v>
      </c>
    </row>
    <row r="161" spans="1:7" x14ac:dyDescent="0.25">
      <c r="A161" t="str">
        <v>0063DAR00008</v>
      </c>
      <c r="B161" t="str">
        <v>Q12450075Y</v>
      </c>
      <c r="C161" t="str">
        <v>Rollo</v>
      </c>
      <c r="D161">
        <v>25</v>
      </c>
      <c r="E161" t="str">
        <v>Papel ALUMINO 45cm x 7,5mts</v>
      </c>
      <c r="F161" t="str">
        <v>25 un. x caja</v>
      </c>
      <c r="G161">
        <v>68530.261799999993</v>
      </c>
    </row>
    <row r="162" spans="1:7" x14ac:dyDescent="0.25">
      <c r="A162" t="str">
        <v>0063ROL00001</v>
      </c>
      <c r="B162">
        <v>0</v>
      </c>
      <c r="C162" t="str">
        <v>Rollo</v>
      </c>
      <c r="D162">
        <v>1</v>
      </c>
      <c r="E162" t="str">
        <v>ROLLO ALUMINIO X 1KG.</v>
      </c>
      <c r="F162" t="str">
        <v>1 un x caja</v>
      </c>
      <c r="G162">
        <v>18866.4944</v>
      </c>
    </row>
    <row r="163" spans="1:7" x14ac:dyDescent="0.25">
      <c r="A163" t="str">
        <v>BANDEJAS CON TAPA CARTON ALUMINIZADO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t="str">
        <v>0061DAR00008</v>
      </c>
      <c r="B164" t="str">
        <v>Q510135RY</v>
      </c>
      <c r="C164" t="str">
        <v>Caja</v>
      </c>
      <c r="D164">
        <v>100</v>
      </c>
      <c r="E164" t="str">
        <v>Bandeja Rectangular Chica 4,5oz (135ml) Con Tapa - DSM</v>
      </c>
      <c r="F164" t="str">
        <v>9,8x7,8x2,8cm</v>
      </c>
      <c r="G164">
        <v>8250</v>
      </c>
    </row>
    <row r="165" spans="1:7" x14ac:dyDescent="0.25">
      <c r="A165" t="str">
        <v>0061DAR00003</v>
      </c>
      <c r="B165" t="str">
        <v>Q520220RY</v>
      </c>
      <c r="C165" t="str">
        <v>Caja</v>
      </c>
      <c r="D165">
        <v>200</v>
      </c>
      <c r="E165" t="str">
        <v>Bandeja Rectang. Chica 8oz (220ml) Con Tapa - DA12</v>
      </c>
      <c r="F165" t="str">
        <v>12,6x9,8x2,6cm</v>
      </c>
      <c r="G165">
        <v>21726</v>
      </c>
    </row>
    <row r="166" spans="1:7" x14ac:dyDescent="0.25">
      <c r="A166" t="str">
        <v>0061DAR00012</v>
      </c>
      <c r="B166" t="str">
        <v>Q510500RSTY</v>
      </c>
      <c r="C166" t="str">
        <v>Caja</v>
      </c>
      <c r="D166">
        <v>100</v>
      </c>
      <c r="E166" t="str">
        <v>Band. Rectangular Mediana 16oz SinTapa - DA6-F50</v>
      </c>
      <c r="F166" t="str">
        <v>16,5x12,4x3,5cm</v>
      </c>
      <c r="G166">
        <v>14917</v>
      </c>
    </row>
    <row r="167" spans="1:7" x14ac:dyDescent="0.25">
      <c r="A167" t="str">
        <v>0061DAR00011</v>
      </c>
      <c r="B167" t="str">
        <v>Q510500RY</v>
      </c>
      <c r="C167" t="str">
        <v>Caja</v>
      </c>
      <c r="D167">
        <v>100</v>
      </c>
      <c r="E167" t="str">
        <v>Band. Rectangular Mediana 16oz ConTapa - DA6-F50</v>
      </c>
      <c r="F167" t="str">
        <v>16,5x12,4x3,5cm</v>
      </c>
      <c r="G167">
        <v>17997</v>
      </c>
    </row>
    <row r="168" spans="1:7" x14ac:dyDescent="0.25">
      <c r="A168" t="str">
        <v>0061DAR00002</v>
      </c>
      <c r="B168" t="str">
        <v>Q510650RY</v>
      </c>
      <c r="C168" t="str">
        <v>Caja</v>
      </c>
      <c r="D168">
        <v>100</v>
      </c>
      <c r="E168" t="str">
        <v>Band. Rectang. Budin Ingles 20oz Sin Tapa - DA10</v>
      </c>
      <c r="F168" t="str">
        <v>21,2x10,2x4,3cm</v>
      </c>
      <c r="G168">
        <v>16314</v>
      </c>
    </row>
    <row r="169" spans="1:7" x14ac:dyDescent="0.25">
      <c r="A169" t="str">
        <v>0061DAR00007</v>
      </c>
      <c r="B169" t="str">
        <v>Q510750RSTY</v>
      </c>
      <c r="C169" t="str">
        <v>Caja</v>
      </c>
      <c r="D169">
        <v>100</v>
      </c>
      <c r="E169" t="str">
        <v>Bandeja Rectangular 24oz Sin Tapa - DA7-F75</v>
      </c>
      <c r="F169" t="str">
        <v>20,6x13,8x3,3cm</v>
      </c>
      <c r="G169">
        <v>19027</v>
      </c>
    </row>
    <row r="170" spans="1:7" x14ac:dyDescent="0.25">
      <c r="A170" t="str">
        <v>0061DAR00004</v>
      </c>
      <c r="B170" t="str">
        <v>Q510750RY</v>
      </c>
      <c r="C170" t="str">
        <v>Caja</v>
      </c>
      <c r="D170">
        <v>100</v>
      </c>
      <c r="E170" t="str">
        <v>Bandeja Rectangular 24oz Con Tapa - DA7-F75</v>
      </c>
      <c r="F170" t="str">
        <v>20,6x13,8x3,3cm</v>
      </c>
      <c r="G170">
        <v>26629</v>
      </c>
    </row>
    <row r="171" spans="1:7" x14ac:dyDescent="0.25">
      <c r="A171" t="str">
        <v>0061DAR00010</v>
      </c>
      <c r="B171" t="str">
        <v>Q511000RSTY</v>
      </c>
      <c r="C171" t="str">
        <v>Caja</v>
      </c>
      <c r="D171">
        <v>100</v>
      </c>
      <c r="E171" t="str">
        <v>Band. Rectangular Grande 32oz Sin Tapa - DA2-F100</v>
      </c>
      <c r="F171" t="str">
        <v>20,0x15,2x4,9cm</v>
      </c>
      <c r="G171">
        <v>20782</v>
      </c>
    </row>
    <row r="172" spans="1:7" x14ac:dyDescent="0.25">
      <c r="A172" t="str">
        <v>0061DAR00009</v>
      </c>
      <c r="B172" t="str">
        <v>Q511000RY</v>
      </c>
      <c r="C172" t="str">
        <v>Caja</v>
      </c>
      <c r="D172">
        <v>100</v>
      </c>
      <c r="E172" t="str">
        <v>Band. Rectangular Grande 32oz Con Tapa - DA2-F100</v>
      </c>
      <c r="F172" t="str">
        <v>20,0x15,2x4,9cm</v>
      </c>
      <c r="G172">
        <v>28603</v>
      </c>
    </row>
    <row r="173" spans="1:7" x14ac:dyDescent="0.25">
      <c r="A173" t="str">
        <v>0061DAR00024</v>
      </c>
      <c r="B173" t="str">
        <v>Q511150RSTY</v>
      </c>
      <c r="C173" t="str">
        <v>Caja</v>
      </c>
      <c r="D173">
        <v>100</v>
      </c>
      <c r="E173" t="str">
        <v>Band. Rectang. 40oz 1150ml Sin Tapa - DA5-F1150</v>
      </c>
      <c r="F173" t="str">
        <v>22,1x17,6x4,0cm</v>
      </c>
      <c r="G173">
        <v>22518.471000000001</v>
      </c>
    </row>
    <row r="174" spans="1:7" x14ac:dyDescent="0.25">
      <c r="A174" t="str">
        <v>0061DAR00025</v>
      </c>
      <c r="B174" t="str">
        <v>Q511150RY</v>
      </c>
      <c r="C174" t="str">
        <v>Caja</v>
      </c>
      <c r="D174">
        <v>100</v>
      </c>
      <c r="E174" t="str">
        <v>Band. Rectang. 40oz 1150ml Con Tapa - DA5-F1150</v>
      </c>
      <c r="F174" t="str">
        <v>22,1x17,6x4,0cm</v>
      </c>
      <c r="G174">
        <v>32673.063999999995</v>
      </c>
    </row>
    <row r="175" spans="1:7" x14ac:dyDescent="0.25">
      <c r="A175" t="str">
        <v>0061DAR00026</v>
      </c>
      <c r="B175" t="str">
        <v>Q511500RSTY</v>
      </c>
      <c r="C175" t="str">
        <v>Caja</v>
      </c>
      <c r="D175">
        <v>100</v>
      </c>
      <c r="E175" t="str">
        <v>Fuente Rectang. 48oz 1500ml Sin Tapa - DA8-F1500</v>
      </c>
      <c r="F175" t="str">
        <v>27,5x18,5x4,2cm</v>
      </c>
      <c r="G175">
        <v>29759.111999999997</v>
      </c>
    </row>
    <row r="176" spans="1:7" x14ac:dyDescent="0.25">
      <c r="A176" t="str">
        <v>0061DAR00029</v>
      </c>
      <c r="B176" t="str">
        <v>Q511500RY</v>
      </c>
      <c r="C176" t="str">
        <v>Caja</v>
      </c>
      <c r="D176">
        <v>100</v>
      </c>
      <c r="E176" t="str">
        <v>Fuente Rectang. 48oz 1500ml Con Tapa - DA8-F1500</v>
      </c>
      <c r="F176" t="str">
        <v>27,5x18,5x4,2cm</v>
      </c>
      <c r="G176">
        <v>40801</v>
      </c>
    </row>
    <row r="177" spans="1:7" x14ac:dyDescent="0.25">
      <c r="A177" t="str">
        <v>0061DAR00028</v>
      </c>
      <c r="B177" t="str">
        <v>Q512000RSTY</v>
      </c>
      <c r="C177" t="str">
        <v>Caja</v>
      </c>
      <c r="D177">
        <v>100</v>
      </c>
      <c r="E177" t="str">
        <v>Fuente Rectang. Grande 68oz 2000ml Sin Tapa - DA9</v>
      </c>
      <c r="F177" t="str">
        <v>28,9x22,8x4,1cm</v>
      </c>
      <c r="G177">
        <v>40105</v>
      </c>
    </row>
    <row r="178" spans="1:7" x14ac:dyDescent="0.25">
      <c r="A178" t="str">
        <v>0061DAR00027</v>
      </c>
      <c r="B178" t="str">
        <v>Q512000RY</v>
      </c>
      <c r="C178" t="str">
        <v>Caja</v>
      </c>
      <c r="D178">
        <v>100</v>
      </c>
      <c r="E178" t="str">
        <v>Fuente Rectang. Grande 68oz 2000ml con Tapa - DA9</v>
      </c>
      <c r="F178" t="str">
        <v>28,9x22,8x4,1cm</v>
      </c>
      <c r="G178">
        <v>57350</v>
      </c>
    </row>
    <row r="179" spans="1:7" x14ac:dyDescent="0.25">
      <c r="A179" t="str">
        <v>LINEA BANDEJAS ALUMINIO TAMAÑO FAMILIAR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t="str">
        <v>0061DAR00006</v>
      </c>
      <c r="B180" t="str">
        <v>Q504000OY</v>
      </c>
      <c r="C180" t="str">
        <v>Caja</v>
      </c>
      <c r="D180">
        <v>12</v>
      </c>
      <c r="E180" t="str">
        <v>Bandeja Ovalada Grande 136oz 4000ml - DAY40</v>
      </c>
      <c r="F180" t="str">
        <v>32,5x26,5x6,6cm</v>
      </c>
      <c r="G180">
        <v>13409</v>
      </c>
    </row>
    <row r="181" spans="1:7" x14ac:dyDescent="0.25">
      <c r="A181" t="str">
        <v>0061DAR00013</v>
      </c>
      <c r="B181" t="str">
        <v>Q504000RY</v>
      </c>
      <c r="C181" t="str">
        <v>Caja</v>
      </c>
      <c r="D181">
        <v>12</v>
      </c>
      <c r="E181" t="str">
        <v>Bandeja Rectangular Grande 136oz 4000ml - DA40</v>
      </c>
      <c r="F181" t="str">
        <v>32,5x26,5x6,6cm</v>
      </c>
      <c r="G181">
        <v>13722</v>
      </c>
    </row>
    <row r="182" spans="1:7" x14ac:dyDescent="0.25">
      <c r="A182" t="str">
        <v>LINEA PACK BANDEJAS EN TERMOCONTRAIBLE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t="str">
        <v>0061DAR00031</v>
      </c>
      <c r="B183" t="str">
        <v>Q510220RY</v>
      </c>
      <c r="C183" t="str">
        <v>Caja</v>
      </c>
      <c r="D183">
        <v>100</v>
      </c>
      <c r="E183" t="str">
        <v>Pack Bandeja 8oz 220ml 10u x 10p. Base/Tapa - DA12</v>
      </c>
      <c r="F183" t="str">
        <v>12,6x9,8x2,6cm</v>
      </c>
      <c r="G183">
        <v>12799</v>
      </c>
    </row>
    <row r="184" spans="1:7" x14ac:dyDescent="0.25">
      <c r="A184" t="str">
        <v>0061DAR00001</v>
      </c>
      <c r="B184" t="str">
        <v>Q551150RY</v>
      </c>
      <c r="C184" t="str">
        <v>Caja</v>
      </c>
      <c r="D184">
        <v>50</v>
      </c>
      <c r="E184" t="str">
        <v>Pack Bandeja 40oz 1150ml 10u x 5p Base/Tapa - DA5</v>
      </c>
      <c r="F184" t="str">
        <v>22,1x17,6x4,0cm</v>
      </c>
      <c r="G184">
        <v>17279</v>
      </c>
    </row>
    <row r="185" spans="1:7" x14ac:dyDescent="0.25">
      <c r="A185" t="str">
        <v>0061DAR00032</v>
      </c>
      <c r="B185" t="str">
        <v>Q550500RY</v>
      </c>
      <c r="C185" t="str">
        <v>Caja</v>
      </c>
      <c r="D185">
        <v>50</v>
      </c>
      <c r="E185" t="str">
        <v>Pack Bandeja 16oz 500ml 10u x 5p. Base/Tapa - DA6</v>
      </c>
      <c r="F185" t="str">
        <v>16,5x12,4x3,5cm</v>
      </c>
      <c r="G185">
        <v>10587</v>
      </c>
    </row>
    <row r="186" spans="1:7" x14ac:dyDescent="0.25">
      <c r="A186" t="str">
        <v>0061DAR00033</v>
      </c>
      <c r="B186" t="str">
        <v>Q550700RY</v>
      </c>
      <c r="C186" t="str">
        <v>Caja</v>
      </c>
      <c r="D186">
        <v>50</v>
      </c>
      <c r="E186" t="str">
        <v>Pack Bandeja 24oz 700ml 10u x 5p Base/Tapa - DA7</v>
      </c>
      <c r="F186" t="str">
        <v>20,6x13,8x3,3cm</v>
      </c>
      <c r="G186">
        <v>14064</v>
      </c>
    </row>
    <row r="187" spans="1:7" x14ac:dyDescent="0.25">
      <c r="A187" t="str">
        <v>PLATOS ALUMINIO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t="str">
        <v>0061DAR00041</v>
      </c>
      <c r="B188" t="str">
        <v>Q510850CY</v>
      </c>
      <c r="C188" t="str">
        <v>Caja</v>
      </c>
      <c r="D188">
        <v>100</v>
      </c>
      <c r="E188" t="str">
        <v>Plato Redondo Profundo 28oz-850ml Con Tapa - DR8</v>
      </c>
      <c r="F188" t="str">
        <v>21.1 x 4,5 cm</v>
      </c>
      <c r="G188">
        <v>17553</v>
      </c>
    </row>
    <row r="189" spans="1:7" x14ac:dyDescent="0.25">
      <c r="A189" t="str">
        <v>FLANERA ALUMINIO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tr">
        <v>0061DAR00042</v>
      </c>
      <c r="B190" t="str">
        <v>Q540100CY</v>
      </c>
      <c r="C190" t="str">
        <v>Caja</v>
      </c>
      <c r="D190">
        <v>500</v>
      </c>
      <c r="E190" t="str">
        <v>Flanera Redonda Prof. Chico 9cm (3,5oz)Sin Tapa</v>
      </c>
      <c r="F190" t="str">
        <v>9,1 x 2,8 cm</v>
      </c>
      <c r="G190">
        <v>24441</v>
      </c>
    </row>
    <row r="191" spans="1:7" x14ac:dyDescent="0.25">
      <c r="A191" t="str">
        <v>BANDEJAS CON TAPA CRISTAL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t="str">
        <v>0061DAR00015</v>
      </c>
      <c r="B192" t="str">
        <v>Q501600</v>
      </c>
      <c r="C192" t="str">
        <v>Caja</v>
      </c>
      <c r="D192">
        <v>500</v>
      </c>
      <c r="E192" t="str">
        <v>BANDEJA ALUMINIO DA6-16oz   (480CC) simil F50</v>
      </c>
      <c r="F192" t="str">
        <v>12,7x15,2x5,1cm</v>
      </c>
      <c r="G192">
        <v>72335</v>
      </c>
    </row>
    <row r="193" spans="1:7" x14ac:dyDescent="0.25">
      <c r="A193" t="str">
        <v>0061DART0002</v>
      </c>
      <c r="B193" t="str">
        <v>D001600T</v>
      </c>
      <c r="C193" t="str">
        <v>Caja</v>
      </c>
      <c r="D193">
        <v>500</v>
      </c>
      <c r="E193" t="str">
        <v>TAPA CRISTAL PARA BANDEJA ALUMINIO DA6-16oz</v>
      </c>
      <c r="F193" t="str">
        <v>14,0 x 11,5 cm</v>
      </c>
      <c r="G193">
        <v>42224</v>
      </c>
    </row>
    <row r="194" spans="1:7" x14ac:dyDescent="0.25">
      <c r="A194" t="str">
        <v>0061DAR00016</v>
      </c>
      <c r="B194" t="str">
        <v>Q502400</v>
      </c>
      <c r="C194" t="str">
        <v>Caja</v>
      </c>
      <c r="D194">
        <v>500</v>
      </c>
      <c r="E194" t="str">
        <v>BANDEJA ALUMINIO DA7-24oz (720CC) simil F75</v>
      </c>
      <c r="F194" t="str">
        <v>14,0x19,1x5,1cm</v>
      </c>
      <c r="G194">
        <v>94342</v>
      </c>
    </row>
    <row r="195" spans="1:7" x14ac:dyDescent="0.25">
      <c r="A195" t="str">
        <v>0061DART0004</v>
      </c>
      <c r="B195" t="str">
        <v>D002300T</v>
      </c>
      <c r="C195" t="str">
        <v>Caja</v>
      </c>
      <c r="D195">
        <v>500</v>
      </c>
      <c r="E195" t="str">
        <v>TAPA CRISTAL PARA BANDEJA ALUMINIO DA7-24oz</v>
      </c>
      <c r="F195" t="str">
        <v>17,9 x 12,8 cm</v>
      </c>
      <c r="G195">
        <v>72898</v>
      </c>
    </row>
    <row r="196" spans="1:7" x14ac:dyDescent="0.25">
      <c r="A196" t="str">
        <v>0061DAR00017</v>
      </c>
      <c r="B196" t="str">
        <v>Q502800</v>
      </c>
      <c r="C196" t="str">
        <v>Caja</v>
      </c>
      <c r="D196">
        <v>250</v>
      </c>
      <c r="E196" t="str">
        <v>BANDEJA ALUMINIO DA8-28oz (840CC) simil F100</v>
      </c>
      <c r="F196" t="str">
        <v>16,2x22,2x5,1cm</v>
      </c>
      <c r="G196">
        <v>58920</v>
      </c>
    </row>
    <row r="197" spans="1:7" x14ac:dyDescent="0.25">
      <c r="A197" t="str">
        <v>0061DART0007</v>
      </c>
      <c r="B197" t="str">
        <v>D003200T</v>
      </c>
      <c r="C197" t="str">
        <v>Caja</v>
      </c>
      <c r="D197">
        <v>500</v>
      </c>
      <c r="E197" t="str">
        <v>TAPA CRISTAL PARA BANDEJA ALUMINIO DA8-28oz</v>
      </c>
      <c r="F197" t="str">
        <v>21,5 x 15,0 cm</v>
      </c>
      <c r="G197">
        <v>80150</v>
      </c>
    </row>
    <row r="198" spans="1:7" x14ac:dyDescent="0.25">
      <c r="A198" t="str">
        <v>0061DAR00018</v>
      </c>
      <c r="B198" t="str">
        <v>Q506400</v>
      </c>
      <c r="C198" t="str">
        <v>Caja</v>
      </c>
      <c r="D198">
        <v>100</v>
      </c>
      <c r="E198" t="str">
        <v>BANDEJA ALUMINIO DA9-64oz (1900CC) simil F200</v>
      </c>
      <c r="F198" t="str">
        <v>21,8x31,5x4,7 cm</v>
      </c>
      <c r="G198">
        <v>58108</v>
      </c>
    </row>
    <row r="199" spans="1:7" x14ac:dyDescent="0.25">
      <c r="A199" t="str">
        <v>0061DART0006</v>
      </c>
      <c r="B199" t="str">
        <v>D006400T</v>
      </c>
      <c r="C199" t="str">
        <v>Caja</v>
      </c>
      <c r="D199">
        <v>100</v>
      </c>
      <c r="E199" t="str">
        <v>TAPA CRISTAL BANDEJA ALUMINIO DA9-64oz</v>
      </c>
      <c r="F199" t="str">
        <v>30,7 x 20,8 cm</v>
      </c>
      <c r="G199">
        <v>45116</v>
      </c>
    </row>
    <row r="200" spans="1:7" x14ac:dyDescent="0.25">
      <c r="A200" t="str">
        <v>0061DAR0005</v>
      </c>
      <c r="B200" t="str">
        <v>Q5010400</v>
      </c>
      <c r="C200" t="str">
        <v>Caja</v>
      </c>
      <c r="D200">
        <v>100</v>
      </c>
      <c r="E200" t="str">
        <v>BANDEJA ALUMINIO RECTANGULAR 104oz</v>
      </c>
      <c r="F200" t="str">
        <v>26,6x32,5x5,7cm</v>
      </c>
      <c r="G200">
        <v>73505</v>
      </c>
    </row>
    <row r="201" spans="1:7" x14ac:dyDescent="0.25">
      <c r="A201" t="str">
        <v>0061DART0001</v>
      </c>
      <c r="B201" t="str">
        <v>D0010400T</v>
      </c>
      <c r="C201" t="str">
        <v>Caja</v>
      </c>
      <c r="D201">
        <v>100</v>
      </c>
      <c r="E201" t="str">
        <v>TAPA CRISTAL P/BANDEJA ALUMINIO RECTANG. 104oz</v>
      </c>
      <c r="F201" t="str">
        <v>31,6 x 25,8 cm</v>
      </c>
      <c r="G201">
        <v>58252</v>
      </c>
    </row>
    <row r="202" spans="1:7" x14ac:dyDescent="0.25">
      <c r="A202" t="str">
        <v>FUENTE DE ALUMINIO Y TAPA CRISTAL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t="str">
        <v>0062DAR0030</v>
      </c>
      <c r="B203" t="str">
        <v>Q504500</v>
      </c>
      <c r="C203" t="str">
        <v>Caja</v>
      </c>
      <c r="D203">
        <v>200</v>
      </c>
      <c r="E203" t="str">
        <v>FUENTE REDONDA 23 CM (45oz/1350cc) SIMIL P30</v>
      </c>
      <c r="F203" t="str">
        <v>23,0 x 4,9 cm</v>
      </c>
      <c r="G203">
        <v>56910</v>
      </c>
    </row>
    <row r="204" spans="1:7" x14ac:dyDescent="0.25">
      <c r="A204" t="str">
        <v>0061DART0005</v>
      </c>
      <c r="B204" t="str">
        <v>D102200T</v>
      </c>
      <c r="C204" t="str">
        <v>Caja</v>
      </c>
      <c r="D204">
        <v>200</v>
      </c>
      <c r="E204" t="str">
        <v>TAPA CRISTAL FUENTE REDONDA 23CM (45oz)</v>
      </c>
      <c r="F204" t="str">
        <v>22,6 cm diam</v>
      </c>
      <c r="G204">
        <v>37234</v>
      </c>
    </row>
    <row r="205" spans="1:7" x14ac:dyDescent="0.25">
      <c r="A205" t="e" cm="1">
        <f t="array" aca="1" ref="A205:G389" ca="1">_xlfn.VSTACK('Línea Vajilla'!B6:H63,'Potes '!B6:H37,'Ensaladeras y Blister'!B6:H56,Panaderia!B6:H38,'Estuches PP'!#REF!)</f>
        <v>#NAME?</v>
      </c>
      <c r="B205" t="e">
        <f ca="1"/>
        <v>#NAME?</v>
      </c>
      <c r="C205" t="e">
        <f ca="1"/>
        <v>#NAME?</v>
      </c>
      <c r="D205" t="e">
        <f ca="1"/>
        <v>#NAME?</v>
      </c>
      <c r="E205" t="e">
        <f ca="1"/>
        <v>#NAME?</v>
      </c>
      <c r="F205" t="e">
        <f ca="1"/>
        <v>#NAME?</v>
      </c>
      <c r="G205" t="e">
        <f ca="1"/>
        <v>#NAME?</v>
      </c>
    </row>
    <row r="206" spans="1:7" x14ac:dyDescent="0.25">
      <c r="A206" t="e">
        <f ca="1"/>
        <v>#NAME?</v>
      </c>
      <c r="B206" t="e">
        <f ca="1"/>
        <v>#NAME?</v>
      </c>
      <c r="C206" t="e">
        <f ca="1"/>
        <v>#NAME?</v>
      </c>
      <c r="D206" t="e">
        <f ca="1"/>
        <v>#NAME?</v>
      </c>
      <c r="E206" t="e">
        <f ca="1"/>
        <v>#NAME?</v>
      </c>
      <c r="F206" t="e">
        <f ca="1"/>
        <v>#NAME?</v>
      </c>
      <c r="G206" t="e">
        <f ca="1"/>
        <v>#NAME?</v>
      </c>
    </row>
    <row r="207" spans="1:7" x14ac:dyDescent="0.25">
      <c r="A207" t="e">
        <f ca="1"/>
        <v>#NAME?</v>
      </c>
      <c r="B207" t="e">
        <f ca="1"/>
        <v>#NAME?</v>
      </c>
      <c r="C207" t="e">
        <f ca="1"/>
        <v>#NAME?</v>
      </c>
      <c r="D207" t="e">
        <f ca="1"/>
        <v>#NAME?</v>
      </c>
      <c r="E207" t="e">
        <f ca="1"/>
        <v>#NAME?</v>
      </c>
      <c r="F207" t="e">
        <f ca="1"/>
        <v>#NAME?</v>
      </c>
      <c r="G207" t="e">
        <f ca="1"/>
        <v>#NAME?</v>
      </c>
    </row>
    <row r="208" spans="1:7" x14ac:dyDescent="0.25">
      <c r="A208" t="e">
        <f ca="1"/>
        <v>#NAME?</v>
      </c>
      <c r="B208" t="e">
        <f ca="1"/>
        <v>#NAME?</v>
      </c>
      <c r="C208" t="e">
        <f ca="1"/>
        <v>#NAME?</v>
      </c>
      <c r="D208" t="e">
        <f ca="1"/>
        <v>#NAME?</v>
      </c>
      <c r="E208" t="e">
        <f ca="1"/>
        <v>#NAME?</v>
      </c>
      <c r="F208" t="e">
        <f ca="1"/>
        <v>#NAME?</v>
      </c>
      <c r="G208" t="e">
        <f ca="1"/>
        <v>#NAME?</v>
      </c>
    </row>
    <row r="209" spans="1:7" x14ac:dyDescent="0.25">
      <c r="A209" t="e">
        <f ca="1"/>
        <v>#NAME?</v>
      </c>
      <c r="B209" t="e">
        <f ca="1"/>
        <v>#NAME?</v>
      </c>
      <c r="C209" t="e">
        <f ca="1"/>
        <v>#NAME?</v>
      </c>
      <c r="D209" t="e">
        <f ca="1"/>
        <v>#NAME?</v>
      </c>
      <c r="E209" t="e">
        <f ca="1"/>
        <v>#NAME?</v>
      </c>
      <c r="F209" t="e">
        <f ca="1"/>
        <v>#NAME?</v>
      </c>
      <c r="G209" t="e">
        <f ca="1"/>
        <v>#NAME?</v>
      </c>
    </row>
    <row r="210" spans="1:7" x14ac:dyDescent="0.25">
      <c r="A210" t="e">
        <f ca="1"/>
        <v>#NAME?</v>
      </c>
      <c r="B210" t="e">
        <f ca="1"/>
        <v>#NAME?</v>
      </c>
      <c r="C210" t="e">
        <f ca="1"/>
        <v>#NAME?</v>
      </c>
      <c r="D210" t="e">
        <f ca="1"/>
        <v>#NAME?</v>
      </c>
      <c r="E210" t="e">
        <f ca="1"/>
        <v>#NAME?</v>
      </c>
      <c r="F210" t="e">
        <f ca="1"/>
        <v>#NAME?</v>
      </c>
      <c r="G210" t="e">
        <f ca="1"/>
        <v>#NAME?</v>
      </c>
    </row>
    <row r="211" spans="1:7" x14ac:dyDescent="0.25">
      <c r="A211" t="e">
        <f ca="1"/>
        <v>#NAME?</v>
      </c>
      <c r="B211" t="e">
        <f ca="1"/>
        <v>#NAME?</v>
      </c>
      <c r="C211" t="e">
        <f ca="1"/>
        <v>#NAME?</v>
      </c>
      <c r="D211" t="e">
        <f ca="1"/>
        <v>#NAME?</v>
      </c>
      <c r="E211" t="e">
        <f ca="1"/>
        <v>#NAME?</v>
      </c>
      <c r="F211" t="e">
        <f ca="1"/>
        <v>#NAME?</v>
      </c>
      <c r="G211" t="e">
        <f ca="1"/>
        <v>#NAME?</v>
      </c>
    </row>
    <row r="212" spans="1:7" x14ac:dyDescent="0.25">
      <c r="A212" t="e">
        <f ca="1"/>
        <v>#NAME?</v>
      </c>
      <c r="B212" t="e">
        <f ca="1"/>
        <v>#NAME?</v>
      </c>
      <c r="C212" t="e">
        <f ca="1"/>
        <v>#NAME?</v>
      </c>
      <c r="D212" t="e">
        <f ca="1"/>
        <v>#NAME?</v>
      </c>
      <c r="E212" t="e">
        <f ca="1"/>
        <v>#NAME?</v>
      </c>
      <c r="F212" t="e">
        <f ca="1"/>
        <v>#NAME?</v>
      </c>
      <c r="G212" t="e">
        <f ca="1"/>
        <v>#NAME?</v>
      </c>
    </row>
    <row r="213" spans="1:7" x14ac:dyDescent="0.25">
      <c r="A213" t="e">
        <f ca="1"/>
        <v>#NAME?</v>
      </c>
      <c r="B213" t="e">
        <f ca="1"/>
        <v>#NAME?</v>
      </c>
      <c r="C213" t="e">
        <f ca="1"/>
        <v>#NAME?</v>
      </c>
      <c r="D213" t="e">
        <f ca="1"/>
        <v>#NAME?</v>
      </c>
      <c r="E213" t="e">
        <f ca="1"/>
        <v>#NAME?</v>
      </c>
      <c r="F213" t="e">
        <f ca="1"/>
        <v>#NAME?</v>
      </c>
      <c r="G213" t="e">
        <f ca="1"/>
        <v>#NAME?</v>
      </c>
    </row>
    <row r="214" spans="1:7" x14ac:dyDescent="0.25">
      <c r="A214" t="e">
        <f ca="1"/>
        <v>#NAME?</v>
      </c>
      <c r="B214" t="e">
        <f ca="1"/>
        <v>#NAME?</v>
      </c>
      <c r="C214" t="e">
        <f ca="1"/>
        <v>#NAME?</v>
      </c>
      <c r="D214" t="e">
        <f ca="1"/>
        <v>#NAME?</v>
      </c>
      <c r="E214" t="e">
        <f ca="1"/>
        <v>#NAME?</v>
      </c>
      <c r="F214" t="e">
        <f ca="1"/>
        <v>#NAME?</v>
      </c>
      <c r="G214" t="e">
        <f ca="1"/>
        <v>#NAME?</v>
      </c>
    </row>
    <row r="215" spans="1:7" x14ac:dyDescent="0.25">
      <c r="A215" t="e">
        <f ca="1"/>
        <v>#NAME?</v>
      </c>
      <c r="B215" t="e">
        <f ca="1"/>
        <v>#NAME?</v>
      </c>
      <c r="C215" t="e">
        <f ca="1"/>
        <v>#NAME?</v>
      </c>
      <c r="D215" t="e">
        <f ca="1"/>
        <v>#NAME?</v>
      </c>
      <c r="E215" t="e">
        <f ca="1"/>
        <v>#NAME?</v>
      </c>
      <c r="F215" t="e">
        <f ca="1"/>
        <v>#NAME?</v>
      </c>
      <c r="G215" t="e">
        <f ca="1"/>
        <v>#NAME?</v>
      </c>
    </row>
    <row r="216" spans="1:7" x14ac:dyDescent="0.25">
      <c r="A216" t="e">
        <f ca="1"/>
        <v>#NAME?</v>
      </c>
      <c r="B216" t="e">
        <f ca="1"/>
        <v>#NAME?</v>
      </c>
      <c r="C216" t="e">
        <f ca="1"/>
        <v>#NAME?</v>
      </c>
      <c r="D216" t="e">
        <f ca="1"/>
        <v>#NAME?</v>
      </c>
      <c r="E216" t="e">
        <f ca="1"/>
        <v>#NAME?</v>
      </c>
      <c r="F216" t="e">
        <f ca="1"/>
        <v>#NAME?</v>
      </c>
      <c r="G216" t="e">
        <f ca="1"/>
        <v>#NAME?</v>
      </c>
    </row>
    <row r="217" spans="1:7" x14ac:dyDescent="0.25">
      <c r="A217" t="e">
        <f ca="1"/>
        <v>#NAME?</v>
      </c>
      <c r="B217" t="e">
        <f ca="1"/>
        <v>#NAME?</v>
      </c>
      <c r="C217" t="e">
        <f ca="1"/>
        <v>#NAME?</v>
      </c>
      <c r="D217" t="e">
        <f ca="1"/>
        <v>#NAME?</v>
      </c>
      <c r="E217" t="e">
        <f ca="1"/>
        <v>#NAME?</v>
      </c>
      <c r="F217" t="e">
        <f ca="1"/>
        <v>#NAME?</v>
      </c>
      <c r="G217" t="e">
        <f ca="1"/>
        <v>#NAME?</v>
      </c>
    </row>
    <row r="218" spans="1:7" x14ac:dyDescent="0.25">
      <c r="A218" t="e">
        <f ca="1"/>
        <v>#NAME?</v>
      </c>
      <c r="B218" t="e">
        <f ca="1"/>
        <v>#NAME?</v>
      </c>
      <c r="C218" t="e">
        <f ca="1"/>
        <v>#NAME?</v>
      </c>
      <c r="D218" t="e">
        <f ca="1"/>
        <v>#NAME?</v>
      </c>
      <c r="E218" t="e">
        <f ca="1"/>
        <v>#NAME?</v>
      </c>
      <c r="F218" t="e">
        <f ca="1"/>
        <v>#NAME?</v>
      </c>
      <c r="G218" t="e">
        <f ca="1"/>
        <v>#NAME?</v>
      </c>
    </row>
    <row r="219" spans="1:7" x14ac:dyDescent="0.25">
      <c r="A219" t="e">
        <f ca="1"/>
        <v>#NAME?</v>
      </c>
      <c r="B219" t="e">
        <f ca="1"/>
        <v>#NAME?</v>
      </c>
      <c r="C219" t="e">
        <f ca="1"/>
        <v>#NAME?</v>
      </c>
      <c r="D219" t="e">
        <f ca="1"/>
        <v>#NAME?</v>
      </c>
      <c r="E219" t="e">
        <f ca="1"/>
        <v>#NAME?</v>
      </c>
      <c r="F219" t="e">
        <f ca="1"/>
        <v>#NAME?</v>
      </c>
      <c r="G219" t="e">
        <f ca="1"/>
        <v>#NAME?</v>
      </c>
    </row>
    <row r="220" spans="1:7" x14ac:dyDescent="0.25">
      <c r="A220" t="e">
        <f ca="1"/>
        <v>#NAME?</v>
      </c>
      <c r="B220" t="e">
        <f ca="1"/>
        <v>#NAME?</v>
      </c>
      <c r="C220" t="e">
        <f ca="1"/>
        <v>#NAME?</v>
      </c>
      <c r="D220" t="e">
        <f ca="1"/>
        <v>#NAME?</v>
      </c>
      <c r="E220" t="e">
        <f ca="1"/>
        <v>#NAME?</v>
      </c>
      <c r="F220" t="e">
        <f ca="1"/>
        <v>#NAME?</v>
      </c>
      <c r="G220" t="e">
        <f ca="1"/>
        <v>#NAME?</v>
      </c>
    </row>
    <row r="221" spans="1:7" x14ac:dyDescent="0.25">
      <c r="A221" t="e">
        <f ca="1"/>
        <v>#NAME?</v>
      </c>
      <c r="B221" t="e">
        <f ca="1"/>
        <v>#NAME?</v>
      </c>
      <c r="C221" t="e">
        <f ca="1"/>
        <v>#NAME?</v>
      </c>
      <c r="D221" t="e">
        <f ca="1"/>
        <v>#NAME?</v>
      </c>
      <c r="E221" t="e">
        <f ca="1"/>
        <v>#NAME?</v>
      </c>
      <c r="F221" t="e">
        <f ca="1"/>
        <v>#NAME?</v>
      </c>
      <c r="G221" t="e">
        <f ca="1"/>
        <v>#NAME?</v>
      </c>
    </row>
    <row r="222" spans="1:7" x14ac:dyDescent="0.25">
      <c r="A222" t="e">
        <f ca="1"/>
        <v>#NAME?</v>
      </c>
      <c r="B222" t="e">
        <f ca="1"/>
        <v>#NAME?</v>
      </c>
      <c r="C222" t="e">
        <f ca="1"/>
        <v>#NAME?</v>
      </c>
      <c r="D222" t="e">
        <f ca="1"/>
        <v>#NAME?</v>
      </c>
      <c r="E222" t="e">
        <f ca="1"/>
        <v>#NAME?</v>
      </c>
      <c r="F222" t="e">
        <f ca="1"/>
        <v>#NAME?</v>
      </c>
      <c r="G222" t="e">
        <f ca="1"/>
        <v>#NAME?</v>
      </c>
    </row>
    <row r="223" spans="1:7" x14ac:dyDescent="0.25">
      <c r="A223" t="e">
        <f ca="1"/>
        <v>#NAME?</v>
      </c>
      <c r="B223" t="e">
        <f ca="1"/>
        <v>#NAME?</v>
      </c>
      <c r="C223" t="e">
        <f ca="1"/>
        <v>#NAME?</v>
      </c>
      <c r="D223" t="e">
        <f ca="1"/>
        <v>#NAME?</v>
      </c>
      <c r="E223" t="e">
        <f ca="1"/>
        <v>#NAME?</v>
      </c>
      <c r="F223" t="e">
        <f ca="1"/>
        <v>#NAME?</v>
      </c>
      <c r="G223" t="e">
        <f ca="1"/>
        <v>#NAME?</v>
      </c>
    </row>
    <row r="224" spans="1:7" x14ac:dyDescent="0.25">
      <c r="A224" t="e">
        <f ca="1"/>
        <v>#NAME?</v>
      </c>
      <c r="B224" t="e">
        <f ca="1"/>
        <v>#NAME?</v>
      </c>
      <c r="C224" t="e">
        <f ca="1"/>
        <v>#NAME?</v>
      </c>
      <c r="D224" t="e">
        <f ca="1"/>
        <v>#NAME?</v>
      </c>
      <c r="E224" t="e">
        <f ca="1"/>
        <v>#NAME?</v>
      </c>
      <c r="F224" t="e">
        <f ca="1"/>
        <v>#NAME?</v>
      </c>
      <c r="G224" t="e">
        <f ca="1"/>
        <v>#NAME?</v>
      </c>
    </row>
    <row r="225" spans="1:7" x14ac:dyDescent="0.25">
      <c r="A225" t="e">
        <f ca="1"/>
        <v>#NAME?</v>
      </c>
      <c r="B225" t="e">
        <f ca="1"/>
        <v>#NAME?</v>
      </c>
      <c r="C225" t="e">
        <f ca="1"/>
        <v>#NAME?</v>
      </c>
      <c r="D225" t="e">
        <f ca="1"/>
        <v>#NAME?</v>
      </c>
      <c r="E225" t="e">
        <f ca="1"/>
        <v>#NAME?</v>
      </c>
      <c r="F225" t="e">
        <f ca="1"/>
        <v>#NAME?</v>
      </c>
      <c r="G225" t="e">
        <f ca="1"/>
        <v>#NAME?</v>
      </c>
    </row>
    <row r="226" spans="1:7" x14ac:dyDescent="0.25">
      <c r="A226" t="e">
        <f ca="1"/>
        <v>#NAME?</v>
      </c>
      <c r="B226" t="e">
        <f ca="1"/>
        <v>#NAME?</v>
      </c>
      <c r="C226" t="e">
        <f ca="1"/>
        <v>#NAME?</v>
      </c>
      <c r="D226" t="e">
        <f ca="1"/>
        <v>#NAME?</v>
      </c>
      <c r="E226" t="e">
        <f ca="1"/>
        <v>#NAME?</v>
      </c>
      <c r="F226" t="e">
        <f ca="1"/>
        <v>#NAME?</v>
      </c>
      <c r="G226" t="e">
        <f ca="1"/>
        <v>#NAME?</v>
      </c>
    </row>
    <row r="227" spans="1:7" x14ac:dyDescent="0.25">
      <c r="A227" t="e">
        <f ca="1"/>
        <v>#NAME?</v>
      </c>
      <c r="B227" t="e">
        <f ca="1"/>
        <v>#NAME?</v>
      </c>
      <c r="C227" t="e">
        <f ca="1"/>
        <v>#NAME?</v>
      </c>
      <c r="D227" t="e">
        <f ca="1"/>
        <v>#NAME?</v>
      </c>
      <c r="E227" t="e">
        <f ca="1"/>
        <v>#NAME?</v>
      </c>
      <c r="F227" t="e">
        <f ca="1"/>
        <v>#NAME?</v>
      </c>
      <c r="G227" t="e">
        <f ca="1"/>
        <v>#NAME?</v>
      </c>
    </row>
    <row r="228" spans="1:7" x14ac:dyDescent="0.25">
      <c r="A228" t="e">
        <f ca="1"/>
        <v>#NAME?</v>
      </c>
      <c r="B228" t="e">
        <f ca="1"/>
        <v>#NAME?</v>
      </c>
      <c r="C228" t="e">
        <f ca="1"/>
        <v>#NAME?</v>
      </c>
      <c r="D228" t="e">
        <f ca="1"/>
        <v>#NAME?</v>
      </c>
      <c r="E228" t="e">
        <f ca="1"/>
        <v>#NAME?</v>
      </c>
      <c r="F228" t="e">
        <f ca="1"/>
        <v>#NAME?</v>
      </c>
      <c r="G228" t="e">
        <f ca="1"/>
        <v>#NAME?</v>
      </c>
    </row>
    <row r="229" spans="1:7" x14ac:dyDescent="0.25">
      <c r="A229" t="e">
        <f ca="1"/>
        <v>#NAME?</v>
      </c>
      <c r="B229" t="e">
        <f ca="1"/>
        <v>#NAME?</v>
      </c>
      <c r="C229" t="e">
        <f ca="1"/>
        <v>#NAME?</v>
      </c>
      <c r="D229" t="e">
        <f ca="1"/>
        <v>#NAME?</v>
      </c>
      <c r="E229" t="e">
        <f ca="1"/>
        <v>#NAME?</v>
      </c>
      <c r="F229" t="e">
        <f ca="1"/>
        <v>#NAME?</v>
      </c>
      <c r="G229" t="e">
        <f ca="1"/>
        <v>#NAME?</v>
      </c>
    </row>
    <row r="230" spans="1:7" x14ac:dyDescent="0.25">
      <c r="A230" t="e">
        <f ca="1"/>
        <v>#NAME?</v>
      </c>
      <c r="B230" t="e">
        <f ca="1"/>
        <v>#NAME?</v>
      </c>
      <c r="C230" t="e">
        <f ca="1"/>
        <v>#NAME?</v>
      </c>
      <c r="D230" t="e">
        <f ca="1"/>
        <v>#NAME?</v>
      </c>
      <c r="E230" t="e">
        <f ca="1"/>
        <v>#NAME?</v>
      </c>
      <c r="F230" t="e">
        <f ca="1"/>
        <v>#NAME?</v>
      </c>
      <c r="G230" t="e">
        <f ca="1"/>
        <v>#NAME?</v>
      </c>
    </row>
    <row r="231" spans="1:7" x14ac:dyDescent="0.25">
      <c r="A231" t="e">
        <f ca="1"/>
        <v>#NAME?</v>
      </c>
      <c r="B231" t="e">
        <f ca="1"/>
        <v>#NAME?</v>
      </c>
      <c r="C231" t="e">
        <f ca="1"/>
        <v>#NAME?</v>
      </c>
      <c r="D231" t="e">
        <f ca="1"/>
        <v>#NAME?</v>
      </c>
      <c r="E231" t="e">
        <f ca="1"/>
        <v>#NAME?</v>
      </c>
      <c r="F231" t="e">
        <f ca="1"/>
        <v>#NAME?</v>
      </c>
      <c r="G231" t="e">
        <f ca="1"/>
        <v>#NAME?</v>
      </c>
    </row>
    <row r="232" spans="1:7" x14ac:dyDescent="0.25">
      <c r="A232" t="e">
        <f ca="1"/>
        <v>#NAME?</v>
      </c>
      <c r="B232" t="e">
        <f ca="1"/>
        <v>#NAME?</v>
      </c>
      <c r="C232" t="e">
        <f ca="1"/>
        <v>#NAME?</v>
      </c>
      <c r="D232" t="e">
        <f ca="1"/>
        <v>#NAME?</v>
      </c>
      <c r="E232" t="e">
        <f ca="1"/>
        <v>#NAME?</v>
      </c>
      <c r="F232" t="e">
        <f ca="1"/>
        <v>#NAME?</v>
      </c>
      <c r="G232" t="e">
        <f ca="1"/>
        <v>#NAME?</v>
      </c>
    </row>
    <row r="233" spans="1:7" x14ac:dyDescent="0.25">
      <c r="A233" t="e">
        <f ca="1"/>
        <v>#NAME?</v>
      </c>
      <c r="B233" t="e">
        <f ca="1"/>
        <v>#NAME?</v>
      </c>
      <c r="C233" t="e">
        <f ca="1"/>
        <v>#NAME?</v>
      </c>
      <c r="D233" t="e">
        <f ca="1"/>
        <v>#NAME?</v>
      </c>
      <c r="E233" t="e">
        <f ca="1"/>
        <v>#NAME?</v>
      </c>
      <c r="F233" t="e">
        <f ca="1"/>
        <v>#NAME?</v>
      </c>
      <c r="G233" t="e">
        <f ca="1"/>
        <v>#NAME?</v>
      </c>
    </row>
    <row r="234" spans="1:7" x14ac:dyDescent="0.25">
      <c r="A234" t="e">
        <f ca="1"/>
        <v>#NAME?</v>
      </c>
      <c r="B234" t="e">
        <f ca="1"/>
        <v>#NAME?</v>
      </c>
      <c r="C234" t="e">
        <f ca="1"/>
        <v>#NAME?</v>
      </c>
      <c r="D234" t="e">
        <f ca="1"/>
        <v>#NAME?</v>
      </c>
      <c r="E234" t="e">
        <f ca="1"/>
        <v>#NAME?</v>
      </c>
      <c r="F234" t="e">
        <f ca="1"/>
        <v>#NAME?</v>
      </c>
      <c r="G234" t="e">
        <f ca="1"/>
        <v>#NAME?</v>
      </c>
    </row>
    <row r="235" spans="1:7" x14ac:dyDescent="0.25">
      <c r="A235" t="e">
        <f ca="1"/>
        <v>#NAME?</v>
      </c>
      <c r="B235" t="e">
        <f ca="1"/>
        <v>#NAME?</v>
      </c>
      <c r="C235" t="e">
        <f ca="1"/>
        <v>#NAME?</v>
      </c>
      <c r="D235" t="e">
        <f ca="1"/>
        <v>#NAME?</v>
      </c>
      <c r="E235" t="e">
        <f ca="1"/>
        <v>#NAME?</v>
      </c>
      <c r="F235" t="e">
        <f ca="1"/>
        <v>#NAME?</v>
      </c>
      <c r="G235" t="e">
        <f ca="1"/>
        <v>#NAME?</v>
      </c>
    </row>
    <row r="236" spans="1:7" x14ac:dyDescent="0.25">
      <c r="A236" t="e">
        <f ca="1"/>
        <v>#NAME?</v>
      </c>
      <c r="B236" t="e">
        <f ca="1"/>
        <v>#NAME?</v>
      </c>
      <c r="C236" t="e">
        <f ca="1"/>
        <v>#NAME?</v>
      </c>
      <c r="D236" t="e">
        <f ca="1"/>
        <v>#NAME?</v>
      </c>
      <c r="E236" t="e">
        <f ca="1"/>
        <v>#NAME?</v>
      </c>
      <c r="F236" t="e">
        <f ca="1"/>
        <v>#NAME?</v>
      </c>
      <c r="G236" t="e">
        <f ca="1"/>
        <v>#NAME?</v>
      </c>
    </row>
    <row r="237" spans="1:7" x14ac:dyDescent="0.25">
      <c r="A237" t="e">
        <f ca="1"/>
        <v>#NAME?</v>
      </c>
      <c r="B237" t="e">
        <f ca="1"/>
        <v>#NAME?</v>
      </c>
      <c r="C237" t="e">
        <f ca="1"/>
        <v>#NAME?</v>
      </c>
      <c r="D237" t="e">
        <f ca="1"/>
        <v>#NAME?</v>
      </c>
      <c r="E237" t="e">
        <f ca="1"/>
        <v>#NAME?</v>
      </c>
      <c r="F237" t="e">
        <f ca="1"/>
        <v>#NAME?</v>
      </c>
      <c r="G237" t="e">
        <f ca="1"/>
        <v>#NAME?</v>
      </c>
    </row>
    <row r="238" spans="1:7" x14ac:dyDescent="0.25">
      <c r="A238" t="e">
        <f ca="1"/>
        <v>#NAME?</v>
      </c>
      <c r="B238" t="e">
        <f ca="1"/>
        <v>#NAME?</v>
      </c>
      <c r="C238" t="e">
        <f ca="1"/>
        <v>#NAME?</v>
      </c>
      <c r="D238" t="e">
        <f ca="1"/>
        <v>#NAME?</v>
      </c>
      <c r="E238" t="e">
        <f ca="1"/>
        <v>#NAME?</v>
      </c>
      <c r="F238" t="e">
        <f ca="1"/>
        <v>#NAME?</v>
      </c>
      <c r="G238" t="e">
        <f ca="1"/>
        <v>#NAME?</v>
      </c>
    </row>
    <row r="239" spans="1:7" x14ac:dyDescent="0.25">
      <c r="A239" t="e">
        <f ca="1"/>
        <v>#NAME?</v>
      </c>
      <c r="B239" t="e">
        <f ca="1"/>
        <v>#NAME?</v>
      </c>
      <c r="C239" t="e">
        <f ca="1"/>
        <v>#NAME?</v>
      </c>
      <c r="D239" t="e">
        <f ca="1"/>
        <v>#NAME?</v>
      </c>
      <c r="E239" t="e">
        <f ca="1"/>
        <v>#NAME?</v>
      </c>
      <c r="F239" t="e">
        <f ca="1"/>
        <v>#NAME?</v>
      </c>
      <c r="G239" t="e">
        <f ca="1"/>
        <v>#NAME?</v>
      </c>
    </row>
    <row r="240" spans="1:7" x14ac:dyDescent="0.25">
      <c r="A240" t="e">
        <f ca="1"/>
        <v>#NAME?</v>
      </c>
      <c r="B240" t="e">
        <f ca="1"/>
        <v>#NAME?</v>
      </c>
      <c r="C240" t="e">
        <f ca="1"/>
        <v>#NAME?</v>
      </c>
      <c r="D240" t="e">
        <f ca="1"/>
        <v>#NAME?</v>
      </c>
      <c r="E240" t="e">
        <f ca="1"/>
        <v>#NAME?</v>
      </c>
      <c r="F240" t="e">
        <f ca="1"/>
        <v>#NAME?</v>
      </c>
      <c r="G240" t="e">
        <f ca="1"/>
        <v>#NAME?</v>
      </c>
    </row>
    <row r="241" spans="1:7" x14ac:dyDescent="0.25">
      <c r="A241" t="e">
        <f ca="1"/>
        <v>#NAME?</v>
      </c>
      <c r="B241" t="e">
        <f ca="1"/>
        <v>#NAME?</v>
      </c>
      <c r="C241" t="e">
        <f ca="1"/>
        <v>#NAME?</v>
      </c>
      <c r="D241" t="e">
        <f ca="1"/>
        <v>#NAME?</v>
      </c>
      <c r="E241" t="e">
        <f ca="1"/>
        <v>#NAME?</v>
      </c>
      <c r="F241" t="e">
        <f ca="1"/>
        <v>#NAME?</v>
      </c>
      <c r="G241" t="e">
        <f ca="1"/>
        <v>#NAME?</v>
      </c>
    </row>
    <row r="242" spans="1:7" x14ac:dyDescent="0.25">
      <c r="A242" t="e">
        <f ca="1"/>
        <v>#NAME?</v>
      </c>
      <c r="B242" t="e">
        <f ca="1"/>
        <v>#NAME?</v>
      </c>
      <c r="C242" t="e">
        <f ca="1"/>
        <v>#NAME?</v>
      </c>
      <c r="D242" t="e">
        <f ca="1"/>
        <v>#NAME?</v>
      </c>
      <c r="E242" t="e">
        <f ca="1"/>
        <v>#NAME?</v>
      </c>
      <c r="F242" t="e">
        <f ca="1"/>
        <v>#NAME?</v>
      </c>
      <c r="G242" t="e">
        <f ca="1"/>
        <v>#NAME?</v>
      </c>
    </row>
    <row r="243" spans="1:7" x14ac:dyDescent="0.25">
      <c r="A243" t="e">
        <f ca="1"/>
        <v>#NAME?</v>
      </c>
      <c r="B243" t="e">
        <f ca="1"/>
        <v>#NAME?</v>
      </c>
      <c r="C243" t="e">
        <f ca="1"/>
        <v>#NAME?</v>
      </c>
      <c r="D243" t="e">
        <f ca="1"/>
        <v>#NAME?</v>
      </c>
      <c r="E243" t="e">
        <f ca="1"/>
        <v>#NAME?</v>
      </c>
      <c r="F243" t="e">
        <f ca="1"/>
        <v>#NAME?</v>
      </c>
      <c r="G243" t="e">
        <f ca="1"/>
        <v>#NAME?</v>
      </c>
    </row>
    <row r="244" spans="1:7" x14ac:dyDescent="0.25">
      <c r="A244" t="e">
        <f ca="1"/>
        <v>#NAME?</v>
      </c>
      <c r="B244" t="e">
        <f ca="1"/>
        <v>#NAME?</v>
      </c>
      <c r="C244" t="e">
        <f ca="1"/>
        <v>#NAME?</v>
      </c>
      <c r="D244" t="e">
        <f ca="1"/>
        <v>#NAME?</v>
      </c>
      <c r="E244" t="e">
        <f ca="1"/>
        <v>#NAME?</v>
      </c>
      <c r="F244" t="e">
        <f ca="1"/>
        <v>#NAME?</v>
      </c>
      <c r="G244" t="e">
        <f ca="1"/>
        <v>#NAME?</v>
      </c>
    </row>
    <row r="245" spans="1:7" x14ac:dyDescent="0.25">
      <c r="A245" t="e">
        <f ca="1"/>
        <v>#NAME?</v>
      </c>
      <c r="B245" t="e">
        <f ca="1"/>
        <v>#NAME?</v>
      </c>
      <c r="C245" t="e">
        <f ca="1"/>
        <v>#NAME?</v>
      </c>
      <c r="D245" t="e">
        <f ca="1"/>
        <v>#NAME?</v>
      </c>
      <c r="E245" t="e">
        <f ca="1"/>
        <v>#NAME?</v>
      </c>
      <c r="F245" t="e">
        <f ca="1"/>
        <v>#NAME?</v>
      </c>
      <c r="G245" t="e">
        <f ca="1"/>
        <v>#NAME?</v>
      </c>
    </row>
    <row r="246" spans="1:7" x14ac:dyDescent="0.25">
      <c r="A246" t="e">
        <f ca="1"/>
        <v>#NAME?</v>
      </c>
      <c r="B246" t="e">
        <f ca="1"/>
        <v>#NAME?</v>
      </c>
      <c r="C246" t="e">
        <f ca="1"/>
        <v>#NAME?</v>
      </c>
      <c r="D246" t="e">
        <f ca="1"/>
        <v>#NAME?</v>
      </c>
      <c r="E246" t="e">
        <f ca="1"/>
        <v>#NAME?</v>
      </c>
      <c r="F246" t="e">
        <f ca="1"/>
        <v>#NAME?</v>
      </c>
      <c r="G246" t="e">
        <f ca="1"/>
        <v>#NAME?</v>
      </c>
    </row>
    <row r="247" spans="1:7" x14ac:dyDescent="0.25">
      <c r="A247" t="e">
        <f ca="1"/>
        <v>#NAME?</v>
      </c>
      <c r="B247" t="e">
        <f ca="1"/>
        <v>#NAME?</v>
      </c>
      <c r="C247" t="e">
        <f ca="1"/>
        <v>#NAME?</v>
      </c>
      <c r="D247" t="e">
        <f ca="1"/>
        <v>#NAME?</v>
      </c>
      <c r="E247" t="e">
        <f ca="1"/>
        <v>#NAME?</v>
      </c>
      <c r="F247" t="e">
        <f ca="1"/>
        <v>#NAME?</v>
      </c>
      <c r="G247" t="e">
        <f ca="1"/>
        <v>#NAME?</v>
      </c>
    </row>
    <row r="248" spans="1:7" x14ac:dyDescent="0.25">
      <c r="A248" t="e">
        <f ca="1"/>
        <v>#NAME?</v>
      </c>
      <c r="B248" t="e">
        <f ca="1"/>
        <v>#NAME?</v>
      </c>
      <c r="C248" t="e">
        <f ca="1"/>
        <v>#NAME?</v>
      </c>
      <c r="D248" t="e">
        <f ca="1"/>
        <v>#NAME?</v>
      </c>
      <c r="E248" t="e">
        <f ca="1"/>
        <v>#NAME?</v>
      </c>
      <c r="F248" t="e">
        <f ca="1"/>
        <v>#NAME?</v>
      </c>
      <c r="G248" t="e">
        <f ca="1"/>
        <v>#NAME?</v>
      </c>
    </row>
    <row r="249" spans="1:7" x14ac:dyDescent="0.25">
      <c r="A249" t="e">
        <f ca="1"/>
        <v>#NAME?</v>
      </c>
      <c r="B249" t="e">
        <f ca="1"/>
        <v>#NAME?</v>
      </c>
      <c r="C249" t="e">
        <f ca="1"/>
        <v>#NAME?</v>
      </c>
      <c r="D249" t="e">
        <f ca="1"/>
        <v>#NAME?</v>
      </c>
      <c r="E249" t="e">
        <f ca="1"/>
        <v>#NAME?</v>
      </c>
      <c r="F249" t="e">
        <f ca="1"/>
        <v>#NAME?</v>
      </c>
      <c r="G249" t="e">
        <f ca="1"/>
        <v>#NAME?</v>
      </c>
    </row>
    <row r="250" spans="1:7" x14ac:dyDescent="0.25">
      <c r="A250" t="e">
        <f ca="1"/>
        <v>#NAME?</v>
      </c>
      <c r="B250" t="e">
        <f ca="1"/>
        <v>#NAME?</v>
      </c>
      <c r="C250" t="e">
        <f ca="1"/>
        <v>#NAME?</v>
      </c>
      <c r="D250" t="e">
        <f ca="1"/>
        <v>#NAME?</v>
      </c>
      <c r="E250" t="e">
        <f ca="1"/>
        <v>#NAME?</v>
      </c>
      <c r="F250" t="e">
        <f ca="1"/>
        <v>#NAME?</v>
      </c>
      <c r="G250" t="e">
        <f ca="1"/>
        <v>#NAME?</v>
      </c>
    </row>
    <row r="251" spans="1:7" x14ac:dyDescent="0.25">
      <c r="A251" t="e">
        <f ca="1"/>
        <v>#NAME?</v>
      </c>
      <c r="B251" t="e">
        <f ca="1"/>
        <v>#NAME?</v>
      </c>
      <c r="C251" t="e">
        <f ca="1"/>
        <v>#NAME?</v>
      </c>
      <c r="D251" t="e">
        <f ca="1"/>
        <v>#NAME?</v>
      </c>
      <c r="E251" t="e">
        <f ca="1"/>
        <v>#NAME?</v>
      </c>
      <c r="F251" t="e">
        <f ca="1"/>
        <v>#NAME?</v>
      </c>
      <c r="G251" t="e">
        <f ca="1"/>
        <v>#NAME?</v>
      </c>
    </row>
    <row r="252" spans="1:7" x14ac:dyDescent="0.25">
      <c r="A252" t="e">
        <f ca="1"/>
        <v>#NAME?</v>
      </c>
      <c r="B252" t="e">
        <f ca="1"/>
        <v>#NAME?</v>
      </c>
      <c r="C252" t="e">
        <f ca="1"/>
        <v>#NAME?</v>
      </c>
      <c r="D252" t="e">
        <f ca="1"/>
        <v>#NAME?</v>
      </c>
      <c r="E252" t="e">
        <f ca="1"/>
        <v>#NAME?</v>
      </c>
      <c r="F252" t="e">
        <f ca="1"/>
        <v>#NAME?</v>
      </c>
      <c r="G252" t="e">
        <f ca="1"/>
        <v>#NAME?</v>
      </c>
    </row>
    <row r="253" spans="1:7" x14ac:dyDescent="0.25">
      <c r="A253" t="e">
        <f ca="1"/>
        <v>#NAME?</v>
      </c>
      <c r="B253" t="e">
        <f ca="1"/>
        <v>#NAME?</v>
      </c>
      <c r="C253" t="e">
        <f ca="1"/>
        <v>#NAME?</v>
      </c>
      <c r="D253" t="e">
        <f ca="1"/>
        <v>#NAME?</v>
      </c>
      <c r="E253" t="e">
        <f ca="1"/>
        <v>#NAME?</v>
      </c>
      <c r="F253" t="e">
        <f ca="1"/>
        <v>#NAME?</v>
      </c>
      <c r="G253" t="e">
        <f ca="1"/>
        <v>#NAME?</v>
      </c>
    </row>
    <row r="254" spans="1:7" x14ac:dyDescent="0.25">
      <c r="A254" t="e">
        <f ca="1"/>
        <v>#NAME?</v>
      </c>
      <c r="B254" t="e">
        <f ca="1"/>
        <v>#NAME?</v>
      </c>
      <c r="C254" t="e">
        <f ca="1"/>
        <v>#NAME?</v>
      </c>
      <c r="D254" t="e">
        <f ca="1"/>
        <v>#NAME?</v>
      </c>
      <c r="E254" t="e">
        <f ca="1"/>
        <v>#NAME?</v>
      </c>
      <c r="F254" t="e">
        <f ca="1"/>
        <v>#NAME?</v>
      </c>
      <c r="G254" t="e">
        <f ca="1"/>
        <v>#NAME?</v>
      </c>
    </row>
    <row r="255" spans="1:7" x14ac:dyDescent="0.25">
      <c r="A255" t="e">
        <f ca="1"/>
        <v>#NAME?</v>
      </c>
      <c r="B255" t="e">
        <f ca="1"/>
        <v>#NAME?</v>
      </c>
      <c r="C255" t="e">
        <f ca="1"/>
        <v>#NAME?</v>
      </c>
      <c r="D255" t="e">
        <f ca="1"/>
        <v>#NAME?</v>
      </c>
      <c r="E255" t="e">
        <f ca="1"/>
        <v>#NAME?</v>
      </c>
      <c r="F255" t="e">
        <f ca="1"/>
        <v>#NAME?</v>
      </c>
      <c r="G255" t="e">
        <f ca="1"/>
        <v>#NAME?</v>
      </c>
    </row>
    <row r="256" spans="1:7" x14ac:dyDescent="0.25">
      <c r="A256" t="e">
        <f ca="1"/>
        <v>#NAME?</v>
      </c>
      <c r="B256" t="e">
        <f ca="1"/>
        <v>#NAME?</v>
      </c>
      <c r="C256" t="e">
        <f ca="1"/>
        <v>#NAME?</v>
      </c>
      <c r="D256" t="e">
        <f ca="1"/>
        <v>#NAME?</v>
      </c>
      <c r="E256" t="e">
        <f ca="1"/>
        <v>#NAME?</v>
      </c>
      <c r="F256" t="e">
        <f ca="1"/>
        <v>#NAME?</v>
      </c>
      <c r="G256" t="e">
        <f ca="1"/>
        <v>#NAME?</v>
      </c>
    </row>
    <row r="257" spans="1:7" x14ac:dyDescent="0.25">
      <c r="A257" t="e">
        <f ca="1"/>
        <v>#NAME?</v>
      </c>
      <c r="B257" t="e">
        <f ca="1"/>
        <v>#NAME?</v>
      </c>
      <c r="C257" t="e">
        <f ca="1"/>
        <v>#NAME?</v>
      </c>
      <c r="D257" t="e">
        <f ca="1"/>
        <v>#NAME?</v>
      </c>
      <c r="E257" t="e">
        <f ca="1"/>
        <v>#NAME?</v>
      </c>
      <c r="F257" t="e">
        <f ca="1"/>
        <v>#NAME?</v>
      </c>
      <c r="G257" t="e">
        <f ca="1"/>
        <v>#NAME?</v>
      </c>
    </row>
    <row r="258" spans="1:7" x14ac:dyDescent="0.25">
      <c r="A258" t="e">
        <f ca="1"/>
        <v>#NAME?</v>
      </c>
      <c r="B258" t="e">
        <f ca="1"/>
        <v>#NAME?</v>
      </c>
      <c r="C258" t="e">
        <f ca="1"/>
        <v>#NAME?</v>
      </c>
      <c r="D258" t="e">
        <f ca="1"/>
        <v>#NAME?</v>
      </c>
      <c r="E258" t="e">
        <f ca="1"/>
        <v>#NAME?</v>
      </c>
      <c r="F258" t="e">
        <f ca="1"/>
        <v>#NAME?</v>
      </c>
      <c r="G258" t="e">
        <f ca="1"/>
        <v>#NAME?</v>
      </c>
    </row>
    <row r="259" spans="1:7" x14ac:dyDescent="0.25">
      <c r="A259" t="e">
        <f ca="1"/>
        <v>#NAME?</v>
      </c>
      <c r="B259" t="e">
        <f ca="1"/>
        <v>#NAME?</v>
      </c>
      <c r="C259" t="e">
        <f ca="1"/>
        <v>#NAME?</v>
      </c>
      <c r="D259" t="e">
        <f ca="1"/>
        <v>#NAME?</v>
      </c>
      <c r="E259" t="e">
        <f ca="1"/>
        <v>#NAME?</v>
      </c>
      <c r="F259" t="e">
        <f ca="1"/>
        <v>#NAME?</v>
      </c>
      <c r="G259" t="e">
        <f ca="1"/>
        <v>#NAME?</v>
      </c>
    </row>
    <row r="260" spans="1:7" x14ac:dyDescent="0.25">
      <c r="A260" t="e">
        <f ca="1"/>
        <v>#NAME?</v>
      </c>
      <c r="B260" t="e">
        <f ca="1"/>
        <v>#NAME?</v>
      </c>
      <c r="C260" t="e">
        <f ca="1"/>
        <v>#NAME?</v>
      </c>
      <c r="D260" t="e">
        <f ca="1"/>
        <v>#NAME?</v>
      </c>
      <c r="E260" t="e">
        <f ca="1"/>
        <v>#NAME?</v>
      </c>
      <c r="F260" t="e">
        <f ca="1"/>
        <v>#NAME?</v>
      </c>
      <c r="G260" t="e">
        <f ca="1"/>
        <v>#NAME?</v>
      </c>
    </row>
    <row r="261" spans="1:7" x14ac:dyDescent="0.25">
      <c r="A261" t="e">
        <f ca="1"/>
        <v>#NAME?</v>
      </c>
      <c r="B261" t="e">
        <f ca="1"/>
        <v>#NAME?</v>
      </c>
      <c r="C261" t="e">
        <f ca="1"/>
        <v>#NAME?</v>
      </c>
      <c r="D261" t="e">
        <f ca="1"/>
        <v>#NAME?</v>
      </c>
      <c r="E261" t="e">
        <f ca="1"/>
        <v>#NAME?</v>
      </c>
      <c r="F261" t="e">
        <f ca="1"/>
        <v>#NAME?</v>
      </c>
      <c r="G261" t="e">
        <f ca="1"/>
        <v>#NAME?</v>
      </c>
    </row>
    <row r="262" spans="1:7" x14ac:dyDescent="0.25">
      <c r="A262" t="e">
        <f ca="1"/>
        <v>#NAME?</v>
      </c>
      <c r="B262" t="e">
        <f ca="1"/>
        <v>#NAME?</v>
      </c>
      <c r="C262" t="e">
        <f ca="1"/>
        <v>#NAME?</v>
      </c>
      <c r="D262" t="e">
        <f ca="1"/>
        <v>#NAME?</v>
      </c>
      <c r="E262" t="e">
        <f ca="1"/>
        <v>#NAME?</v>
      </c>
      <c r="F262" t="e">
        <f ca="1"/>
        <v>#NAME?</v>
      </c>
      <c r="G262" t="e">
        <f ca="1"/>
        <v>#NAME?</v>
      </c>
    </row>
    <row r="263" spans="1:7" x14ac:dyDescent="0.25">
      <c r="A263" t="e">
        <f ca="1"/>
        <v>#NAME?</v>
      </c>
      <c r="B263" t="e">
        <f ca="1"/>
        <v>#NAME?</v>
      </c>
      <c r="C263" t="e">
        <f ca="1"/>
        <v>#NAME?</v>
      </c>
      <c r="D263" t="e">
        <f ca="1"/>
        <v>#NAME?</v>
      </c>
      <c r="E263" t="e">
        <f ca="1"/>
        <v>#NAME?</v>
      </c>
      <c r="F263" t="e">
        <f ca="1"/>
        <v>#NAME?</v>
      </c>
      <c r="G263" t="e">
        <f ca="1"/>
        <v>#NAME?</v>
      </c>
    </row>
    <row r="264" spans="1:7" x14ac:dyDescent="0.25">
      <c r="A264" t="e">
        <f ca="1"/>
        <v>#NAME?</v>
      </c>
      <c r="B264" t="e">
        <f ca="1"/>
        <v>#NAME?</v>
      </c>
      <c r="C264" t="e">
        <f ca="1"/>
        <v>#NAME?</v>
      </c>
      <c r="D264" t="e">
        <f ca="1"/>
        <v>#NAME?</v>
      </c>
      <c r="E264" t="e">
        <f ca="1"/>
        <v>#NAME?</v>
      </c>
      <c r="F264" t="e">
        <f ca="1"/>
        <v>#NAME?</v>
      </c>
      <c r="G264" t="e">
        <f ca="1"/>
        <v>#NAME?</v>
      </c>
    </row>
    <row r="265" spans="1:7" x14ac:dyDescent="0.25">
      <c r="A265" t="e">
        <f ca="1"/>
        <v>#NAME?</v>
      </c>
      <c r="B265" t="e">
        <f ca="1"/>
        <v>#NAME?</v>
      </c>
      <c r="C265" t="e">
        <f ca="1"/>
        <v>#NAME?</v>
      </c>
      <c r="D265" t="e">
        <f ca="1"/>
        <v>#NAME?</v>
      </c>
      <c r="E265" t="e">
        <f ca="1"/>
        <v>#NAME?</v>
      </c>
      <c r="F265" t="e">
        <f ca="1"/>
        <v>#NAME?</v>
      </c>
      <c r="G265" t="e">
        <f ca="1"/>
        <v>#NAME?</v>
      </c>
    </row>
    <row r="266" spans="1:7" x14ac:dyDescent="0.25">
      <c r="A266" t="e">
        <f ca="1"/>
        <v>#NAME?</v>
      </c>
      <c r="B266" t="e">
        <f ca="1"/>
        <v>#NAME?</v>
      </c>
      <c r="C266" t="e">
        <f ca="1"/>
        <v>#NAME?</v>
      </c>
      <c r="D266" t="e">
        <f ca="1"/>
        <v>#NAME?</v>
      </c>
      <c r="E266" t="e">
        <f ca="1"/>
        <v>#NAME?</v>
      </c>
      <c r="F266" t="e">
        <f ca="1"/>
        <v>#NAME?</v>
      </c>
      <c r="G266" t="e">
        <f ca="1"/>
        <v>#NAME?</v>
      </c>
    </row>
    <row r="267" spans="1:7" x14ac:dyDescent="0.25">
      <c r="A267" t="e">
        <f ca="1"/>
        <v>#NAME?</v>
      </c>
      <c r="B267" t="e">
        <f ca="1"/>
        <v>#NAME?</v>
      </c>
      <c r="C267" t="e">
        <f ca="1"/>
        <v>#NAME?</v>
      </c>
      <c r="D267" t="e">
        <f ca="1"/>
        <v>#NAME?</v>
      </c>
      <c r="E267" t="e">
        <f ca="1"/>
        <v>#NAME?</v>
      </c>
      <c r="F267" t="e">
        <f ca="1"/>
        <v>#NAME?</v>
      </c>
      <c r="G267" t="e">
        <f ca="1"/>
        <v>#NAME?</v>
      </c>
    </row>
    <row r="268" spans="1:7" x14ac:dyDescent="0.25">
      <c r="A268" t="e">
        <f ca="1"/>
        <v>#NAME?</v>
      </c>
      <c r="B268" t="e">
        <f ca="1"/>
        <v>#NAME?</v>
      </c>
      <c r="C268" t="e">
        <f ca="1"/>
        <v>#NAME?</v>
      </c>
      <c r="D268" t="e">
        <f ca="1"/>
        <v>#NAME?</v>
      </c>
      <c r="E268" t="e">
        <f ca="1"/>
        <v>#NAME?</v>
      </c>
      <c r="F268" t="e">
        <f ca="1"/>
        <v>#NAME?</v>
      </c>
      <c r="G268" t="e">
        <f ca="1"/>
        <v>#NAME?</v>
      </c>
    </row>
    <row r="269" spans="1:7" x14ac:dyDescent="0.25">
      <c r="A269" t="e">
        <f ca="1"/>
        <v>#NAME?</v>
      </c>
      <c r="B269" t="e">
        <f ca="1"/>
        <v>#NAME?</v>
      </c>
      <c r="C269" t="e">
        <f ca="1"/>
        <v>#NAME?</v>
      </c>
      <c r="D269" t="e">
        <f ca="1"/>
        <v>#NAME?</v>
      </c>
      <c r="E269" t="e">
        <f ca="1"/>
        <v>#NAME?</v>
      </c>
      <c r="F269" t="e">
        <f ca="1"/>
        <v>#NAME?</v>
      </c>
      <c r="G269" t="e">
        <f ca="1"/>
        <v>#NAME?</v>
      </c>
    </row>
    <row r="270" spans="1:7" x14ac:dyDescent="0.25">
      <c r="A270" t="e">
        <f ca="1"/>
        <v>#NAME?</v>
      </c>
      <c r="B270" t="e">
        <f ca="1"/>
        <v>#NAME?</v>
      </c>
      <c r="C270" t="e">
        <f ca="1"/>
        <v>#NAME?</v>
      </c>
      <c r="D270" t="e">
        <f ca="1"/>
        <v>#NAME?</v>
      </c>
      <c r="E270" t="e">
        <f ca="1"/>
        <v>#NAME?</v>
      </c>
      <c r="F270" t="e">
        <f ca="1"/>
        <v>#NAME?</v>
      </c>
      <c r="G270" t="e">
        <f ca="1"/>
        <v>#NAME?</v>
      </c>
    </row>
    <row r="271" spans="1:7" x14ac:dyDescent="0.25">
      <c r="A271" t="e">
        <f ca="1"/>
        <v>#NAME?</v>
      </c>
      <c r="B271" t="e">
        <f ca="1"/>
        <v>#NAME?</v>
      </c>
      <c r="C271" t="e">
        <f ca="1"/>
        <v>#NAME?</v>
      </c>
      <c r="D271" t="e">
        <f ca="1"/>
        <v>#NAME?</v>
      </c>
      <c r="E271" t="e">
        <f ca="1"/>
        <v>#NAME?</v>
      </c>
      <c r="F271" t="e">
        <f ca="1"/>
        <v>#NAME?</v>
      </c>
      <c r="G271" t="e">
        <f ca="1"/>
        <v>#NAME?</v>
      </c>
    </row>
    <row r="272" spans="1:7" x14ac:dyDescent="0.25">
      <c r="A272" t="e">
        <f ca="1"/>
        <v>#NAME?</v>
      </c>
      <c r="B272" t="e">
        <f ca="1"/>
        <v>#NAME?</v>
      </c>
      <c r="C272" t="e">
        <f ca="1"/>
        <v>#NAME?</v>
      </c>
      <c r="D272" t="e">
        <f ca="1"/>
        <v>#NAME?</v>
      </c>
      <c r="E272" t="e">
        <f ca="1"/>
        <v>#NAME?</v>
      </c>
      <c r="F272" t="e">
        <f ca="1"/>
        <v>#NAME?</v>
      </c>
      <c r="G272" t="e">
        <f ca="1"/>
        <v>#NAME?</v>
      </c>
    </row>
    <row r="273" spans="1:7" x14ac:dyDescent="0.25">
      <c r="A273" t="e">
        <f ca="1"/>
        <v>#NAME?</v>
      </c>
      <c r="B273" t="e">
        <f ca="1"/>
        <v>#NAME?</v>
      </c>
      <c r="C273" t="e">
        <f ca="1"/>
        <v>#NAME?</v>
      </c>
      <c r="D273" t="e">
        <f ca="1"/>
        <v>#NAME?</v>
      </c>
      <c r="E273" t="e">
        <f ca="1"/>
        <v>#NAME?</v>
      </c>
      <c r="F273" t="e">
        <f ca="1"/>
        <v>#NAME?</v>
      </c>
      <c r="G273" t="e">
        <f ca="1"/>
        <v>#NAME?</v>
      </c>
    </row>
    <row r="274" spans="1:7" x14ac:dyDescent="0.25">
      <c r="A274" t="e">
        <f ca="1"/>
        <v>#NAME?</v>
      </c>
      <c r="B274" t="e">
        <f ca="1"/>
        <v>#NAME?</v>
      </c>
      <c r="C274" t="e">
        <f ca="1"/>
        <v>#NAME?</v>
      </c>
      <c r="D274" t="e">
        <f ca="1"/>
        <v>#NAME?</v>
      </c>
      <c r="E274" t="e">
        <f ca="1"/>
        <v>#NAME?</v>
      </c>
      <c r="F274" t="e">
        <f ca="1"/>
        <v>#NAME?</v>
      </c>
      <c r="G274" t="e">
        <f ca="1"/>
        <v>#NAME?</v>
      </c>
    </row>
    <row r="275" spans="1:7" x14ac:dyDescent="0.25">
      <c r="A275" t="e">
        <f ca="1"/>
        <v>#NAME?</v>
      </c>
      <c r="B275" t="e">
        <f ca="1"/>
        <v>#NAME?</v>
      </c>
      <c r="C275" t="e">
        <f ca="1"/>
        <v>#NAME?</v>
      </c>
      <c r="D275" t="e">
        <f ca="1"/>
        <v>#NAME?</v>
      </c>
      <c r="E275" t="e">
        <f ca="1"/>
        <v>#NAME?</v>
      </c>
      <c r="F275" t="e">
        <f ca="1"/>
        <v>#NAME?</v>
      </c>
      <c r="G275" t="e">
        <f ca="1"/>
        <v>#NAME?</v>
      </c>
    </row>
    <row r="276" spans="1:7" x14ac:dyDescent="0.25">
      <c r="A276" t="e">
        <f ca="1"/>
        <v>#NAME?</v>
      </c>
      <c r="B276" t="e">
        <f ca="1"/>
        <v>#NAME?</v>
      </c>
      <c r="C276" t="e">
        <f ca="1"/>
        <v>#NAME?</v>
      </c>
      <c r="D276" t="e">
        <f ca="1"/>
        <v>#NAME?</v>
      </c>
      <c r="E276" t="e">
        <f ca="1"/>
        <v>#NAME?</v>
      </c>
      <c r="F276" t="e">
        <f ca="1"/>
        <v>#NAME?</v>
      </c>
      <c r="G276" t="e">
        <f ca="1"/>
        <v>#NAME?</v>
      </c>
    </row>
    <row r="277" spans="1:7" x14ac:dyDescent="0.25">
      <c r="A277" t="e">
        <f ca="1"/>
        <v>#NAME?</v>
      </c>
      <c r="B277" t="e">
        <f ca="1"/>
        <v>#NAME?</v>
      </c>
      <c r="C277" t="e">
        <f ca="1"/>
        <v>#NAME?</v>
      </c>
      <c r="D277" t="e">
        <f ca="1"/>
        <v>#NAME?</v>
      </c>
      <c r="E277" t="e">
        <f ca="1"/>
        <v>#NAME?</v>
      </c>
      <c r="F277" t="e">
        <f ca="1"/>
        <v>#NAME?</v>
      </c>
      <c r="G277" t="e">
        <f ca="1"/>
        <v>#NAME?</v>
      </c>
    </row>
    <row r="278" spans="1:7" x14ac:dyDescent="0.25">
      <c r="A278" t="e">
        <f ca="1"/>
        <v>#NAME?</v>
      </c>
      <c r="B278" t="e">
        <f ca="1"/>
        <v>#NAME?</v>
      </c>
      <c r="C278" t="e">
        <f ca="1"/>
        <v>#NAME?</v>
      </c>
      <c r="D278" t="e">
        <f ca="1"/>
        <v>#NAME?</v>
      </c>
      <c r="E278" t="e">
        <f ca="1"/>
        <v>#NAME?</v>
      </c>
      <c r="F278" t="e">
        <f ca="1"/>
        <v>#NAME?</v>
      </c>
      <c r="G278" t="e">
        <f ca="1"/>
        <v>#NAME?</v>
      </c>
    </row>
    <row r="279" spans="1:7" x14ac:dyDescent="0.25">
      <c r="A279" t="e">
        <f ca="1"/>
        <v>#NAME?</v>
      </c>
      <c r="B279" t="e">
        <f ca="1"/>
        <v>#NAME?</v>
      </c>
      <c r="C279" t="e">
        <f ca="1"/>
        <v>#NAME?</v>
      </c>
      <c r="D279" t="e">
        <f ca="1"/>
        <v>#NAME?</v>
      </c>
      <c r="E279" t="e">
        <f ca="1"/>
        <v>#NAME?</v>
      </c>
      <c r="F279" t="e">
        <f ca="1"/>
        <v>#NAME?</v>
      </c>
      <c r="G279" t="e">
        <f ca="1"/>
        <v>#NAME?</v>
      </c>
    </row>
    <row r="280" spans="1:7" x14ac:dyDescent="0.25">
      <c r="A280" t="e">
        <f ca="1"/>
        <v>#NAME?</v>
      </c>
      <c r="B280" t="e">
        <f ca="1"/>
        <v>#NAME?</v>
      </c>
      <c r="C280" t="e">
        <f ca="1"/>
        <v>#NAME?</v>
      </c>
      <c r="D280" t="e">
        <f ca="1"/>
        <v>#NAME?</v>
      </c>
      <c r="E280" t="e">
        <f ca="1"/>
        <v>#NAME?</v>
      </c>
      <c r="F280" t="e">
        <f ca="1"/>
        <v>#NAME?</v>
      </c>
      <c r="G280" t="e">
        <f ca="1"/>
        <v>#NAME?</v>
      </c>
    </row>
    <row r="281" spans="1:7" x14ac:dyDescent="0.25">
      <c r="A281" t="e">
        <f ca="1"/>
        <v>#NAME?</v>
      </c>
      <c r="B281" t="e">
        <f ca="1"/>
        <v>#NAME?</v>
      </c>
      <c r="C281" t="e">
        <f ca="1"/>
        <v>#NAME?</v>
      </c>
      <c r="D281" t="e">
        <f ca="1"/>
        <v>#NAME?</v>
      </c>
      <c r="E281" t="e">
        <f ca="1"/>
        <v>#NAME?</v>
      </c>
      <c r="F281" t="e">
        <f ca="1"/>
        <v>#NAME?</v>
      </c>
      <c r="G281" t="e">
        <f ca="1"/>
        <v>#NAME?</v>
      </c>
    </row>
    <row r="282" spans="1:7" x14ac:dyDescent="0.25">
      <c r="A282" t="e">
        <f ca="1"/>
        <v>#NAME?</v>
      </c>
      <c r="B282" t="e">
        <f ca="1"/>
        <v>#NAME?</v>
      </c>
      <c r="C282" t="e">
        <f ca="1"/>
        <v>#NAME?</v>
      </c>
      <c r="D282" t="e">
        <f ca="1"/>
        <v>#NAME?</v>
      </c>
      <c r="E282" t="e">
        <f ca="1"/>
        <v>#NAME?</v>
      </c>
      <c r="F282" t="e">
        <f ca="1"/>
        <v>#NAME?</v>
      </c>
      <c r="G282" t="e">
        <f ca="1"/>
        <v>#NAME?</v>
      </c>
    </row>
    <row r="283" spans="1:7" x14ac:dyDescent="0.25">
      <c r="A283" t="e">
        <f ca="1"/>
        <v>#NAME?</v>
      </c>
      <c r="B283" t="e">
        <f ca="1"/>
        <v>#NAME?</v>
      </c>
      <c r="C283" t="e">
        <f ca="1"/>
        <v>#NAME?</v>
      </c>
      <c r="D283" t="e">
        <f ca="1"/>
        <v>#NAME?</v>
      </c>
      <c r="E283" t="e">
        <f ca="1"/>
        <v>#NAME?</v>
      </c>
      <c r="F283" t="e">
        <f ca="1"/>
        <v>#NAME?</v>
      </c>
      <c r="G283" t="e">
        <f ca="1"/>
        <v>#NAME?</v>
      </c>
    </row>
    <row r="284" spans="1:7" x14ac:dyDescent="0.25">
      <c r="A284" t="e">
        <f ca="1"/>
        <v>#NAME?</v>
      </c>
      <c r="B284" t="e">
        <f ca="1"/>
        <v>#NAME?</v>
      </c>
      <c r="C284" t="e">
        <f ca="1"/>
        <v>#NAME?</v>
      </c>
      <c r="D284" t="e">
        <f ca="1"/>
        <v>#NAME?</v>
      </c>
      <c r="E284" t="e">
        <f ca="1"/>
        <v>#NAME?</v>
      </c>
      <c r="F284" t="e">
        <f ca="1"/>
        <v>#NAME?</v>
      </c>
      <c r="G284" t="e">
        <f ca="1"/>
        <v>#NAME?</v>
      </c>
    </row>
    <row r="285" spans="1:7" x14ac:dyDescent="0.25">
      <c r="A285" t="e">
        <f ca="1"/>
        <v>#NAME?</v>
      </c>
      <c r="B285" t="e">
        <f ca="1"/>
        <v>#NAME?</v>
      </c>
      <c r="C285" t="e">
        <f ca="1"/>
        <v>#NAME?</v>
      </c>
      <c r="D285" t="e">
        <f ca="1"/>
        <v>#NAME?</v>
      </c>
      <c r="E285" t="e">
        <f ca="1"/>
        <v>#NAME?</v>
      </c>
      <c r="F285" t="e">
        <f ca="1"/>
        <v>#NAME?</v>
      </c>
      <c r="G285" t="e">
        <f ca="1"/>
        <v>#NAME?</v>
      </c>
    </row>
    <row r="286" spans="1:7" x14ac:dyDescent="0.25">
      <c r="A286" t="e">
        <f ca="1"/>
        <v>#NAME?</v>
      </c>
      <c r="B286" t="e">
        <f ca="1"/>
        <v>#NAME?</v>
      </c>
      <c r="C286" t="e">
        <f ca="1"/>
        <v>#NAME?</v>
      </c>
      <c r="D286" t="e">
        <f ca="1"/>
        <v>#NAME?</v>
      </c>
      <c r="E286" t="e">
        <f ca="1"/>
        <v>#NAME?</v>
      </c>
      <c r="F286" t="e">
        <f ca="1"/>
        <v>#NAME?</v>
      </c>
      <c r="G286" t="e">
        <f ca="1"/>
        <v>#NAME?</v>
      </c>
    </row>
    <row r="287" spans="1:7" x14ac:dyDescent="0.25">
      <c r="A287" t="e">
        <f ca="1"/>
        <v>#NAME?</v>
      </c>
      <c r="B287" t="e">
        <f ca="1"/>
        <v>#NAME?</v>
      </c>
      <c r="C287" t="e">
        <f ca="1"/>
        <v>#NAME?</v>
      </c>
      <c r="D287" t="e">
        <f ca="1"/>
        <v>#NAME?</v>
      </c>
      <c r="E287" t="e">
        <f ca="1"/>
        <v>#NAME?</v>
      </c>
      <c r="F287" t="e">
        <f ca="1"/>
        <v>#NAME?</v>
      </c>
      <c r="G287" t="e">
        <f ca="1"/>
        <v>#NAME?</v>
      </c>
    </row>
    <row r="288" spans="1:7" x14ac:dyDescent="0.25">
      <c r="A288" t="e">
        <f ca="1"/>
        <v>#NAME?</v>
      </c>
      <c r="B288" t="e">
        <f ca="1"/>
        <v>#NAME?</v>
      </c>
      <c r="C288" t="e">
        <f ca="1"/>
        <v>#NAME?</v>
      </c>
      <c r="D288" t="e">
        <f ca="1"/>
        <v>#NAME?</v>
      </c>
      <c r="E288" t="e">
        <f ca="1"/>
        <v>#NAME?</v>
      </c>
      <c r="F288" t="e">
        <f ca="1"/>
        <v>#NAME?</v>
      </c>
      <c r="G288" t="e">
        <f ca="1"/>
        <v>#NAME?</v>
      </c>
    </row>
    <row r="289" spans="1:7" x14ac:dyDescent="0.25">
      <c r="A289" t="e">
        <f ca="1"/>
        <v>#NAME?</v>
      </c>
      <c r="B289" t="e">
        <f ca="1"/>
        <v>#NAME?</v>
      </c>
      <c r="C289" t="e">
        <f ca="1"/>
        <v>#NAME?</v>
      </c>
      <c r="D289" t="e">
        <f ca="1"/>
        <v>#NAME?</v>
      </c>
      <c r="E289" t="e">
        <f ca="1"/>
        <v>#NAME?</v>
      </c>
      <c r="F289" t="e">
        <f ca="1"/>
        <v>#NAME?</v>
      </c>
      <c r="G289" t="e">
        <f ca="1"/>
        <v>#NAME?</v>
      </c>
    </row>
    <row r="290" spans="1:7" x14ac:dyDescent="0.25">
      <c r="A290" t="e">
        <f ca="1"/>
        <v>#NAME?</v>
      </c>
      <c r="B290" t="e">
        <f ca="1"/>
        <v>#NAME?</v>
      </c>
      <c r="C290" t="e">
        <f ca="1"/>
        <v>#NAME?</v>
      </c>
      <c r="D290" t="e">
        <f ca="1"/>
        <v>#NAME?</v>
      </c>
      <c r="E290" t="e">
        <f ca="1"/>
        <v>#NAME?</v>
      </c>
      <c r="F290" t="e">
        <f ca="1"/>
        <v>#NAME?</v>
      </c>
      <c r="G290" t="e">
        <f ca="1"/>
        <v>#NAME?</v>
      </c>
    </row>
    <row r="291" spans="1:7" x14ac:dyDescent="0.25">
      <c r="A291" t="e">
        <f ca="1"/>
        <v>#NAME?</v>
      </c>
      <c r="B291" t="e">
        <f ca="1"/>
        <v>#NAME?</v>
      </c>
      <c r="C291" t="e">
        <f ca="1"/>
        <v>#NAME?</v>
      </c>
      <c r="D291" t="e">
        <f ca="1"/>
        <v>#NAME?</v>
      </c>
      <c r="E291" t="e">
        <f ca="1"/>
        <v>#NAME?</v>
      </c>
      <c r="F291" t="e">
        <f ca="1"/>
        <v>#NAME?</v>
      </c>
      <c r="G291" t="e">
        <f ca="1"/>
        <v>#NAME?</v>
      </c>
    </row>
    <row r="292" spans="1:7" x14ac:dyDescent="0.25">
      <c r="A292" t="e">
        <f ca="1"/>
        <v>#NAME?</v>
      </c>
      <c r="B292" t="e">
        <f ca="1"/>
        <v>#NAME?</v>
      </c>
      <c r="C292" t="e">
        <f ca="1"/>
        <v>#NAME?</v>
      </c>
      <c r="D292" t="e">
        <f ca="1"/>
        <v>#NAME?</v>
      </c>
      <c r="E292" t="e">
        <f ca="1"/>
        <v>#NAME?</v>
      </c>
      <c r="F292" t="e">
        <f ca="1"/>
        <v>#NAME?</v>
      </c>
      <c r="G292" t="e">
        <f ca="1"/>
        <v>#NAME?</v>
      </c>
    </row>
    <row r="293" spans="1:7" x14ac:dyDescent="0.25">
      <c r="A293" t="e">
        <f ca="1"/>
        <v>#NAME?</v>
      </c>
      <c r="B293" t="e">
        <f ca="1"/>
        <v>#NAME?</v>
      </c>
      <c r="C293" t="e">
        <f ca="1"/>
        <v>#NAME?</v>
      </c>
      <c r="D293" t="e">
        <f ca="1"/>
        <v>#NAME?</v>
      </c>
      <c r="E293" t="e">
        <f ca="1"/>
        <v>#NAME?</v>
      </c>
      <c r="F293" t="e">
        <f ca="1"/>
        <v>#NAME?</v>
      </c>
      <c r="G293" t="e">
        <f ca="1"/>
        <v>#NAME?</v>
      </c>
    </row>
    <row r="294" spans="1:7" x14ac:dyDescent="0.25">
      <c r="A294" t="e">
        <f ca="1"/>
        <v>#NAME?</v>
      </c>
      <c r="B294" t="e">
        <f ca="1"/>
        <v>#NAME?</v>
      </c>
      <c r="C294" t="e">
        <f ca="1"/>
        <v>#NAME?</v>
      </c>
      <c r="D294" t="e">
        <f ca="1"/>
        <v>#NAME?</v>
      </c>
      <c r="E294" t="e">
        <f ca="1"/>
        <v>#NAME?</v>
      </c>
      <c r="F294" t="e">
        <f ca="1"/>
        <v>#NAME?</v>
      </c>
      <c r="G294" t="e">
        <f ca="1"/>
        <v>#NAME?</v>
      </c>
    </row>
    <row r="295" spans="1:7" x14ac:dyDescent="0.25">
      <c r="A295" t="e">
        <f ca="1"/>
        <v>#NAME?</v>
      </c>
      <c r="B295" t="e">
        <f ca="1"/>
        <v>#NAME?</v>
      </c>
      <c r="C295" t="e">
        <f ca="1"/>
        <v>#NAME?</v>
      </c>
      <c r="D295" t="e">
        <f ca="1"/>
        <v>#NAME?</v>
      </c>
      <c r="E295" t="e">
        <f ca="1"/>
        <v>#NAME?</v>
      </c>
      <c r="F295" t="e">
        <f ca="1"/>
        <v>#NAME?</v>
      </c>
      <c r="G295" t="e">
        <f ca="1"/>
        <v>#NAME?</v>
      </c>
    </row>
    <row r="296" spans="1:7" x14ac:dyDescent="0.25">
      <c r="A296" t="e">
        <f ca="1"/>
        <v>#NAME?</v>
      </c>
      <c r="B296" t="e">
        <f ca="1"/>
        <v>#NAME?</v>
      </c>
      <c r="C296" t="e">
        <f ca="1"/>
        <v>#NAME?</v>
      </c>
      <c r="D296" t="e">
        <f ca="1"/>
        <v>#NAME?</v>
      </c>
      <c r="E296" t="e">
        <f ca="1"/>
        <v>#NAME?</v>
      </c>
      <c r="F296" t="e">
        <f ca="1"/>
        <v>#NAME?</v>
      </c>
      <c r="G296" t="e">
        <f ca="1"/>
        <v>#NAME?</v>
      </c>
    </row>
    <row r="297" spans="1:7" x14ac:dyDescent="0.25">
      <c r="A297" t="e">
        <f ca="1"/>
        <v>#NAME?</v>
      </c>
      <c r="B297" t="e">
        <f ca="1"/>
        <v>#NAME?</v>
      </c>
      <c r="C297" t="e">
        <f ca="1"/>
        <v>#NAME?</v>
      </c>
      <c r="D297" t="e">
        <f ca="1"/>
        <v>#NAME?</v>
      </c>
      <c r="E297" t="e">
        <f ca="1"/>
        <v>#NAME?</v>
      </c>
      <c r="F297" t="e">
        <f ca="1"/>
        <v>#NAME?</v>
      </c>
      <c r="G297" t="e">
        <f ca="1"/>
        <v>#NAME?</v>
      </c>
    </row>
    <row r="298" spans="1:7" x14ac:dyDescent="0.25">
      <c r="A298" t="e">
        <f ca="1"/>
        <v>#NAME?</v>
      </c>
      <c r="B298" t="e">
        <f ca="1"/>
        <v>#NAME?</v>
      </c>
      <c r="C298" t="e">
        <f ca="1"/>
        <v>#NAME?</v>
      </c>
      <c r="D298" t="e">
        <f ca="1"/>
        <v>#NAME?</v>
      </c>
      <c r="E298" t="e">
        <f ca="1"/>
        <v>#NAME?</v>
      </c>
      <c r="F298" t="e">
        <f ca="1"/>
        <v>#NAME?</v>
      </c>
      <c r="G298" t="e">
        <f ca="1"/>
        <v>#NAME?</v>
      </c>
    </row>
    <row r="299" spans="1:7" x14ac:dyDescent="0.25">
      <c r="A299" t="e">
        <f ca="1"/>
        <v>#NAME?</v>
      </c>
      <c r="B299" t="e">
        <f ca="1"/>
        <v>#NAME?</v>
      </c>
      <c r="C299" t="e">
        <f ca="1"/>
        <v>#NAME?</v>
      </c>
      <c r="D299" t="e">
        <f ca="1"/>
        <v>#NAME?</v>
      </c>
      <c r="E299" t="e">
        <f ca="1"/>
        <v>#NAME?</v>
      </c>
      <c r="F299" t="e">
        <f ca="1"/>
        <v>#NAME?</v>
      </c>
      <c r="G299" t="e">
        <f ca="1"/>
        <v>#NAME?</v>
      </c>
    </row>
    <row r="300" spans="1:7" x14ac:dyDescent="0.25">
      <c r="A300" t="e">
        <f ca="1"/>
        <v>#NAME?</v>
      </c>
      <c r="B300" t="e">
        <f ca="1"/>
        <v>#NAME?</v>
      </c>
      <c r="C300" t="e">
        <f ca="1"/>
        <v>#NAME?</v>
      </c>
      <c r="D300" t="e">
        <f ca="1"/>
        <v>#NAME?</v>
      </c>
      <c r="E300" t="e">
        <f ca="1"/>
        <v>#NAME?</v>
      </c>
      <c r="F300" t="e">
        <f ca="1"/>
        <v>#NAME?</v>
      </c>
      <c r="G300" t="e">
        <f ca="1"/>
        <v>#NAME?</v>
      </c>
    </row>
    <row r="301" spans="1:7" x14ac:dyDescent="0.25">
      <c r="A301" t="e">
        <f ca="1"/>
        <v>#NAME?</v>
      </c>
      <c r="B301" t="e">
        <f ca="1"/>
        <v>#NAME?</v>
      </c>
      <c r="C301" t="e">
        <f ca="1"/>
        <v>#NAME?</v>
      </c>
      <c r="D301" t="e">
        <f ca="1"/>
        <v>#NAME?</v>
      </c>
      <c r="E301" t="e">
        <f ca="1"/>
        <v>#NAME?</v>
      </c>
      <c r="F301" t="e">
        <f ca="1"/>
        <v>#NAME?</v>
      </c>
      <c r="G301" t="e">
        <f ca="1"/>
        <v>#NAME?</v>
      </c>
    </row>
    <row r="302" spans="1:7" x14ac:dyDescent="0.25">
      <c r="A302" t="e">
        <f ca="1"/>
        <v>#NAME?</v>
      </c>
      <c r="B302" t="e">
        <f ca="1"/>
        <v>#NAME?</v>
      </c>
      <c r="C302" t="e">
        <f ca="1"/>
        <v>#NAME?</v>
      </c>
      <c r="D302" t="e">
        <f ca="1"/>
        <v>#NAME?</v>
      </c>
      <c r="E302" t="e">
        <f ca="1"/>
        <v>#NAME?</v>
      </c>
      <c r="F302" t="e">
        <f ca="1"/>
        <v>#NAME?</v>
      </c>
      <c r="G302" t="e">
        <f ca="1"/>
        <v>#NAME?</v>
      </c>
    </row>
    <row r="303" spans="1:7" x14ac:dyDescent="0.25">
      <c r="A303" t="e">
        <f ca="1"/>
        <v>#NAME?</v>
      </c>
      <c r="B303" t="e">
        <f ca="1"/>
        <v>#NAME?</v>
      </c>
      <c r="C303" t="e">
        <f ca="1"/>
        <v>#NAME?</v>
      </c>
      <c r="D303" t="e">
        <f ca="1"/>
        <v>#NAME?</v>
      </c>
      <c r="E303" t="e">
        <f ca="1"/>
        <v>#NAME?</v>
      </c>
      <c r="F303" t="e">
        <f ca="1"/>
        <v>#NAME?</v>
      </c>
      <c r="G303" t="e">
        <f ca="1"/>
        <v>#NAME?</v>
      </c>
    </row>
    <row r="304" spans="1:7" x14ac:dyDescent="0.25">
      <c r="A304" t="e">
        <f ca="1"/>
        <v>#NAME?</v>
      </c>
      <c r="B304" t="e">
        <f ca="1"/>
        <v>#NAME?</v>
      </c>
      <c r="C304" t="e">
        <f ca="1"/>
        <v>#NAME?</v>
      </c>
      <c r="D304" t="e">
        <f ca="1"/>
        <v>#NAME?</v>
      </c>
      <c r="E304" t="e">
        <f ca="1"/>
        <v>#NAME?</v>
      </c>
      <c r="F304" t="e">
        <f ca="1"/>
        <v>#NAME?</v>
      </c>
      <c r="G304" t="e">
        <f ca="1"/>
        <v>#NAME?</v>
      </c>
    </row>
    <row r="305" spans="1:7" x14ac:dyDescent="0.25">
      <c r="A305" t="e">
        <f ca="1"/>
        <v>#NAME?</v>
      </c>
      <c r="B305" t="e">
        <f ca="1"/>
        <v>#NAME?</v>
      </c>
      <c r="C305" t="e">
        <f ca="1"/>
        <v>#NAME?</v>
      </c>
      <c r="D305" t="e">
        <f ca="1"/>
        <v>#NAME?</v>
      </c>
      <c r="E305" t="e">
        <f ca="1"/>
        <v>#NAME?</v>
      </c>
      <c r="F305" t="e">
        <f ca="1"/>
        <v>#NAME?</v>
      </c>
      <c r="G305" t="e">
        <f ca="1"/>
        <v>#NAME?</v>
      </c>
    </row>
    <row r="306" spans="1:7" x14ac:dyDescent="0.25">
      <c r="A306" t="e">
        <f ca="1"/>
        <v>#NAME?</v>
      </c>
      <c r="B306" t="e">
        <f ca="1"/>
        <v>#NAME?</v>
      </c>
      <c r="C306" t="e">
        <f ca="1"/>
        <v>#NAME?</v>
      </c>
      <c r="D306" t="e">
        <f ca="1"/>
        <v>#NAME?</v>
      </c>
      <c r="E306" t="e">
        <f ca="1"/>
        <v>#NAME?</v>
      </c>
      <c r="F306" t="e">
        <f ca="1"/>
        <v>#NAME?</v>
      </c>
      <c r="G306" t="e">
        <f ca="1"/>
        <v>#NAME?</v>
      </c>
    </row>
    <row r="307" spans="1:7" x14ac:dyDescent="0.25">
      <c r="A307" t="e">
        <f ca="1"/>
        <v>#NAME?</v>
      </c>
      <c r="B307" t="e">
        <f ca="1"/>
        <v>#NAME?</v>
      </c>
      <c r="C307" t="e">
        <f ca="1"/>
        <v>#NAME?</v>
      </c>
      <c r="D307" t="e">
        <f ca="1"/>
        <v>#NAME?</v>
      </c>
      <c r="E307" t="e">
        <f ca="1"/>
        <v>#NAME?</v>
      </c>
      <c r="F307" t="e">
        <f ca="1"/>
        <v>#NAME?</v>
      </c>
      <c r="G307" t="e">
        <f ca="1"/>
        <v>#NAME?</v>
      </c>
    </row>
    <row r="308" spans="1:7" x14ac:dyDescent="0.25">
      <c r="A308" t="e">
        <f ca="1"/>
        <v>#NAME?</v>
      </c>
      <c r="B308" t="e">
        <f ca="1"/>
        <v>#NAME?</v>
      </c>
      <c r="C308" t="e">
        <f ca="1"/>
        <v>#NAME?</v>
      </c>
      <c r="D308" t="e">
        <f ca="1"/>
        <v>#NAME?</v>
      </c>
      <c r="E308" t="e">
        <f ca="1"/>
        <v>#NAME?</v>
      </c>
      <c r="F308" t="e">
        <f ca="1"/>
        <v>#NAME?</v>
      </c>
      <c r="G308" t="e">
        <f ca="1"/>
        <v>#NAME?</v>
      </c>
    </row>
    <row r="309" spans="1:7" x14ac:dyDescent="0.25">
      <c r="A309" t="e">
        <f ca="1"/>
        <v>#NAME?</v>
      </c>
      <c r="B309" t="e">
        <f ca="1"/>
        <v>#NAME?</v>
      </c>
      <c r="C309" t="e">
        <f ca="1"/>
        <v>#NAME?</v>
      </c>
      <c r="D309" t="e">
        <f ca="1"/>
        <v>#NAME?</v>
      </c>
      <c r="E309" t="e">
        <f ca="1"/>
        <v>#NAME?</v>
      </c>
      <c r="F309" t="e">
        <f ca="1"/>
        <v>#NAME?</v>
      </c>
      <c r="G309" t="e">
        <f ca="1"/>
        <v>#NAME?</v>
      </c>
    </row>
    <row r="310" spans="1:7" x14ac:dyDescent="0.25">
      <c r="A310" t="e">
        <f ca="1"/>
        <v>#NAME?</v>
      </c>
      <c r="B310" t="e">
        <f ca="1"/>
        <v>#NAME?</v>
      </c>
      <c r="C310" t="e">
        <f ca="1"/>
        <v>#NAME?</v>
      </c>
      <c r="D310" t="e">
        <f ca="1"/>
        <v>#NAME?</v>
      </c>
      <c r="E310" t="e">
        <f ca="1"/>
        <v>#NAME?</v>
      </c>
      <c r="F310" t="e">
        <f ca="1"/>
        <v>#NAME?</v>
      </c>
      <c r="G310" t="e">
        <f ca="1"/>
        <v>#NAME?</v>
      </c>
    </row>
    <row r="311" spans="1:7" x14ac:dyDescent="0.25">
      <c r="A311" t="e">
        <f ca="1"/>
        <v>#NAME?</v>
      </c>
      <c r="B311" t="e">
        <f ca="1"/>
        <v>#NAME?</v>
      </c>
      <c r="C311" t="e">
        <f ca="1"/>
        <v>#NAME?</v>
      </c>
      <c r="D311" t="e">
        <f ca="1"/>
        <v>#NAME?</v>
      </c>
      <c r="E311" t="e">
        <f ca="1"/>
        <v>#NAME?</v>
      </c>
      <c r="F311" t="e">
        <f ca="1"/>
        <v>#NAME?</v>
      </c>
      <c r="G311" t="e">
        <f ca="1"/>
        <v>#NAME?</v>
      </c>
    </row>
    <row r="312" spans="1:7" x14ac:dyDescent="0.25">
      <c r="A312" t="e">
        <f ca="1"/>
        <v>#NAME?</v>
      </c>
      <c r="B312" t="e">
        <f ca="1"/>
        <v>#NAME?</v>
      </c>
      <c r="C312" t="e">
        <f ca="1"/>
        <v>#NAME?</v>
      </c>
      <c r="D312" t="e">
        <f ca="1"/>
        <v>#NAME?</v>
      </c>
      <c r="E312" t="e">
        <f ca="1"/>
        <v>#NAME?</v>
      </c>
      <c r="F312" t="e">
        <f ca="1"/>
        <v>#NAME?</v>
      </c>
      <c r="G312" t="e">
        <f ca="1"/>
        <v>#NAME?</v>
      </c>
    </row>
    <row r="313" spans="1:7" x14ac:dyDescent="0.25">
      <c r="A313" t="e">
        <f ca="1"/>
        <v>#NAME?</v>
      </c>
      <c r="B313" t="e">
        <f ca="1"/>
        <v>#NAME?</v>
      </c>
      <c r="C313" t="e">
        <f ca="1"/>
        <v>#NAME?</v>
      </c>
      <c r="D313" t="e">
        <f ca="1"/>
        <v>#NAME?</v>
      </c>
      <c r="E313" t="e">
        <f ca="1"/>
        <v>#NAME?</v>
      </c>
      <c r="F313" t="e">
        <f ca="1"/>
        <v>#NAME?</v>
      </c>
      <c r="G313" t="e">
        <f ca="1"/>
        <v>#NAME?</v>
      </c>
    </row>
    <row r="314" spans="1:7" x14ac:dyDescent="0.25">
      <c r="A314" t="e">
        <f ca="1"/>
        <v>#NAME?</v>
      </c>
      <c r="B314" t="e">
        <f ca="1"/>
        <v>#NAME?</v>
      </c>
      <c r="C314" t="e">
        <f ca="1"/>
        <v>#NAME?</v>
      </c>
      <c r="D314" t="e">
        <f ca="1"/>
        <v>#NAME?</v>
      </c>
      <c r="E314" t="e">
        <f ca="1"/>
        <v>#NAME?</v>
      </c>
      <c r="F314" t="e">
        <f ca="1"/>
        <v>#NAME?</v>
      </c>
      <c r="G314" t="e">
        <f ca="1"/>
        <v>#NAME?</v>
      </c>
    </row>
    <row r="315" spans="1:7" x14ac:dyDescent="0.25">
      <c r="A315" t="e">
        <f ca="1"/>
        <v>#NAME?</v>
      </c>
      <c r="B315" t="e">
        <f ca="1"/>
        <v>#NAME?</v>
      </c>
      <c r="C315" t="e">
        <f ca="1"/>
        <v>#NAME?</v>
      </c>
      <c r="D315" t="e">
        <f ca="1"/>
        <v>#NAME?</v>
      </c>
      <c r="E315" t="e">
        <f ca="1"/>
        <v>#NAME?</v>
      </c>
      <c r="F315" t="e">
        <f ca="1"/>
        <v>#NAME?</v>
      </c>
      <c r="G315" t="e">
        <f ca="1"/>
        <v>#NAME?</v>
      </c>
    </row>
    <row r="316" spans="1:7" x14ac:dyDescent="0.25">
      <c r="A316" t="e">
        <f ca="1"/>
        <v>#NAME?</v>
      </c>
      <c r="B316" t="e">
        <f ca="1"/>
        <v>#NAME?</v>
      </c>
      <c r="C316" t="e">
        <f ca="1"/>
        <v>#NAME?</v>
      </c>
      <c r="D316" t="e">
        <f ca="1"/>
        <v>#NAME?</v>
      </c>
      <c r="E316" t="e">
        <f ca="1"/>
        <v>#NAME?</v>
      </c>
      <c r="F316" t="e">
        <f ca="1"/>
        <v>#NAME?</v>
      </c>
      <c r="G316" t="e">
        <f ca="1"/>
        <v>#NAME?</v>
      </c>
    </row>
    <row r="317" spans="1:7" x14ac:dyDescent="0.25">
      <c r="A317" t="e">
        <f ca="1"/>
        <v>#NAME?</v>
      </c>
      <c r="B317" t="e">
        <f ca="1"/>
        <v>#NAME?</v>
      </c>
      <c r="C317" t="e">
        <f ca="1"/>
        <v>#NAME?</v>
      </c>
      <c r="D317" t="e">
        <f ca="1"/>
        <v>#NAME?</v>
      </c>
      <c r="E317" t="e">
        <f ca="1"/>
        <v>#NAME?</v>
      </c>
      <c r="F317" t="e">
        <f ca="1"/>
        <v>#NAME?</v>
      </c>
      <c r="G317" t="e">
        <f ca="1"/>
        <v>#NAME?</v>
      </c>
    </row>
    <row r="318" spans="1:7" x14ac:dyDescent="0.25">
      <c r="A318" t="e">
        <f ca="1"/>
        <v>#NAME?</v>
      </c>
      <c r="B318" t="e">
        <f ca="1"/>
        <v>#NAME?</v>
      </c>
      <c r="C318" t="e">
        <f ca="1"/>
        <v>#NAME?</v>
      </c>
      <c r="D318" t="e">
        <f ca="1"/>
        <v>#NAME?</v>
      </c>
      <c r="E318" t="e">
        <f ca="1"/>
        <v>#NAME?</v>
      </c>
      <c r="F318" t="e">
        <f ca="1"/>
        <v>#NAME?</v>
      </c>
      <c r="G318" t="e">
        <f ca="1"/>
        <v>#NAME?</v>
      </c>
    </row>
    <row r="319" spans="1:7" x14ac:dyDescent="0.25">
      <c r="A319" t="e">
        <f ca="1"/>
        <v>#NAME?</v>
      </c>
      <c r="B319" t="e">
        <f ca="1"/>
        <v>#NAME?</v>
      </c>
      <c r="C319" t="e">
        <f ca="1"/>
        <v>#NAME?</v>
      </c>
      <c r="D319" t="e">
        <f ca="1"/>
        <v>#NAME?</v>
      </c>
      <c r="E319" t="e">
        <f ca="1"/>
        <v>#NAME?</v>
      </c>
      <c r="F319" t="e">
        <f ca="1"/>
        <v>#NAME?</v>
      </c>
      <c r="G319" t="e">
        <f ca="1"/>
        <v>#NAME?</v>
      </c>
    </row>
    <row r="320" spans="1:7" x14ac:dyDescent="0.25">
      <c r="A320" t="e">
        <f ca="1"/>
        <v>#NAME?</v>
      </c>
      <c r="B320" t="e">
        <f ca="1"/>
        <v>#NAME?</v>
      </c>
      <c r="C320" t="e">
        <f ca="1"/>
        <v>#NAME?</v>
      </c>
      <c r="D320" t="e">
        <f ca="1"/>
        <v>#NAME?</v>
      </c>
      <c r="E320" t="e">
        <f ca="1"/>
        <v>#NAME?</v>
      </c>
      <c r="F320" t="e">
        <f ca="1"/>
        <v>#NAME?</v>
      </c>
      <c r="G320" t="e">
        <f ca="1"/>
        <v>#NAME?</v>
      </c>
    </row>
    <row r="321" spans="1:7" x14ac:dyDescent="0.25">
      <c r="A321" t="e">
        <f ca="1"/>
        <v>#NAME?</v>
      </c>
      <c r="B321" t="e">
        <f ca="1"/>
        <v>#NAME?</v>
      </c>
      <c r="C321" t="e">
        <f ca="1"/>
        <v>#NAME?</v>
      </c>
      <c r="D321" t="e">
        <f ca="1"/>
        <v>#NAME?</v>
      </c>
      <c r="E321" t="e">
        <f ca="1"/>
        <v>#NAME?</v>
      </c>
      <c r="F321" t="e">
        <f ca="1"/>
        <v>#NAME?</v>
      </c>
      <c r="G321" t="e">
        <f ca="1"/>
        <v>#NAME?</v>
      </c>
    </row>
    <row r="322" spans="1:7" x14ac:dyDescent="0.25">
      <c r="A322" t="e">
        <f ca="1"/>
        <v>#NAME?</v>
      </c>
      <c r="B322" t="e">
        <f ca="1"/>
        <v>#NAME?</v>
      </c>
      <c r="C322" t="e">
        <f ca="1"/>
        <v>#NAME?</v>
      </c>
      <c r="D322" t="e">
        <f ca="1"/>
        <v>#NAME?</v>
      </c>
      <c r="E322" t="e">
        <f ca="1"/>
        <v>#NAME?</v>
      </c>
      <c r="F322" t="e">
        <f ca="1"/>
        <v>#NAME?</v>
      </c>
      <c r="G322" t="e">
        <f ca="1"/>
        <v>#NAME?</v>
      </c>
    </row>
    <row r="323" spans="1:7" x14ac:dyDescent="0.25">
      <c r="A323" t="e">
        <f ca="1"/>
        <v>#NAME?</v>
      </c>
      <c r="B323" t="e">
        <f ca="1"/>
        <v>#NAME?</v>
      </c>
      <c r="C323" t="e">
        <f ca="1"/>
        <v>#NAME?</v>
      </c>
      <c r="D323" t="e">
        <f ca="1"/>
        <v>#NAME?</v>
      </c>
      <c r="E323" t="e">
        <f ca="1"/>
        <v>#NAME?</v>
      </c>
      <c r="F323" t="e">
        <f ca="1"/>
        <v>#NAME?</v>
      </c>
      <c r="G323" t="e">
        <f ca="1"/>
        <v>#NAME?</v>
      </c>
    </row>
    <row r="324" spans="1:7" x14ac:dyDescent="0.25">
      <c r="A324" t="e">
        <f ca="1"/>
        <v>#NAME?</v>
      </c>
      <c r="B324" t="e">
        <f ca="1"/>
        <v>#NAME?</v>
      </c>
      <c r="C324" t="e">
        <f ca="1"/>
        <v>#NAME?</v>
      </c>
      <c r="D324" t="e">
        <f ca="1"/>
        <v>#NAME?</v>
      </c>
      <c r="E324" t="e">
        <f ca="1"/>
        <v>#NAME?</v>
      </c>
      <c r="F324" t="e">
        <f ca="1"/>
        <v>#NAME?</v>
      </c>
      <c r="G324" t="e">
        <f ca="1"/>
        <v>#NAME?</v>
      </c>
    </row>
    <row r="325" spans="1:7" x14ac:dyDescent="0.25">
      <c r="A325" t="e">
        <f ca="1"/>
        <v>#NAME?</v>
      </c>
      <c r="B325" t="e">
        <f ca="1"/>
        <v>#NAME?</v>
      </c>
      <c r="C325" t="e">
        <f ca="1"/>
        <v>#NAME?</v>
      </c>
      <c r="D325" t="e">
        <f ca="1"/>
        <v>#NAME?</v>
      </c>
      <c r="E325" t="e">
        <f ca="1"/>
        <v>#NAME?</v>
      </c>
      <c r="F325" t="e">
        <f ca="1"/>
        <v>#NAME?</v>
      </c>
      <c r="G325" t="e">
        <f ca="1"/>
        <v>#NAME?</v>
      </c>
    </row>
    <row r="326" spans="1:7" x14ac:dyDescent="0.25">
      <c r="A326" t="e">
        <f ca="1"/>
        <v>#NAME?</v>
      </c>
      <c r="B326" t="e">
        <f ca="1"/>
        <v>#NAME?</v>
      </c>
      <c r="C326" t="e">
        <f ca="1"/>
        <v>#NAME?</v>
      </c>
      <c r="D326" t="e">
        <f ca="1"/>
        <v>#NAME?</v>
      </c>
      <c r="E326" t="e">
        <f ca="1"/>
        <v>#NAME?</v>
      </c>
      <c r="F326" t="e">
        <f ca="1"/>
        <v>#NAME?</v>
      </c>
      <c r="G326" t="e">
        <f ca="1"/>
        <v>#NAME?</v>
      </c>
    </row>
    <row r="327" spans="1:7" x14ac:dyDescent="0.25">
      <c r="A327" t="e">
        <f ca="1"/>
        <v>#NAME?</v>
      </c>
      <c r="B327" t="e">
        <f ca="1"/>
        <v>#NAME?</v>
      </c>
      <c r="C327" t="e">
        <f ca="1"/>
        <v>#NAME?</v>
      </c>
      <c r="D327" t="e">
        <f ca="1"/>
        <v>#NAME?</v>
      </c>
      <c r="E327" t="e">
        <f ca="1"/>
        <v>#NAME?</v>
      </c>
      <c r="F327" t="e">
        <f ca="1"/>
        <v>#NAME?</v>
      </c>
      <c r="G327" t="e">
        <f ca="1"/>
        <v>#NAME?</v>
      </c>
    </row>
    <row r="328" spans="1:7" x14ac:dyDescent="0.25">
      <c r="A328" t="e">
        <f ca="1"/>
        <v>#NAME?</v>
      </c>
      <c r="B328" t="e">
        <f ca="1"/>
        <v>#NAME?</v>
      </c>
      <c r="C328" t="e">
        <f ca="1"/>
        <v>#NAME?</v>
      </c>
      <c r="D328" t="e">
        <f ca="1"/>
        <v>#NAME?</v>
      </c>
      <c r="E328" t="e">
        <f ca="1"/>
        <v>#NAME?</v>
      </c>
      <c r="F328" t="e">
        <f ca="1"/>
        <v>#NAME?</v>
      </c>
      <c r="G328" t="e">
        <f ca="1"/>
        <v>#NAME?</v>
      </c>
    </row>
    <row r="329" spans="1:7" x14ac:dyDescent="0.25">
      <c r="A329" t="e">
        <f ca="1"/>
        <v>#NAME?</v>
      </c>
      <c r="B329" t="e">
        <f ca="1"/>
        <v>#NAME?</v>
      </c>
      <c r="C329" t="e">
        <f ca="1"/>
        <v>#NAME?</v>
      </c>
      <c r="D329" t="e">
        <f ca="1"/>
        <v>#NAME?</v>
      </c>
      <c r="E329" t="e">
        <f ca="1"/>
        <v>#NAME?</v>
      </c>
      <c r="F329" t="e">
        <f ca="1"/>
        <v>#NAME?</v>
      </c>
      <c r="G329" t="e">
        <f ca="1"/>
        <v>#NAME?</v>
      </c>
    </row>
    <row r="330" spans="1:7" x14ac:dyDescent="0.25">
      <c r="A330" t="e">
        <f ca="1"/>
        <v>#NAME?</v>
      </c>
      <c r="B330" t="e">
        <f ca="1"/>
        <v>#NAME?</v>
      </c>
      <c r="C330" t="e">
        <f ca="1"/>
        <v>#NAME?</v>
      </c>
      <c r="D330" t="e">
        <f ca="1"/>
        <v>#NAME?</v>
      </c>
      <c r="E330" t="e">
        <f ca="1"/>
        <v>#NAME?</v>
      </c>
      <c r="F330" t="e">
        <f ca="1"/>
        <v>#NAME?</v>
      </c>
      <c r="G330" t="e">
        <f ca="1"/>
        <v>#NAME?</v>
      </c>
    </row>
    <row r="331" spans="1:7" x14ac:dyDescent="0.25">
      <c r="A331" t="e">
        <f ca="1"/>
        <v>#NAME?</v>
      </c>
      <c r="B331" t="e">
        <f ca="1"/>
        <v>#NAME?</v>
      </c>
      <c r="C331" t="e">
        <f ca="1"/>
        <v>#NAME?</v>
      </c>
      <c r="D331" t="e">
        <f ca="1"/>
        <v>#NAME?</v>
      </c>
      <c r="E331" t="e">
        <f ca="1"/>
        <v>#NAME?</v>
      </c>
      <c r="F331" t="e">
        <f ca="1"/>
        <v>#NAME?</v>
      </c>
      <c r="G331" t="e">
        <f ca="1"/>
        <v>#NAME?</v>
      </c>
    </row>
    <row r="332" spans="1:7" x14ac:dyDescent="0.25">
      <c r="A332" t="e">
        <f ca="1"/>
        <v>#NAME?</v>
      </c>
      <c r="B332" t="e">
        <f ca="1"/>
        <v>#NAME?</v>
      </c>
      <c r="C332" t="e">
        <f ca="1"/>
        <v>#NAME?</v>
      </c>
      <c r="D332" t="e">
        <f ca="1"/>
        <v>#NAME?</v>
      </c>
      <c r="E332" t="e">
        <f ca="1"/>
        <v>#NAME?</v>
      </c>
      <c r="F332" t="e">
        <f ca="1"/>
        <v>#NAME?</v>
      </c>
      <c r="G332" t="e">
        <f ca="1"/>
        <v>#NAME?</v>
      </c>
    </row>
    <row r="333" spans="1:7" x14ac:dyDescent="0.25">
      <c r="A333" t="e">
        <f ca="1"/>
        <v>#NAME?</v>
      </c>
      <c r="B333" t="e">
        <f ca="1"/>
        <v>#NAME?</v>
      </c>
      <c r="C333" t="e">
        <f ca="1"/>
        <v>#NAME?</v>
      </c>
      <c r="D333" t="e">
        <f ca="1"/>
        <v>#NAME?</v>
      </c>
      <c r="E333" t="e">
        <f ca="1"/>
        <v>#NAME?</v>
      </c>
      <c r="F333" t="e">
        <f ca="1"/>
        <v>#NAME?</v>
      </c>
      <c r="G333" t="e">
        <f ca="1"/>
        <v>#NAME?</v>
      </c>
    </row>
    <row r="334" spans="1:7" x14ac:dyDescent="0.25">
      <c r="A334" t="e">
        <f ca="1"/>
        <v>#NAME?</v>
      </c>
      <c r="B334" t="e">
        <f ca="1"/>
        <v>#NAME?</v>
      </c>
      <c r="C334" t="e">
        <f ca="1"/>
        <v>#NAME?</v>
      </c>
      <c r="D334" t="e">
        <f ca="1"/>
        <v>#NAME?</v>
      </c>
      <c r="E334" t="e">
        <f ca="1"/>
        <v>#NAME?</v>
      </c>
      <c r="F334" t="e">
        <f ca="1"/>
        <v>#NAME?</v>
      </c>
      <c r="G334" t="e">
        <f ca="1"/>
        <v>#NAME?</v>
      </c>
    </row>
    <row r="335" spans="1:7" x14ac:dyDescent="0.25">
      <c r="A335" t="e">
        <f ca="1"/>
        <v>#NAME?</v>
      </c>
      <c r="B335" t="e">
        <f ca="1"/>
        <v>#NAME?</v>
      </c>
      <c r="C335" t="e">
        <f ca="1"/>
        <v>#NAME?</v>
      </c>
      <c r="D335" t="e">
        <f ca="1"/>
        <v>#NAME?</v>
      </c>
      <c r="E335" t="e">
        <f ca="1"/>
        <v>#NAME?</v>
      </c>
      <c r="F335" t="e">
        <f ca="1"/>
        <v>#NAME?</v>
      </c>
      <c r="G335" t="e">
        <f ca="1"/>
        <v>#NAME?</v>
      </c>
    </row>
    <row r="336" spans="1:7" x14ac:dyDescent="0.25">
      <c r="A336" t="e">
        <f ca="1"/>
        <v>#NAME?</v>
      </c>
      <c r="B336" t="e">
        <f ca="1"/>
        <v>#NAME?</v>
      </c>
      <c r="C336" t="e">
        <f ca="1"/>
        <v>#NAME?</v>
      </c>
      <c r="D336" t="e">
        <f ca="1"/>
        <v>#NAME?</v>
      </c>
      <c r="E336" t="e">
        <f ca="1"/>
        <v>#NAME?</v>
      </c>
      <c r="F336" t="e">
        <f ca="1"/>
        <v>#NAME?</v>
      </c>
      <c r="G336" t="e">
        <f ca="1"/>
        <v>#NAME?</v>
      </c>
    </row>
    <row r="337" spans="1:7" x14ac:dyDescent="0.25">
      <c r="A337" t="e">
        <f ca="1"/>
        <v>#NAME?</v>
      </c>
      <c r="B337" t="e">
        <f ca="1"/>
        <v>#NAME?</v>
      </c>
      <c r="C337" t="e">
        <f ca="1"/>
        <v>#NAME?</v>
      </c>
      <c r="D337" t="e">
        <f ca="1"/>
        <v>#NAME?</v>
      </c>
      <c r="E337" t="e">
        <f ca="1"/>
        <v>#NAME?</v>
      </c>
      <c r="F337" t="e">
        <f ca="1"/>
        <v>#NAME?</v>
      </c>
      <c r="G337" t="e">
        <f ca="1"/>
        <v>#NAME?</v>
      </c>
    </row>
    <row r="338" spans="1:7" x14ac:dyDescent="0.25">
      <c r="A338" t="e">
        <f ca="1"/>
        <v>#NAME?</v>
      </c>
      <c r="B338" t="e">
        <f ca="1"/>
        <v>#NAME?</v>
      </c>
      <c r="C338" t="e">
        <f ca="1"/>
        <v>#NAME?</v>
      </c>
      <c r="D338" t="e">
        <f ca="1"/>
        <v>#NAME?</v>
      </c>
      <c r="E338" t="e">
        <f ca="1"/>
        <v>#NAME?</v>
      </c>
      <c r="F338" t="e">
        <f ca="1"/>
        <v>#NAME?</v>
      </c>
      <c r="G338" t="e">
        <f ca="1"/>
        <v>#NAME?</v>
      </c>
    </row>
    <row r="339" spans="1:7" x14ac:dyDescent="0.25">
      <c r="A339" t="e">
        <f ca="1"/>
        <v>#NAME?</v>
      </c>
      <c r="B339" t="e">
        <f ca="1"/>
        <v>#NAME?</v>
      </c>
      <c r="C339" t="e">
        <f ca="1"/>
        <v>#NAME?</v>
      </c>
      <c r="D339" t="e">
        <f ca="1"/>
        <v>#NAME?</v>
      </c>
      <c r="E339" t="e">
        <f ca="1"/>
        <v>#NAME?</v>
      </c>
      <c r="F339" t="e">
        <f ca="1"/>
        <v>#NAME?</v>
      </c>
      <c r="G339" t="e">
        <f ca="1"/>
        <v>#NAME?</v>
      </c>
    </row>
    <row r="340" spans="1:7" x14ac:dyDescent="0.25">
      <c r="A340" t="e">
        <f ca="1"/>
        <v>#NAME?</v>
      </c>
      <c r="B340" t="e">
        <f ca="1"/>
        <v>#NAME?</v>
      </c>
      <c r="C340" t="e">
        <f ca="1"/>
        <v>#NAME?</v>
      </c>
      <c r="D340" t="e">
        <f ca="1"/>
        <v>#NAME?</v>
      </c>
      <c r="E340" t="e">
        <f ca="1"/>
        <v>#NAME?</v>
      </c>
      <c r="F340" t="e">
        <f ca="1"/>
        <v>#NAME?</v>
      </c>
      <c r="G340" t="e">
        <f ca="1"/>
        <v>#NAME?</v>
      </c>
    </row>
    <row r="341" spans="1:7" x14ac:dyDescent="0.25">
      <c r="A341" t="e">
        <f ca="1"/>
        <v>#NAME?</v>
      </c>
      <c r="B341" t="e">
        <f ca="1"/>
        <v>#NAME?</v>
      </c>
      <c r="C341" t="e">
        <f ca="1"/>
        <v>#NAME?</v>
      </c>
      <c r="D341" t="e">
        <f ca="1"/>
        <v>#NAME?</v>
      </c>
      <c r="E341" t="e">
        <f ca="1"/>
        <v>#NAME?</v>
      </c>
      <c r="F341" t="e">
        <f ca="1"/>
        <v>#NAME?</v>
      </c>
      <c r="G341" t="e">
        <f ca="1"/>
        <v>#NAME?</v>
      </c>
    </row>
    <row r="342" spans="1:7" x14ac:dyDescent="0.25">
      <c r="A342" t="e">
        <f ca="1"/>
        <v>#NAME?</v>
      </c>
      <c r="B342" t="e">
        <f ca="1"/>
        <v>#NAME?</v>
      </c>
      <c r="C342" t="e">
        <f ca="1"/>
        <v>#NAME?</v>
      </c>
      <c r="D342" t="e">
        <f ca="1"/>
        <v>#NAME?</v>
      </c>
      <c r="E342" t="e">
        <f ca="1"/>
        <v>#NAME?</v>
      </c>
      <c r="F342" t="e">
        <f ca="1"/>
        <v>#NAME?</v>
      </c>
      <c r="G342" t="e">
        <f ca="1"/>
        <v>#NAME?</v>
      </c>
    </row>
    <row r="343" spans="1:7" x14ac:dyDescent="0.25">
      <c r="A343" t="e">
        <f ca="1"/>
        <v>#NAME?</v>
      </c>
      <c r="B343" t="e">
        <f ca="1"/>
        <v>#NAME?</v>
      </c>
      <c r="C343" t="e">
        <f ca="1"/>
        <v>#NAME?</v>
      </c>
      <c r="D343" t="e">
        <f ca="1"/>
        <v>#NAME?</v>
      </c>
      <c r="E343" t="e">
        <f ca="1"/>
        <v>#NAME?</v>
      </c>
      <c r="F343" t="e">
        <f ca="1"/>
        <v>#NAME?</v>
      </c>
      <c r="G343" t="e">
        <f ca="1"/>
        <v>#NAME?</v>
      </c>
    </row>
    <row r="344" spans="1:7" x14ac:dyDescent="0.25">
      <c r="A344" t="e">
        <f ca="1"/>
        <v>#NAME?</v>
      </c>
      <c r="B344" t="e">
        <f ca="1"/>
        <v>#NAME?</v>
      </c>
      <c r="C344" t="e">
        <f ca="1"/>
        <v>#NAME?</v>
      </c>
      <c r="D344" t="e">
        <f ca="1"/>
        <v>#NAME?</v>
      </c>
      <c r="E344" t="e">
        <f ca="1"/>
        <v>#NAME?</v>
      </c>
      <c r="F344" t="e">
        <f ca="1"/>
        <v>#NAME?</v>
      </c>
      <c r="G344" t="e">
        <f ca="1"/>
        <v>#NAME?</v>
      </c>
    </row>
    <row r="345" spans="1:7" x14ac:dyDescent="0.25">
      <c r="A345" t="e">
        <f ca="1"/>
        <v>#NAME?</v>
      </c>
      <c r="B345" t="e">
        <f ca="1"/>
        <v>#NAME?</v>
      </c>
      <c r="C345" t="e">
        <f ca="1"/>
        <v>#NAME?</v>
      </c>
      <c r="D345" t="e">
        <f ca="1"/>
        <v>#NAME?</v>
      </c>
      <c r="E345" t="e">
        <f ca="1"/>
        <v>#NAME?</v>
      </c>
      <c r="F345" t="e">
        <f ca="1"/>
        <v>#NAME?</v>
      </c>
      <c r="G345" t="e">
        <f ca="1"/>
        <v>#NAME?</v>
      </c>
    </row>
    <row r="346" spans="1:7" x14ac:dyDescent="0.25">
      <c r="A346" t="e">
        <f ca="1"/>
        <v>#NAME?</v>
      </c>
      <c r="B346" t="e">
        <f ca="1"/>
        <v>#NAME?</v>
      </c>
      <c r="C346" t="e">
        <f ca="1"/>
        <v>#NAME?</v>
      </c>
      <c r="D346" t="e">
        <f ca="1"/>
        <v>#NAME?</v>
      </c>
      <c r="E346" t="e">
        <f ca="1"/>
        <v>#NAME?</v>
      </c>
      <c r="F346" t="e">
        <f ca="1"/>
        <v>#NAME?</v>
      </c>
      <c r="G346" t="e">
        <f ca="1"/>
        <v>#NAME?</v>
      </c>
    </row>
    <row r="347" spans="1:7" x14ac:dyDescent="0.25">
      <c r="A347" t="e">
        <f ca="1"/>
        <v>#NAME?</v>
      </c>
      <c r="B347" t="e">
        <f ca="1"/>
        <v>#NAME?</v>
      </c>
      <c r="C347" t="e">
        <f ca="1"/>
        <v>#NAME?</v>
      </c>
      <c r="D347" t="e">
        <f ca="1"/>
        <v>#NAME?</v>
      </c>
      <c r="E347" t="e">
        <f ca="1"/>
        <v>#NAME?</v>
      </c>
      <c r="F347" t="e">
        <f ca="1"/>
        <v>#NAME?</v>
      </c>
      <c r="G347" t="e">
        <f ca="1"/>
        <v>#NAME?</v>
      </c>
    </row>
    <row r="348" spans="1:7" x14ac:dyDescent="0.25">
      <c r="A348" t="e">
        <f ca="1"/>
        <v>#NAME?</v>
      </c>
      <c r="B348" t="e">
        <f ca="1"/>
        <v>#NAME?</v>
      </c>
      <c r="C348" t="e">
        <f ca="1"/>
        <v>#NAME?</v>
      </c>
      <c r="D348" t="e">
        <f ca="1"/>
        <v>#NAME?</v>
      </c>
      <c r="E348" t="e">
        <f ca="1"/>
        <v>#NAME?</v>
      </c>
      <c r="F348" t="e">
        <f ca="1"/>
        <v>#NAME?</v>
      </c>
      <c r="G348" t="e">
        <f ca="1"/>
        <v>#NAME?</v>
      </c>
    </row>
    <row r="349" spans="1:7" x14ac:dyDescent="0.25">
      <c r="A349" t="e">
        <f ca="1"/>
        <v>#NAME?</v>
      </c>
      <c r="B349" t="e">
        <f ca="1"/>
        <v>#NAME?</v>
      </c>
      <c r="C349" t="e">
        <f ca="1"/>
        <v>#NAME?</v>
      </c>
      <c r="D349" t="e">
        <f ca="1"/>
        <v>#NAME?</v>
      </c>
      <c r="E349" t="e">
        <f ca="1"/>
        <v>#NAME?</v>
      </c>
      <c r="F349" t="e">
        <f ca="1"/>
        <v>#NAME?</v>
      </c>
      <c r="G349" t="e">
        <f ca="1"/>
        <v>#NAME?</v>
      </c>
    </row>
    <row r="350" spans="1:7" x14ac:dyDescent="0.25">
      <c r="A350" t="e">
        <f ca="1"/>
        <v>#NAME?</v>
      </c>
      <c r="B350" t="e">
        <f ca="1"/>
        <v>#NAME?</v>
      </c>
      <c r="C350" t="e">
        <f ca="1"/>
        <v>#NAME?</v>
      </c>
      <c r="D350" t="e">
        <f ca="1"/>
        <v>#NAME?</v>
      </c>
      <c r="E350" t="e">
        <f ca="1"/>
        <v>#NAME?</v>
      </c>
      <c r="F350" t="e">
        <f ca="1"/>
        <v>#NAME?</v>
      </c>
      <c r="G350" t="e">
        <f ca="1"/>
        <v>#NAME?</v>
      </c>
    </row>
    <row r="351" spans="1:7" x14ac:dyDescent="0.25">
      <c r="A351" t="e">
        <f ca="1"/>
        <v>#NAME?</v>
      </c>
      <c r="B351" t="e">
        <f ca="1"/>
        <v>#NAME?</v>
      </c>
      <c r="C351" t="e">
        <f ca="1"/>
        <v>#NAME?</v>
      </c>
      <c r="D351" t="e">
        <f ca="1"/>
        <v>#NAME?</v>
      </c>
      <c r="E351" t="e">
        <f ca="1"/>
        <v>#NAME?</v>
      </c>
      <c r="F351" t="e">
        <f ca="1"/>
        <v>#NAME?</v>
      </c>
      <c r="G351" t="e">
        <f ca="1"/>
        <v>#NAME?</v>
      </c>
    </row>
    <row r="352" spans="1:7" x14ac:dyDescent="0.25">
      <c r="A352" t="e">
        <f ca="1"/>
        <v>#NAME?</v>
      </c>
      <c r="B352" t="e">
        <f ca="1"/>
        <v>#NAME?</v>
      </c>
      <c r="C352" t="e">
        <f ca="1"/>
        <v>#NAME?</v>
      </c>
      <c r="D352" t="e">
        <f ca="1"/>
        <v>#NAME?</v>
      </c>
      <c r="E352" t="e">
        <f ca="1"/>
        <v>#NAME?</v>
      </c>
      <c r="F352" t="e">
        <f ca="1"/>
        <v>#NAME?</v>
      </c>
      <c r="G352" t="e">
        <f ca="1"/>
        <v>#NAME?</v>
      </c>
    </row>
    <row r="353" spans="1:7" x14ac:dyDescent="0.25">
      <c r="A353" t="e">
        <f ca="1"/>
        <v>#NAME?</v>
      </c>
      <c r="B353" t="e">
        <f ca="1"/>
        <v>#NAME?</v>
      </c>
      <c r="C353" t="e">
        <f ca="1"/>
        <v>#NAME?</v>
      </c>
      <c r="D353" t="e">
        <f ca="1"/>
        <v>#NAME?</v>
      </c>
      <c r="E353" t="e">
        <f ca="1"/>
        <v>#NAME?</v>
      </c>
      <c r="F353" t="e">
        <f ca="1"/>
        <v>#NAME?</v>
      </c>
      <c r="G353" t="e">
        <f ca="1"/>
        <v>#NAME?</v>
      </c>
    </row>
    <row r="354" spans="1:7" x14ac:dyDescent="0.25">
      <c r="A354" t="e">
        <f ca="1"/>
        <v>#NAME?</v>
      </c>
      <c r="B354" t="e">
        <f ca="1"/>
        <v>#NAME?</v>
      </c>
      <c r="C354" t="e">
        <f ca="1"/>
        <v>#NAME?</v>
      </c>
      <c r="D354" t="e">
        <f ca="1"/>
        <v>#NAME?</v>
      </c>
      <c r="E354" t="e">
        <f ca="1"/>
        <v>#NAME?</v>
      </c>
      <c r="F354" t="e">
        <f ca="1"/>
        <v>#NAME?</v>
      </c>
      <c r="G354" t="e">
        <f ca="1"/>
        <v>#NAME?</v>
      </c>
    </row>
    <row r="355" spans="1:7" x14ac:dyDescent="0.25">
      <c r="A355" t="e">
        <f ca="1"/>
        <v>#NAME?</v>
      </c>
      <c r="B355" t="e">
        <f ca="1"/>
        <v>#NAME?</v>
      </c>
      <c r="C355" t="e">
        <f ca="1"/>
        <v>#NAME?</v>
      </c>
      <c r="D355" t="e">
        <f ca="1"/>
        <v>#NAME?</v>
      </c>
      <c r="E355" t="e">
        <f ca="1"/>
        <v>#NAME?</v>
      </c>
      <c r="F355" t="e">
        <f ca="1"/>
        <v>#NAME?</v>
      </c>
      <c r="G355" t="e">
        <f ca="1"/>
        <v>#NAME?</v>
      </c>
    </row>
    <row r="356" spans="1:7" x14ac:dyDescent="0.25">
      <c r="A356" t="e">
        <f ca="1"/>
        <v>#NAME?</v>
      </c>
      <c r="B356" t="e">
        <f ca="1"/>
        <v>#NAME?</v>
      </c>
      <c r="C356" t="e">
        <f ca="1"/>
        <v>#NAME?</v>
      </c>
      <c r="D356" t="e">
        <f ca="1"/>
        <v>#NAME?</v>
      </c>
      <c r="E356" t="e">
        <f ca="1"/>
        <v>#NAME?</v>
      </c>
      <c r="F356" t="e">
        <f ca="1"/>
        <v>#NAME?</v>
      </c>
      <c r="G356" t="e">
        <f ca="1"/>
        <v>#NAME?</v>
      </c>
    </row>
    <row r="357" spans="1:7" x14ac:dyDescent="0.25">
      <c r="A357" t="e">
        <f ca="1"/>
        <v>#NAME?</v>
      </c>
      <c r="B357" t="e">
        <f ca="1"/>
        <v>#NAME?</v>
      </c>
      <c r="C357" t="e">
        <f ca="1"/>
        <v>#NAME?</v>
      </c>
      <c r="D357" t="e">
        <f ca="1"/>
        <v>#NAME?</v>
      </c>
      <c r="E357" t="e">
        <f ca="1"/>
        <v>#NAME?</v>
      </c>
      <c r="F357" t="e">
        <f ca="1"/>
        <v>#NAME?</v>
      </c>
      <c r="G357" t="e">
        <f ca="1"/>
        <v>#NAME?</v>
      </c>
    </row>
    <row r="358" spans="1:7" x14ac:dyDescent="0.25">
      <c r="A358" t="e">
        <f ca="1"/>
        <v>#NAME?</v>
      </c>
      <c r="B358" t="e">
        <f ca="1"/>
        <v>#NAME?</v>
      </c>
      <c r="C358" t="e">
        <f ca="1"/>
        <v>#NAME?</v>
      </c>
      <c r="D358" t="e">
        <f ca="1"/>
        <v>#NAME?</v>
      </c>
      <c r="E358" t="e">
        <f ca="1"/>
        <v>#NAME?</v>
      </c>
      <c r="F358" t="e">
        <f ca="1"/>
        <v>#NAME?</v>
      </c>
      <c r="G358" t="e">
        <f ca="1"/>
        <v>#NAME?</v>
      </c>
    </row>
    <row r="359" spans="1:7" x14ac:dyDescent="0.25">
      <c r="A359" t="e">
        <f ca="1"/>
        <v>#NAME?</v>
      </c>
      <c r="B359" t="e">
        <f ca="1"/>
        <v>#NAME?</v>
      </c>
      <c r="C359" t="e">
        <f ca="1"/>
        <v>#NAME?</v>
      </c>
      <c r="D359" t="e">
        <f ca="1"/>
        <v>#NAME?</v>
      </c>
      <c r="E359" t="e">
        <f ca="1"/>
        <v>#NAME?</v>
      </c>
      <c r="F359" t="e">
        <f ca="1"/>
        <v>#NAME?</v>
      </c>
      <c r="G359" t="e">
        <f ca="1"/>
        <v>#NAME?</v>
      </c>
    </row>
    <row r="360" spans="1:7" x14ac:dyDescent="0.25">
      <c r="A360" t="e">
        <f ca="1"/>
        <v>#NAME?</v>
      </c>
      <c r="B360" t="e">
        <f ca="1"/>
        <v>#NAME?</v>
      </c>
      <c r="C360" t="e">
        <f ca="1"/>
        <v>#NAME?</v>
      </c>
      <c r="D360" t="e">
        <f ca="1"/>
        <v>#NAME?</v>
      </c>
      <c r="E360" t="e">
        <f ca="1"/>
        <v>#NAME?</v>
      </c>
      <c r="F360" t="e">
        <f ca="1"/>
        <v>#NAME?</v>
      </c>
      <c r="G360" t="e">
        <f ca="1"/>
        <v>#NAME?</v>
      </c>
    </row>
    <row r="361" spans="1:7" x14ac:dyDescent="0.25">
      <c r="A361" t="e">
        <f ca="1"/>
        <v>#NAME?</v>
      </c>
      <c r="B361" t="e">
        <f ca="1"/>
        <v>#NAME?</v>
      </c>
      <c r="C361" t="e">
        <f ca="1"/>
        <v>#NAME?</v>
      </c>
      <c r="D361" t="e">
        <f ca="1"/>
        <v>#NAME?</v>
      </c>
      <c r="E361" t="e">
        <f ca="1"/>
        <v>#NAME?</v>
      </c>
      <c r="F361" t="e">
        <f ca="1"/>
        <v>#NAME?</v>
      </c>
      <c r="G361" t="e">
        <f ca="1"/>
        <v>#NAME?</v>
      </c>
    </row>
    <row r="362" spans="1:7" x14ac:dyDescent="0.25">
      <c r="A362" t="e">
        <f ca="1"/>
        <v>#NAME?</v>
      </c>
      <c r="B362" t="e">
        <f ca="1"/>
        <v>#NAME?</v>
      </c>
      <c r="C362" t="e">
        <f ca="1"/>
        <v>#NAME?</v>
      </c>
      <c r="D362" t="e">
        <f ca="1"/>
        <v>#NAME?</v>
      </c>
      <c r="E362" t="e">
        <f ca="1"/>
        <v>#NAME?</v>
      </c>
      <c r="F362" t="e">
        <f ca="1"/>
        <v>#NAME?</v>
      </c>
      <c r="G362" t="e">
        <f ca="1"/>
        <v>#NAME?</v>
      </c>
    </row>
    <row r="363" spans="1:7" x14ac:dyDescent="0.25">
      <c r="A363" t="e">
        <f ca="1"/>
        <v>#NAME?</v>
      </c>
      <c r="B363" t="e">
        <f ca="1"/>
        <v>#NAME?</v>
      </c>
      <c r="C363" t="e">
        <f ca="1"/>
        <v>#NAME?</v>
      </c>
      <c r="D363" t="e">
        <f ca="1"/>
        <v>#NAME?</v>
      </c>
      <c r="E363" t="e">
        <f ca="1"/>
        <v>#NAME?</v>
      </c>
      <c r="F363" t="e">
        <f ca="1"/>
        <v>#NAME?</v>
      </c>
      <c r="G363" t="e">
        <f ca="1"/>
        <v>#NAME?</v>
      </c>
    </row>
    <row r="364" spans="1:7" x14ac:dyDescent="0.25">
      <c r="A364" t="e">
        <f ca="1"/>
        <v>#NAME?</v>
      </c>
      <c r="B364" t="e">
        <f ca="1"/>
        <v>#NAME?</v>
      </c>
      <c r="C364" t="e">
        <f ca="1"/>
        <v>#NAME?</v>
      </c>
      <c r="D364" t="e">
        <f ca="1"/>
        <v>#NAME?</v>
      </c>
      <c r="E364" t="e">
        <f ca="1"/>
        <v>#NAME?</v>
      </c>
      <c r="F364" t="e">
        <f ca="1"/>
        <v>#NAME?</v>
      </c>
      <c r="G364" t="e">
        <f ca="1"/>
        <v>#NAME?</v>
      </c>
    </row>
    <row r="365" spans="1:7" x14ac:dyDescent="0.25">
      <c r="A365" t="e">
        <f ca="1"/>
        <v>#NAME?</v>
      </c>
      <c r="B365" t="e">
        <f ca="1"/>
        <v>#NAME?</v>
      </c>
      <c r="C365" t="e">
        <f ca="1"/>
        <v>#NAME?</v>
      </c>
      <c r="D365" t="e">
        <f ca="1"/>
        <v>#NAME?</v>
      </c>
      <c r="E365" t="e">
        <f ca="1"/>
        <v>#NAME?</v>
      </c>
      <c r="F365" t="e">
        <f ca="1"/>
        <v>#NAME?</v>
      </c>
      <c r="G365" t="e">
        <f ca="1"/>
        <v>#NAME?</v>
      </c>
    </row>
    <row r="366" spans="1:7" x14ac:dyDescent="0.25">
      <c r="A366" t="e">
        <f ca="1"/>
        <v>#NAME?</v>
      </c>
      <c r="B366" t="e">
        <f ca="1"/>
        <v>#NAME?</v>
      </c>
      <c r="C366" t="e">
        <f ca="1"/>
        <v>#NAME?</v>
      </c>
      <c r="D366" t="e">
        <f ca="1"/>
        <v>#NAME?</v>
      </c>
      <c r="E366" t="e">
        <f ca="1"/>
        <v>#NAME?</v>
      </c>
      <c r="F366" t="e">
        <f ca="1"/>
        <v>#NAME?</v>
      </c>
      <c r="G366" t="e">
        <f ca="1"/>
        <v>#NAME?</v>
      </c>
    </row>
    <row r="367" spans="1:7" x14ac:dyDescent="0.25">
      <c r="A367" t="e">
        <f ca="1"/>
        <v>#NAME?</v>
      </c>
      <c r="B367" t="e">
        <f ca="1"/>
        <v>#NAME?</v>
      </c>
      <c r="C367" t="e">
        <f ca="1"/>
        <v>#NAME?</v>
      </c>
      <c r="D367" t="e">
        <f ca="1"/>
        <v>#NAME?</v>
      </c>
      <c r="E367" t="e">
        <f ca="1"/>
        <v>#NAME?</v>
      </c>
      <c r="F367" t="e">
        <f ca="1"/>
        <v>#NAME?</v>
      </c>
      <c r="G367" t="e">
        <f ca="1"/>
        <v>#NAME?</v>
      </c>
    </row>
    <row r="368" spans="1:7" x14ac:dyDescent="0.25">
      <c r="A368" t="e">
        <f ca="1"/>
        <v>#NAME?</v>
      </c>
      <c r="B368" t="e">
        <f ca="1"/>
        <v>#NAME?</v>
      </c>
      <c r="C368" t="e">
        <f ca="1"/>
        <v>#NAME?</v>
      </c>
      <c r="D368" t="e">
        <f ca="1"/>
        <v>#NAME?</v>
      </c>
      <c r="E368" t="e">
        <f ca="1"/>
        <v>#NAME?</v>
      </c>
      <c r="F368" t="e">
        <f ca="1"/>
        <v>#NAME?</v>
      </c>
      <c r="G368" t="e">
        <f ca="1"/>
        <v>#NAME?</v>
      </c>
    </row>
    <row r="369" spans="1:7" x14ac:dyDescent="0.25">
      <c r="A369" t="e">
        <f ca="1"/>
        <v>#NAME?</v>
      </c>
      <c r="B369" t="e">
        <f ca="1"/>
        <v>#NAME?</v>
      </c>
      <c r="C369" t="e">
        <f ca="1"/>
        <v>#NAME?</v>
      </c>
      <c r="D369" t="e">
        <f ca="1"/>
        <v>#NAME?</v>
      </c>
      <c r="E369" t="e">
        <f ca="1"/>
        <v>#NAME?</v>
      </c>
      <c r="F369" t="e">
        <f ca="1"/>
        <v>#NAME?</v>
      </c>
      <c r="G369" t="e">
        <f ca="1"/>
        <v>#NAME?</v>
      </c>
    </row>
    <row r="370" spans="1:7" x14ac:dyDescent="0.25">
      <c r="A370" t="e">
        <f ca="1"/>
        <v>#NAME?</v>
      </c>
      <c r="B370" t="e">
        <f ca="1"/>
        <v>#NAME?</v>
      </c>
      <c r="C370" t="e">
        <f ca="1"/>
        <v>#NAME?</v>
      </c>
      <c r="D370" t="e">
        <f ca="1"/>
        <v>#NAME?</v>
      </c>
      <c r="E370" t="e">
        <f ca="1"/>
        <v>#NAME?</v>
      </c>
      <c r="F370" t="e">
        <f ca="1"/>
        <v>#NAME?</v>
      </c>
      <c r="G370" t="e">
        <f ca="1"/>
        <v>#NAME?</v>
      </c>
    </row>
    <row r="371" spans="1:7" x14ac:dyDescent="0.25">
      <c r="A371" t="e">
        <f ca="1"/>
        <v>#NAME?</v>
      </c>
      <c r="B371" t="e">
        <f ca="1"/>
        <v>#NAME?</v>
      </c>
      <c r="C371" t="e">
        <f ca="1"/>
        <v>#NAME?</v>
      </c>
      <c r="D371" t="e">
        <f ca="1"/>
        <v>#NAME?</v>
      </c>
      <c r="E371" t="e">
        <f ca="1"/>
        <v>#NAME?</v>
      </c>
      <c r="F371" t="e">
        <f ca="1"/>
        <v>#NAME?</v>
      </c>
      <c r="G371" t="e">
        <f ca="1"/>
        <v>#NAME?</v>
      </c>
    </row>
    <row r="372" spans="1:7" x14ac:dyDescent="0.25">
      <c r="A372" t="e">
        <f ca="1"/>
        <v>#NAME?</v>
      </c>
      <c r="B372" t="e">
        <f ca="1"/>
        <v>#NAME?</v>
      </c>
      <c r="C372" t="e">
        <f ca="1"/>
        <v>#NAME?</v>
      </c>
      <c r="D372" t="e">
        <f ca="1"/>
        <v>#NAME?</v>
      </c>
      <c r="E372" t="e">
        <f ca="1"/>
        <v>#NAME?</v>
      </c>
      <c r="F372" t="e">
        <f ca="1"/>
        <v>#NAME?</v>
      </c>
      <c r="G372" t="e">
        <f ca="1"/>
        <v>#NAME?</v>
      </c>
    </row>
    <row r="373" spans="1:7" x14ac:dyDescent="0.25">
      <c r="A373" t="e">
        <f ca="1"/>
        <v>#NAME?</v>
      </c>
      <c r="B373" t="e">
        <f ca="1"/>
        <v>#NAME?</v>
      </c>
      <c r="C373" t="e">
        <f ca="1"/>
        <v>#NAME?</v>
      </c>
      <c r="D373" t="e">
        <f ca="1"/>
        <v>#NAME?</v>
      </c>
      <c r="E373" t="e">
        <f ca="1"/>
        <v>#NAME?</v>
      </c>
      <c r="F373" t="e">
        <f ca="1"/>
        <v>#NAME?</v>
      </c>
      <c r="G373" t="e">
        <f ca="1"/>
        <v>#NAME?</v>
      </c>
    </row>
    <row r="374" spans="1:7" x14ac:dyDescent="0.25">
      <c r="A374" t="e">
        <f ca="1"/>
        <v>#NAME?</v>
      </c>
      <c r="B374" t="e">
        <f ca="1"/>
        <v>#NAME?</v>
      </c>
      <c r="C374" t="e">
        <f ca="1"/>
        <v>#NAME?</v>
      </c>
      <c r="D374" t="e">
        <f ca="1"/>
        <v>#NAME?</v>
      </c>
      <c r="E374" t="e">
        <f ca="1"/>
        <v>#NAME?</v>
      </c>
      <c r="F374" t="e">
        <f ca="1"/>
        <v>#NAME?</v>
      </c>
      <c r="G374" t="e">
        <f ca="1"/>
        <v>#NAME?</v>
      </c>
    </row>
    <row r="375" spans="1:7" x14ac:dyDescent="0.25">
      <c r="A375" t="e">
        <f ca="1"/>
        <v>#NAME?</v>
      </c>
      <c r="B375" t="e">
        <f ca="1"/>
        <v>#NAME?</v>
      </c>
      <c r="C375" t="e">
        <f ca="1"/>
        <v>#NAME?</v>
      </c>
      <c r="D375" t="e">
        <f ca="1"/>
        <v>#NAME?</v>
      </c>
      <c r="E375" t="e">
        <f ca="1"/>
        <v>#NAME?</v>
      </c>
      <c r="F375" t="e">
        <f ca="1"/>
        <v>#NAME?</v>
      </c>
      <c r="G375" t="e">
        <f ca="1"/>
        <v>#NAME?</v>
      </c>
    </row>
    <row r="376" spans="1:7" x14ac:dyDescent="0.25">
      <c r="A376" t="e">
        <f ca="1"/>
        <v>#NAME?</v>
      </c>
      <c r="B376" t="e">
        <f ca="1"/>
        <v>#NAME?</v>
      </c>
      <c r="C376" t="e">
        <f ca="1"/>
        <v>#NAME?</v>
      </c>
      <c r="D376" t="e">
        <f ca="1"/>
        <v>#NAME?</v>
      </c>
      <c r="E376" t="e">
        <f ca="1"/>
        <v>#NAME?</v>
      </c>
      <c r="F376" t="e">
        <f ca="1"/>
        <v>#NAME?</v>
      </c>
      <c r="G376" t="e">
        <f ca="1"/>
        <v>#NAME?</v>
      </c>
    </row>
    <row r="377" spans="1:7" x14ac:dyDescent="0.25">
      <c r="A377" t="e">
        <f ca="1"/>
        <v>#NAME?</v>
      </c>
      <c r="B377" t="e">
        <f ca="1"/>
        <v>#NAME?</v>
      </c>
      <c r="C377" t="e">
        <f ca="1"/>
        <v>#NAME?</v>
      </c>
      <c r="D377" t="e">
        <f ca="1"/>
        <v>#NAME?</v>
      </c>
      <c r="E377" t="e">
        <f ca="1"/>
        <v>#NAME?</v>
      </c>
      <c r="F377" t="e">
        <f ca="1"/>
        <v>#NAME?</v>
      </c>
      <c r="G377" t="e">
        <f ca="1"/>
        <v>#NAME?</v>
      </c>
    </row>
    <row r="378" spans="1:7" x14ac:dyDescent="0.25">
      <c r="A378" t="e">
        <f ca="1"/>
        <v>#NAME?</v>
      </c>
      <c r="B378" t="e">
        <f ca="1"/>
        <v>#NAME?</v>
      </c>
      <c r="C378" t="e">
        <f ca="1"/>
        <v>#NAME?</v>
      </c>
      <c r="D378" t="e">
        <f ca="1"/>
        <v>#NAME?</v>
      </c>
      <c r="E378" t="e">
        <f ca="1"/>
        <v>#NAME?</v>
      </c>
      <c r="F378" t="e">
        <f ca="1"/>
        <v>#NAME?</v>
      </c>
      <c r="G378" t="e">
        <f ca="1"/>
        <v>#NAME?</v>
      </c>
    </row>
    <row r="379" spans="1:7" x14ac:dyDescent="0.25">
      <c r="A379" t="e">
        <f ca="1"/>
        <v>#NAME?</v>
      </c>
      <c r="B379" t="e">
        <f ca="1"/>
        <v>#NAME?</v>
      </c>
      <c r="C379" t="e">
        <f ca="1"/>
        <v>#NAME?</v>
      </c>
      <c r="D379" t="e">
        <f ca="1"/>
        <v>#NAME?</v>
      </c>
      <c r="E379" t="e">
        <f ca="1"/>
        <v>#NAME?</v>
      </c>
      <c r="F379" t="e">
        <f ca="1"/>
        <v>#NAME?</v>
      </c>
      <c r="G379" t="e">
        <f ca="1"/>
        <v>#NAME?</v>
      </c>
    </row>
    <row r="380" spans="1:7" x14ac:dyDescent="0.25">
      <c r="A380" t="e">
        <f ca="1"/>
        <v>#NAME?</v>
      </c>
      <c r="B380" t="e">
        <f ca="1"/>
        <v>#NAME?</v>
      </c>
      <c r="C380" t="e">
        <f ca="1"/>
        <v>#NAME?</v>
      </c>
      <c r="D380" t="e">
        <f ca="1"/>
        <v>#NAME?</v>
      </c>
      <c r="E380" t="e">
        <f ca="1"/>
        <v>#NAME?</v>
      </c>
      <c r="F380" t="e">
        <f ca="1"/>
        <v>#NAME?</v>
      </c>
      <c r="G380" t="e">
        <f ca="1"/>
        <v>#NAME?</v>
      </c>
    </row>
    <row r="381" spans="1:7" x14ac:dyDescent="0.25">
      <c r="A381" t="e">
        <f ca="1"/>
        <v>#NAME?</v>
      </c>
      <c r="B381" t="e">
        <f ca="1"/>
        <v>#NAME?</v>
      </c>
      <c r="C381" t="e">
        <f ca="1"/>
        <v>#NAME?</v>
      </c>
      <c r="D381" t="e">
        <f ca="1"/>
        <v>#NAME?</v>
      </c>
      <c r="E381" t="e">
        <f ca="1"/>
        <v>#NAME?</v>
      </c>
      <c r="F381" t="e">
        <f ca="1"/>
        <v>#NAME?</v>
      </c>
      <c r="G381" t="e">
        <f ca="1"/>
        <v>#NAME?</v>
      </c>
    </row>
    <row r="382" spans="1:7" x14ac:dyDescent="0.25">
      <c r="A382" t="e">
        <f ca="1"/>
        <v>#NAME?</v>
      </c>
      <c r="B382" t="e">
        <f ca="1"/>
        <v>#NAME?</v>
      </c>
      <c r="C382" t="e">
        <f ca="1"/>
        <v>#NAME?</v>
      </c>
      <c r="D382" t="e">
        <f ca="1"/>
        <v>#NAME?</v>
      </c>
      <c r="E382" t="e">
        <f ca="1"/>
        <v>#NAME?</v>
      </c>
      <c r="F382" t="e">
        <f ca="1"/>
        <v>#NAME?</v>
      </c>
      <c r="G382" t="e">
        <f ca="1"/>
        <v>#NAME?</v>
      </c>
    </row>
    <row r="383" spans="1:7" x14ac:dyDescent="0.25">
      <c r="A383" t="e">
        <f ca="1"/>
        <v>#NAME?</v>
      </c>
      <c r="B383" t="e">
        <f ca="1"/>
        <v>#NAME?</v>
      </c>
      <c r="C383" t="e">
        <f ca="1"/>
        <v>#NAME?</v>
      </c>
      <c r="D383" t="e">
        <f ca="1"/>
        <v>#NAME?</v>
      </c>
      <c r="E383" t="e">
        <f ca="1"/>
        <v>#NAME?</v>
      </c>
      <c r="F383" t="e">
        <f ca="1"/>
        <v>#NAME?</v>
      </c>
      <c r="G383" t="e">
        <f ca="1"/>
        <v>#NAME?</v>
      </c>
    </row>
    <row r="384" spans="1:7" x14ac:dyDescent="0.25">
      <c r="A384" t="e">
        <f ca="1"/>
        <v>#NAME?</v>
      </c>
      <c r="B384" t="e">
        <f ca="1"/>
        <v>#NAME?</v>
      </c>
      <c r="C384" t="e">
        <f ca="1"/>
        <v>#NAME?</v>
      </c>
      <c r="D384" t="e">
        <f ca="1"/>
        <v>#NAME?</v>
      </c>
      <c r="E384" t="e">
        <f ca="1"/>
        <v>#NAME?</v>
      </c>
      <c r="F384" t="e">
        <f ca="1"/>
        <v>#NAME?</v>
      </c>
      <c r="G384" t="e">
        <f ca="1"/>
        <v>#NAME?</v>
      </c>
    </row>
    <row r="385" spans="1:7" x14ac:dyDescent="0.25">
      <c r="A385" t="e">
        <f ca="1"/>
        <v>#NAME?</v>
      </c>
      <c r="B385" t="e">
        <f ca="1"/>
        <v>#NAME?</v>
      </c>
      <c r="C385" t="e">
        <f ca="1"/>
        <v>#NAME?</v>
      </c>
      <c r="D385" t="e">
        <f ca="1"/>
        <v>#NAME?</v>
      </c>
      <c r="E385" t="e">
        <f ca="1"/>
        <v>#NAME?</v>
      </c>
      <c r="F385" t="e">
        <f ca="1"/>
        <v>#NAME?</v>
      </c>
      <c r="G385" t="e">
        <f ca="1"/>
        <v>#NAME?</v>
      </c>
    </row>
    <row r="386" spans="1:7" x14ac:dyDescent="0.25">
      <c r="A386" t="e">
        <f ca="1"/>
        <v>#NAME?</v>
      </c>
      <c r="B386" t="e">
        <f ca="1"/>
        <v>#NAME?</v>
      </c>
      <c r="C386" t="e">
        <f ca="1"/>
        <v>#NAME?</v>
      </c>
      <c r="D386" t="e">
        <f ca="1"/>
        <v>#NAME?</v>
      </c>
      <c r="E386" t="e">
        <f ca="1"/>
        <v>#NAME?</v>
      </c>
      <c r="F386" t="e">
        <f ca="1"/>
        <v>#NAME?</v>
      </c>
      <c r="G386" t="e">
        <f ca="1"/>
        <v>#NAME?</v>
      </c>
    </row>
    <row r="387" spans="1:7" x14ac:dyDescent="0.25">
      <c r="A387" t="e">
        <f ca="1"/>
        <v>#NAME?</v>
      </c>
      <c r="B387" t="e">
        <f ca="1"/>
        <v>#NAME?</v>
      </c>
      <c r="C387" t="e">
        <f ca="1"/>
        <v>#NAME?</v>
      </c>
      <c r="D387" t="e">
        <f ca="1"/>
        <v>#NAME?</v>
      </c>
      <c r="E387" t="e">
        <f ca="1"/>
        <v>#NAME?</v>
      </c>
      <c r="F387" t="e">
        <f ca="1"/>
        <v>#NAME?</v>
      </c>
      <c r="G387" t="e">
        <f ca="1"/>
        <v>#NAME?</v>
      </c>
    </row>
    <row r="388" spans="1:7" x14ac:dyDescent="0.25">
      <c r="A388" t="e">
        <f ca="1"/>
        <v>#NAME?</v>
      </c>
      <c r="B388" t="e">
        <f ca="1"/>
        <v>#NAME?</v>
      </c>
      <c r="C388" t="e">
        <f ca="1"/>
        <v>#NAME?</v>
      </c>
      <c r="D388" t="e">
        <f ca="1"/>
        <v>#NAME?</v>
      </c>
      <c r="E388" t="e">
        <f ca="1"/>
        <v>#NAME?</v>
      </c>
      <c r="F388" t="e">
        <f ca="1"/>
        <v>#NAME?</v>
      </c>
      <c r="G388" t="e">
        <f ca="1"/>
        <v>#NAME?</v>
      </c>
    </row>
    <row r="389" spans="1:7" x14ac:dyDescent="0.25">
      <c r="A389" t="e">
        <f ca="1"/>
        <v>#NAME?</v>
      </c>
      <c r="B389" t="e">
        <f ca="1"/>
        <v>#NAME?</v>
      </c>
      <c r="C389" t="e">
        <f ca="1"/>
        <v>#NAME?</v>
      </c>
      <c r="D389" t="e">
        <f ca="1"/>
        <v>#NAME?</v>
      </c>
      <c r="E389" t="e">
        <f ca="1"/>
        <v>#NAME?</v>
      </c>
      <c r="F389" t="e">
        <f ca="1"/>
        <v>#NAME?</v>
      </c>
      <c r="G389" t="e">
        <f ca="1"/>
        <v>#NAME?</v>
      </c>
    </row>
    <row r="404" spans="1:7" x14ac:dyDescent="0.25">
      <c r="A404" t="e" cm="1">
        <f t="array" aca="1" ref="A404:G492" ca="1">_xlfn.VSTACK('Frascos-Vasos-Protogo'!B6:H62,'Linea BIO-Bagazo'!B6:H27,'Band. Envolvibles Aut.'!#REF!)</f>
        <v>#NAME?</v>
      </c>
      <c r="B404" t="e">
        <f ca="1"/>
        <v>#NAME?</v>
      </c>
      <c r="C404" t="e">
        <f ca="1"/>
        <v>#NAME?</v>
      </c>
      <c r="D404" t="e">
        <f ca="1"/>
        <v>#NAME?</v>
      </c>
      <c r="E404" t="e">
        <f ca="1"/>
        <v>#NAME?</v>
      </c>
      <c r="F404" t="e">
        <f ca="1"/>
        <v>#NAME?</v>
      </c>
      <c r="G404" t="e">
        <f ca="1"/>
        <v>#NAME?</v>
      </c>
    </row>
    <row r="405" spans="1:7" x14ac:dyDescent="0.25">
      <c r="A405" t="e">
        <f ca="1"/>
        <v>#NAME?</v>
      </c>
      <c r="B405" t="e">
        <f ca="1"/>
        <v>#NAME?</v>
      </c>
      <c r="C405" t="e">
        <f ca="1"/>
        <v>#NAME?</v>
      </c>
      <c r="D405" t="e">
        <f ca="1"/>
        <v>#NAME?</v>
      </c>
      <c r="E405" t="e">
        <f ca="1"/>
        <v>#NAME?</v>
      </c>
      <c r="F405" t="e">
        <f ca="1"/>
        <v>#NAME?</v>
      </c>
      <c r="G405" t="e">
        <f ca="1"/>
        <v>#NAME?</v>
      </c>
    </row>
    <row r="406" spans="1:7" x14ac:dyDescent="0.25">
      <c r="A406" t="e">
        <f ca="1"/>
        <v>#NAME?</v>
      </c>
      <c r="B406" t="e">
        <f ca="1"/>
        <v>#NAME?</v>
      </c>
      <c r="C406" t="e">
        <f ca="1"/>
        <v>#NAME?</v>
      </c>
      <c r="D406" t="e">
        <f ca="1"/>
        <v>#NAME?</v>
      </c>
      <c r="E406" t="e">
        <f ca="1"/>
        <v>#NAME?</v>
      </c>
      <c r="F406" t="e">
        <f ca="1"/>
        <v>#NAME?</v>
      </c>
      <c r="G406" t="e">
        <f ca="1"/>
        <v>#NAME?</v>
      </c>
    </row>
    <row r="407" spans="1:7" x14ac:dyDescent="0.25">
      <c r="A407" t="e">
        <f ca="1"/>
        <v>#NAME?</v>
      </c>
      <c r="B407" t="e">
        <f ca="1"/>
        <v>#NAME?</v>
      </c>
      <c r="C407" t="e">
        <f ca="1"/>
        <v>#NAME?</v>
      </c>
      <c r="D407" t="e">
        <f ca="1"/>
        <v>#NAME?</v>
      </c>
      <c r="E407" t="e">
        <f ca="1"/>
        <v>#NAME?</v>
      </c>
      <c r="F407" t="e">
        <f ca="1"/>
        <v>#NAME?</v>
      </c>
      <c r="G407" t="e">
        <f ca="1"/>
        <v>#NAME?</v>
      </c>
    </row>
    <row r="408" spans="1:7" x14ac:dyDescent="0.25">
      <c r="A408" t="e">
        <f ca="1"/>
        <v>#NAME?</v>
      </c>
      <c r="B408" t="e">
        <f ca="1"/>
        <v>#NAME?</v>
      </c>
      <c r="C408" t="e">
        <f ca="1"/>
        <v>#NAME?</v>
      </c>
      <c r="D408" t="e">
        <f ca="1"/>
        <v>#NAME?</v>
      </c>
      <c r="E408" t="e">
        <f ca="1"/>
        <v>#NAME?</v>
      </c>
      <c r="F408" t="e">
        <f ca="1"/>
        <v>#NAME?</v>
      </c>
      <c r="G408" t="e">
        <f ca="1"/>
        <v>#NAME?</v>
      </c>
    </row>
    <row r="409" spans="1:7" x14ac:dyDescent="0.25">
      <c r="A409" t="e">
        <f ca="1"/>
        <v>#NAME?</v>
      </c>
      <c r="B409" t="e">
        <f ca="1"/>
        <v>#NAME?</v>
      </c>
      <c r="C409" t="e">
        <f ca="1"/>
        <v>#NAME?</v>
      </c>
      <c r="D409" t="e">
        <f ca="1"/>
        <v>#NAME?</v>
      </c>
      <c r="E409" t="e">
        <f ca="1"/>
        <v>#NAME?</v>
      </c>
      <c r="F409" t="e">
        <f ca="1"/>
        <v>#NAME?</v>
      </c>
      <c r="G409" t="e">
        <f ca="1"/>
        <v>#NAME?</v>
      </c>
    </row>
    <row r="410" spans="1:7" x14ac:dyDescent="0.25">
      <c r="A410" t="e">
        <f ca="1"/>
        <v>#NAME?</v>
      </c>
      <c r="B410" t="e">
        <f ca="1"/>
        <v>#NAME?</v>
      </c>
      <c r="C410" t="e">
        <f ca="1"/>
        <v>#NAME?</v>
      </c>
      <c r="D410" t="e">
        <f ca="1"/>
        <v>#NAME?</v>
      </c>
      <c r="E410" t="e">
        <f ca="1"/>
        <v>#NAME?</v>
      </c>
      <c r="F410" t="e">
        <f ca="1"/>
        <v>#NAME?</v>
      </c>
      <c r="G410" t="e">
        <f ca="1"/>
        <v>#NAME?</v>
      </c>
    </row>
    <row r="411" spans="1:7" x14ac:dyDescent="0.25">
      <c r="A411" t="e">
        <f ca="1"/>
        <v>#NAME?</v>
      </c>
      <c r="B411" t="e">
        <f ca="1"/>
        <v>#NAME?</v>
      </c>
      <c r="C411" t="e">
        <f ca="1"/>
        <v>#NAME?</v>
      </c>
      <c r="D411" t="e">
        <f ca="1"/>
        <v>#NAME?</v>
      </c>
      <c r="E411" t="e">
        <f ca="1"/>
        <v>#NAME?</v>
      </c>
      <c r="F411" t="e">
        <f ca="1"/>
        <v>#NAME?</v>
      </c>
      <c r="G411" t="e">
        <f ca="1"/>
        <v>#NAME?</v>
      </c>
    </row>
    <row r="412" spans="1:7" x14ac:dyDescent="0.25">
      <c r="A412" t="e">
        <f ca="1"/>
        <v>#NAME?</v>
      </c>
      <c r="B412" t="e">
        <f ca="1"/>
        <v>#NAME?</v>
      </c>
      <c r="C412" t="e">
        <f ca="1"/>
        <v>#NAME?</v>
      </c>
      <c r="D412" t="e">
        <f ca="1"/>
        <v>#NAME?</v>
      </c>
      <c r="E412" t="e">
        <f ca="1"/>
        <v>#NAME?</v>
      </c>
      <c r="F412" t="e">
        <f ca="1"/>
        <v>#NAME?</v>
      </c>
      <c r="G412" t="e">
        <f ca="1"/>
        <v>#NAME?</v>
      </c>
    </row>
    <row r="413" spans="1:7" x14ac:dyDescent="0.25">
      <c r="A413" t="e">
        <f ca="1"/>
        <v>#NAME?</v>
      </c>
      <c r="B413" t="e">
        <f ca="1"/>
        <v>#NAME?</v>
      </c>
      <c r="C413" t="e">
        <f ca="1"/>
        <v>#NAME?</v>
      </c>
      <c r="D413" t="e">
        <f ca="1"/>
        <v>#NAME?</v>
      </c>
      <c r="E413" t="e">
        <f ca="1"/>
        <v>#NAME?</v>
      </c>
      <c r="F413" t="e">
        <f ca="1"/>
        <v>#NAME?</v>
      </c>
      <c r="G413" t="e">
        <f ca="1"/>
        <v>#NAME?</v>
      </c>
    </row>
    <row r="414" spans="1:7" x14ac:dyDescent="0.25">
      <c r="A414" t="e">
        <f ca="1"/>
        <v>#NAME?</v>
      </c>
      <c r="B414" t="e">
        <f ca="1"/>
        <v>#NAME?</v>
      </c>
      <c r="C414" t="e">
        <f ca="1"/>
        <v>#NAME?</v>
      </c>
      <c r="D414" t="e">
        <f ca="1"/>
        <v>#NAME?</v>
      </c>
      <c r="E414" t="e">
        <f ca="1"/>
        <v>#NAME?</v>
      </c>
      <c r="F414" t="e">
        <f ca="1"/>
        <v>#NAME?</v>
      </c>
      <c r="G414" t="e">
        <f ca="1"/>
        <v>#NAME?</v>
      </c>
    </row>
    <row r="415" spans="1:7" x14ac:dyDescent="0.25">
      <c r="A415" t="e">
        <f ca="1"/>
        <v>#NAME?</v>
      </c>
      <c r="B415" t="e">
        <f ca="1"/>
        <v>#NAME?</v>
      </c>
      <c r="C415" t="e">
        <f ca="1"/>
        <v>#NAME?</v>
      </c>
      <c r="D415" t="e">
        <f ca="1"/>
        <v>#NAME?</v>
      </c>
      <c r="E415" t="e">
        <f ca="1"/>
        <v>#NAME?</v>
      </c>
      <c r="F415" t="e">
        <f ca="1"/>
        <v>#NAME?</v>
      </c>
      <c r="G415" t="e">
        <f ca="1"/>
        <v>#NAME?</v>
      </c>
    </row>
    <row r="416" spans="1:7" x14ac:dyDescent="0.25">
      <c r="A416" t="e">
        <f ca="1"/>
        <v>#NAME?</v>
      </c>
      <c r="B416" t="e">
        <f ca="1"/>
        <v>#NAME?</v>
      </c>
      <c r="C416" t="e">
        <f ca="1"/>
        <v>#NAME?</v>
      </c>
      <c r="D416" t="e">
        <f ca="1"/>
        <v>#NAME?</v>
      </c>
      <c r="E416" t="e">
        <f ca="1"/>
        <v>#NAME?</v>
      </c>
      <c r="F416" t="e">
        <f ca="1"/>
        <v>#NAME?</v>
      </c>
      <c r="G416" t="e">
        <f ca="1"/>
        <v>#NAME?</v>
      </c>
    </row>
    <row r="417" spans="1:7" x14ac:dyDescent="0.25">
      <c r="A417" t="e">
        <f ca="1"/>
        <v>#NAME?</v>
      </c>
      <c r="B417" t="e">
        <f ca="1"/>
        <v>#NAME?</v>
      </c>
      <c r="C417" t="e">
        <f ca="1"/>
        <v>#NAME?</v>
      </c>
      <c r="D417" t="e">
        <f ca="1"/>
        <v>#NAME?</v>
      </c>
      <c r="E417" t="e">
        <f ca="1"/>
        <v>#NAME?</v>
      </c>
      <c r="F417" t="e">
        <f ca="1"/>
        <v>#NAME?</v>
      </c>
      <c r="G417" t="e">
        <f ca="1"/>
        <v>#NAME?</v>
      </c>
    </row>
    <row r="418" spans="1:7" x14ac:dyDescent="0.25">
      <c r="A418" t="e">
        <f ca="1"/>
        <v>#NAME?</v>
      </c>
      <c r="B418" t="e">
        <f ca="1"/>
        <v>#NAME?</v>
      </c>
      <c r="C418" t="e">
        <f ca="1"/>
        <v>#NAME?</v>
      </c>
      <c r="D418" t="e">
        <f ca="1"/>
        <v>#NAME?</v>
      </c>
      <c r="E418" t="e">
        <f ca="1"/>
        <v>#NAME?</v>
      </c>
      <c r="F418" t="e">
        <f ca="1"/>
        <v>#NAME?</v>
      </c>
      <c r="G418" t="e">
        <f ca="1"/>
        <v>#NAME?</v>
      </c>
    </row>
    <row r="419" spans="1:7" x14ac:dyDescent="0.25">
      <c r="A419" t="e">
        <f ca="1"/>
        <v>#NAME?</v>
      </c>
      <c r="B419" t="e">
        <f ca="1"/>
        <v>#NAME?</v>
      </c>
      <c r="C419" t="e">
        <f ca="1"/>
        <v>#NAME?</v>
      </c>
      <c r="D419" t="e">
        <f ca="1"/>
        <v>#NAME?</v>
      </c>
      <c r="E419" t="e">
        <f ca="1"/>
        <v>#NAME?</v>
      </c>
      <c r="F419" t="e">
        <f ca="1"/>
        <v>#NAME?</v>
      </c>
      <c r="G419" t="e">
        <f ca="1"/>
        <v>#NAME?</v>
      </c>
    </row>
    <row r="420" spans="1:7" x14ac:dyDescent="0.25">
      <c r="A420" t="e">
        <f ca="1"/>
        <v>#NAME?</v>
      </c>
      <c r="B420" t="e">
        <f ca="1"/>
        <v>#NAME?</v>
      </c>
      <c r="C420" t="e">
        <f ca="1"/>
        <v>#NAME?</v>
      </c>
      <c r="D420" t="e">
        <f ca="1"/>
        <v>#NAME?</v>
      </c>
      <c r="E420" t="e">
        <f ca="1"/>
        <v>#NAME?</v>
      </c>
      <c r="F420" t="e">
        <f ca="1"/>
        <v>#NAME?</v>
      </c>
      <c r="G420" t="e">
        <f ca="1"/>
        <v>#NAME?</v>
      </c>
    </row>
    <row r="421" spans="1:7" x14ac:dyDescent="0.25">
      <c r="A421" t="e">
        <f ca="1"/>
        <v>#NAME?</v>
      </c>
      <c r="B421" t="e">
        <f ca="1"/>
        <v>#NAME?</v>
      </c>
      <c r="C421" t="e">
        <f ca="1"/>
        <v>#NAME?</v>
      </c>
      <c r="D421" t="e">
        <f ca="1"/>
        <v>#NAME?</v>
      </c>
      <c r="E421" t="e">
        <f ca="1"/>
        <v>#NAME?</v>
      </c>
      <c r="F421" t="e">
        <f ca="1"/>
        <v>#NAME?</v>
      </c>
      <c r="G421" t="e">
        <f ca="1"/>
        <v>#NAME?</v>
      </c>
    </row>
    <row r="422" spans="1:7" x14ac:dyDescent="0.25">
      <c r="A422" t="e">
        <f ca="1"/>
        <v>#NAME?</v>
      </c>
      <c r="B422" t="e">
        <f ca="1"/>
        <v>#NAME?</v>
      </c>
      <c r="C422" t="e">
        <f ca="1"/>
        <v>#NAME?</v>
      </c>
      <c r="D422" t="e">
        <f ca="1"/>
        <v>#NAME?</v>
      </c>
      <c r="E422" t="e">
        <f ca="1"/>
        <v>#NAME?</v>
      </c>
      <c r="F422" t="e">
        <f ca="1"/>
        <v>#NAME?</v>
      </c>
      <c r="G422" t="e">
        <f ca="1"/>
        <v>#NAME?</v>
      </c>
    </row>
    <row r="423" spans="1:7" x14ac:dyDescent="0.25">
      <c r="A423" t="e">
        <f ca="1"/>
        <v>#NAME?</v>
      </c>
      <c r="B423" t="e">
        <f ca="1"/>
        <v>#NAME?</v>
      </c>
      <c r="C423" t="e">
        <f ca="1"/>
        <v>#NAME?</v>
      </c>
      <c r="D423" t="e">
        <f ca="1"/>
        <v>#NAME?</v>
      </c>
      <c r="E423" t="e">
        <f ca="1"/>
        <v>#NAME?</v>
      </c>
      <c r="F423" t="e">
        <f ca="1"/>
        <v>#NAME?</v>
      </c>
      <c r="G423" t="e">
        <f ca="1"/>
        <v>#NAME?</v>
      </c>
    </row>
    <row r="424" spans="1:7" x14ac:dyDescent="0.25">
      <c r="A424" t="e">
        <f ca="1"/>
        <v>#NAME?</v>
      </c>
      <c r="B424" t="e">
        <f ca="1"/>
        <v>#NAME?</v>
      </c>
      <c r="C424" t="e">
        <f ca="1"/>
        <v>#NAME?</v>
      </c>
      <c r="D424" t="e">
        <f ca="1"/>
        <v>#NAME?</v>
      </c>
      <c r="E424" t="e">
        <f ca="1"/>
        <v>#NAME?</v>
      </c>
      <c r="F424" t="e">
        <f ca="1"/>
        <v>#NAME?</v>
      </c>
      <c r="G424" t="e">
        <f ca="1"/>
        <v>#NAME?</v>
      </c>
    </row>
    <row r="425" spans="1:7" x14ac:dyDescent="0.25">
      <c r="A425" t="e">
        <f ca="1"/>
        <v>#NAME?</v>
      </c>
      <c r="B425" t="e">
        <f ca="1"/>
        <v>#NAME?</v>
      </c>
      <c r="C425" t="e">
        <f ca="1"/>
        <v>#NAME?</v>
      </c>
      <c r="D425" t="e">
        <f ca="1"/>
        <v>#NAME?</v>
      </c>
      <c r="E425" t="e">
        <f ca="1"/>
        <v>#NAME?</v>
      </c>
      <c r="F425" t="e">
        <f ca="1"/>
        <v>#NAME?</v>
      </c>
      <c r="G425" t="e">
        <f ca="1"/>
        <v>#NAME?</v>
      </c>
    </row>
    <row r="426" spans="1:7" x14ac:dyDescent="0.25">
      <c r="A426" t="e">
        <f ca="1"/>
        <v>#NAME?</v>
      </c>
      <c r="B426" t="e">
        <f ca="1"/>
        <v>#NAME?</v>
      </c>
      <c r="C426" t="e">
        <f ca="1"/>
        <v>#NAME?</v>
      </c>
      <c r="D426" t="e">
        <f ca="1"/>
        <v>#NAME?</v>
      </c>
      <c r="E426" t="e">
        <f ca="1"/>
        <v>#NAME?</v>
      </c>
      <c r="F426" t="e">
        <f ca="1"/>
        <v>#NAME?</v>
      </c>
      <c r="G426" t="e">
        <f ca="1"/>
        <v>#NAME?</v>
      </c>
    </row>
    <row r="427" spans="1:7" x14ac:dyDescent="0.25">
      <c r="A427" t="e">
        <f ca="1"/>
        <v>#NAME?</v>
      </c>
      <c r="B427" t="e">
        <f ca="1"/>
        <v>#NAME?</v>
      </c>
      <c r="C427" t="e">
        <f ca="1"/>
        <v>#NAME?</v>
      </c>
      <c r="D427" t="e">
        <f ca="1"/>
        <v>#NAME?</v>
      </c>
      <c r="E427" t="e">
        <f ca="1"/>
        <v>#NAME?</v>
      </c>
      <c r="F427" t="e">
        <f ca="1"/>
        <v>#NAME?</v>
      </c>
      <c r="G427" t="e">
        <f ca="1"/>
        <v>#NAME?</v>
      </c>
    </row>
    <row r="428" spans="1:7" x14ac:dyDescent="0.25">
      <c r="A428" t="e">
        <f ca="1"/>
        <v>#NAME?</v>
      </c>
      <c r="B428" t="e">
        <f ca="1"/>
        <v>#NAME?</v>
      </c>
      <c r="C428" t="e">
        <f ca="1"/>
        <v>#NAME?</v>
      </c>
      <c r="D428" t="e">
        <f ca="1"/>
        <v>#NAME?</v>
      </c>
      <c r="E428" t="e">
        <f ca="1"/>
        <v>#NAME?</v>
      </c>
      <c r="F428" t="e">
        <f ca="1"/>
        <v>#NAME?</v>
      </c>
      <c r="G428" t="e">
        <f ca="1"/>
        <v>#NAME?</v>
      </c>
    </row>
    <row r="429" spans="1:7" x14ac:dyDescent="0.25">
      <c r="A429" t="e">
        <f ca="1"/>
        <v>#NAME?</v>
      </c>
      <c r="B429" t="e">
        <f ca="1"/>
        <v>#NAME?</v>
      </c>
      <c r="C429" t="e">
        <f ca="1"/>
        <v>#NAME?</v>
      </c>
      <c r="D429" t="e">
        <f ca="1"/>
        <v>#NAME?</v>
      </c>
      <c r="E429" t="e">
        <f ca="1"/>
        <v>#NAME?</v>
      </c>
      <c r="F429" t="e">
        <f ca="1"/>
        <v>#NAME?</v>
      </c>
      <c r="G429" t="e">
        <f ca="1"/>
        <v>#NAME?</v>
      </c>
    </row>
    <row r="430" spans="1:7" x14ac:dyDescent="0.25">
      <c r="A430" t="e">
        <f ca="1"/>
        <v>#NAME?</v>
      </c>
      <c r="B430" t="e">
        <f ca="1"/>
        <v>#NAME?</v>
      </c>
      <c r="C430" t="e">
        <f ca="1"/>
        <v>#NAME?</v>
      </c>
      <c r="D430" t="e">
        <f ca="1"/>
        <v>#NAME?</v>
      </c>
      <c r="E430" t="e">
        <f ca="1"/>
        <v>#NAME?</v>
      </c>
      <c r="F430" t="e">
        <f ca="1"/>
        <v>#NAME?</v>
      </c>
      <c r="G430" t="e">
        <f ca="1"/>
        <v>#NAME?</v>
      </c>
    </row>
    <row r="431" spans="1:7" x14ac:dyDescent="0.25">
      <c r="A431" t="e">
        <f ca="1"/>
        <v>#NAME?</v>
      </c>
      <c r="B431" t="e">
        <f ca="1"/>
        <v>#NAME?</v>
      </c>
      <c r="C431" t="e">
        <f ca="1"/>
        <v>#NAME?</v>
      </c>
      <c r="D431" t="e">
        <f ca="1"/>
        <v>#NAME?</v>
      </c>
      <c r="E431" t="e">
        <f ca="1"/>
        <v>#NAME?</v>
      </c>
      <c r="F431" t="e">
        <f ca="1"/>
        <v>#NAME?</v>
      </c>
      <c r="G431" t="e">
        <f ca="1"/>
        <v>#NAME?</v>
      </c>
    </row>
    <row r="432" spans="1:7" x14ac:dyDescent="0.25">
      <c r="A432" t="e">
        <f ca="1"/>
        <v>#NAME?</v>
      </c>
      <c r="B432" t="e">
        <f ca="1"/>
        <v>#NAME?</v>
      </c>
      <c r="C432" t="e">
        <f ca="1"/>
        <v>#NAME?</v>
      </c>
      <c r="D432" t="e">
        <f ca="1"/>
        <v>#NAME?</v>
      </c>
      <c r="E432" t="e">
        <f ca="1"/>
        <v>#NAME?</v>
      </c>
      <c r="F432" t="e">
        <f ca="1"/>
        <v>#NAME?</v>
      </c>
      <c r="G432" t="e">
        <f ca="1"/>
        <v>#NAME?</v>
      </c>
    </row>
    <row r="433" spans="1:7" x14ac:dyDescent="0.25">
      <c r="A433" t="e">
        <f ca="1"/>
        <v>#NAME?</v>
      </c>
      <c r="B433" t="e">
        <f ca="1"/>
        <v>#NAME?</v>
      </c>
      <c r="C433" t="e">
        <f ca="1"/>
        <v>#NAME?</v>
      </c>
      <c r="D433" t="e">
        <f ca="1"/>
        <v>#NAME?</v>
      </c>
      <c r="E433" t="e">
        <f ca="1"/>
        <v>#NAME?</v>
      </c>
      <c r="F433" t="e">
        <f ca="1"/>
        <v>#NAME?</v>
      </c>
      <c r="G433" t="e">
        <f ca="1"/>
        <v>#NAME?</v>
      </c>
    </row>
    <row r="434" spans="1:7" x14ac:dyDescent="0.25">
      <c r="A434" t="e">
        <f ca="1"/>
        <v>#NAME?</v>
      </c>
      <c r="B434" t="e">
        <f ca="1"/>
        <v>#NAME?</v>
      </c>
      <c r="C434" t="e">
        <f ca="1"/>
        <v>#NAME?</v>
      </c>
      <c r="D434" t="e">
        <f ca="1"/>
        <v>#NAME?</v>
      </c>
      <c r="E434" t="e">
        <f ca="1"/>
        <v>#NAME?</v>
      </c>
      <c r="F434" t="e">
        <f ca="1"/>
        <v>#NAME?</v>
      </c>
      <c r="G434" t="e">
        <f ca="1"/>
        <v>#NAME?</v>
      </c>
    </row>
    <row r="435" spans="1:7" x14ac:dyDescent="0.25">
      <c r="A435" t="e">
        <f ca="1"/>
        <v>#NAME?</v>
      </c>
      <c r="B435" t="e">
        <f ca="1"/>
        <v>#NAME?</v>
      </c>
      <c r="C435" t="e">
        <f ca="1"/>
        <v>#NAME?</v>
      </c>
      <c r="D435" t="e">
        <f ca="1"/>
        <v>#NAME?</v>
      </c>
      <c r="E435" t="e">
        <f ca="1"/>
        <v>#NAME?</v>
      </c>
      <c r="F435" t="e">
        <f ca="1"/>
        <v>#NAME?</v>
      </c>
      <c r="G435" t="e">
        <f ca="1"/>
        <v>#NAME?</v>
      </c>
    </row>
    <row r="436" spans="1:7" x14ac:dyDescent="0.25">
      <c r="A436" t="e">
        <f ca="1"/>
        <v>#NAME?</v>
      </c>
      <c r="B436" t="e">
        <f ca="1"/>
        <v>#NAME?</v>
      </c>
      <c r="C436" t="e">
        <f ca="1"/>
        <v>#NAME?</v>
      </c>
      <c r="D436" t="e">
        <f ca="1"/>
        <v>#NAME?</v>
      </c>
      <c r="E436" t="e">
        <f ca="1"/>
        <v>#NAME?</v>
      </c>
      <c r="F436" t="e">
        <f ca="1"/>
        <v>#NAME?</v>
      </c>
      <c r="G436" t="e">
        <f ca="1"/>
        <v>#NAME?</v>
      </c>
    </row>
    <row r="437" spans="1:7" x14ac:dyDescent="0.25">
      <c r="A437" t="e">
        <f ca="1"/>
        <v>#NAME?</v>
      </c>
      <c r="B437" t="e">
        <f ca="1"/>
        <v>#NAME?</v>
      </c>
      <c r="C437" t="e">
        <f ca="1"/>
        <v>#NAME?</v>
      </c>
      <c r="D437" t="e">
        <f ca="1"/>
        <v>#NAME?</v>
      </c>
      <c r="E437" t="e">
        <f ca="1"/>
        <v>#NAME?</v>
      </c>
      <c r="F437" t="e">
        <f ca="1"/>
        <v>#NAME?</v>
      </c>
      <c r="G437" t="e">
        <f ca="1"/>
        <v>#NAME?</v>
      </c>
    </row>
    <row r="438" spans="1:7" x14ac:dyDescent="0.25">
      <c r="A438" t="e">
        <f ca="1"/>
        <v>#NAME?</v>
      </c>
      <c r="B438" t="e">
        <f ca="1"/>
        <v>#NAME?</v>
      </c>
      <c r="C438" t="e">
        <f ca="1"/>
        <v>#NAME?</v>
      </c>
      <c r="D438" t="e">
        <f ca="1"/>
        <v>#NAME?</v>
      </c>
      <c r="E438" t="e">
        <f ca="1"/>
        <v>#NAME?</v>
      </c>
      <c r="F438" t="e">
        <f ca="1"/>
        <v>#NAME?</v>
      </c>
      <c r="G438" t="e">
        <f ca="1"/>
        <v>#NAME?</v>
      </c>
    </row>
    <row r="439" spans="1:7" x14ac:dyDescent="0.25">
      <c r="A439" t="e">
        <f ca="1"/>
        <v>#NAME?</v>
      </c>
      <c r="B439" t="e">
        <f ca="1"/>
        <v>#NAME?</v>
      </c>
      <c r="C439" t="e">
        <f ca="1"/>
        <v>#NAME?</v>
      </c>
      <c r="D439" t="e">
        <f ca="1"/>
        <v>#NAME?</v>
      </c>
      <c r="E439" t="e">
        <f ca="1"/>
        <v>#NAME?</v>
      </c>
      <c r="F439" t="e">
        <f ca="1"/>
        <v>#NAME?</v>
      </c>
      <c r="G439" t="e">
        <f ca="1"/>
        <v>#NAME?</v>
      </c>
    </row>
    <row r="440" spans="1:7" x14ac:dyDescent="0.25">
      <c r="A440" t="e">
        <f ca="1"/>
        <v>#NAME?</v>
      </c>
      <c r="B440" t="e">
        <f ca="1"/>
        <v>#NAME?</v>
      </c>
      <c r="C440" t="e">
        <f ca="1"/>
        <v>#NAME?</v>
      </c>
      <c r="D440" t="e">
        <f ca="1"/>
        <v>#NAME?</v>
      </c>
      <c r="E440" t="e">
        <f ca="1"/>
        <v>#NAME?</v>
      </c>
      <c r="F440" t="e">
        <f ca="1"/>
        <v>#NAME?</v>
      </c>
      <c r="G440" t="e">
        <f ca="1"/>
        <v>#NAME?</v>
      </c>
    </row>
    <row r="441" spans="1:7" x14ac:dyDescent="0.25">
      <c r="A441" t="e">
        <f ca="1"/>
        <v>#NAME?</v>
      </c>
      <c r="B441" t="e">
        <f ca="1"/>
        <v>#NAME?</v>
      </c>
      <c r="C441" t="e">
        <f ca="1"/>
        <v>#NAME?</v>
      </c>
      <c r="D441" t="e">
        <f ca="1"/>
        <v>#NAME?</v>
      </c>
      <c r="E441" t="e">
        <f ca="1"/>
        <v>#NAME?</v>
      </c>
      <c r="F441" t="e">
        <f ca="1"/>
        <v>#NAME?</v>
      </c>
      <c r="G441" t="e">
        <f ca="1"/>
        <v>#NAME?</v>
      </c>
    </row>
    <row r="442" spans="1:7" x14ac:dyDescent="0.25">
      <c r="A442" t="e">
        <f ca="1"/>
        <v>#NAME?</v>
      </c>
      <c r="B442" t="e">
        <f ca="1"/>
        <v>#NAME?</v>
      </c>
      <c r="C442" t="e">
        <f ca="1"/>
        <v>#NAME?</v>
      </c>
      <c r="D442" t="e">
        <f ca="1"/>
        <v>#NAME?</v>
      </c>
      <c r="E442" t="e">
        <f ca="1"/>
        <v>#NAME?</v>
      </c>
      <c r="F442" t="e">
        <f ca="1"/>
        <v>#NAME?</v>
      </c>
      <c r="G442" t="e">
        <f ca="1"/>
        <v>#NAME?</v>
      </c>
    </row>
    <row r="443" spans="1:7" x14ac:dyDescent="0.25">
      <c r="A443" t="e">
        <f ca="1"/>
        <v>#NAME?</v>
      </c>
      <c r="B443" t="e">
        <f ca="1"/>
        <v>#NAME?</v>
      </c>
      <c r="C443" t="e">
        <f ca="1"/>
        <v>#NAME?</v>
      </c>
      <c r="D443" t="e">
        <f ca="1"/>
        <v>#NAME?</v>
      </c>
      <c r="E443" t="e">
        <f ca="1"/>
        <v>#NAME?</v>
      </c>
      <c r="F443" t="e">
        <f ca="1"/>
        <v>#NAME?</v>
      </c>
      <c r="G443" t="e">
        <f ca="1"/>
        <v>#NAME?</v>
      </c>
    </row>
    <row r="444" spans="1:7" x14ac:dyDescent="0.25">
      <c r="A444" t="e">
        <f ca="1"/>
        <v>#NAME?</v>
      </c>
      <c r="B444" t="e">
        <f ca="1"/>
        <v>#NAME?</v>
      </c>
      <c r="C444" t="e">
        <f ca="1"/>
        <v>#NAME?</v>
      </c>
      <c r="D444" t="e">
        <f ca="1"/>
        <v>#NAME?</v>
      </c>
      <c r="E444" t="e">
        <f ca="1"/>
        <v>#NAME?</v>
      </c>
      <c r="F444" t="e">
        <f ca="1"/>
        <v>#NAME?</v>
      </c>
      <c r="G444" t="e">
        <f ca="1"/>
        <v>#NAME?</v>
      </c>
    </row>
    <row r="445" spans="1:7" x14ac:dyDescent="0.25">
      <c r="A445" t="e">
        <f ca="1"/>
        <v>#NAME?</v>
      </c>
      <c r="B445" t="e">
        <f ca="1"/>
        <v>#NAME?</v>
      </c>
      <c r="C445" t="e">
        <f ca="1"/>
        <v>#NAME?</v>
      </c>
      <c r="D445" t="e">
        <f ca="1"/>
        <v>#NAME?</v>
      </c>
      <c r="E445" t="e">
        <f ca="1"/>
        <v>#NAME?</v>
      </c>
      <c r="F445" t="e">
        <f ca="1"/>
        <v>#NAME?</v>
      </c>
      <c r="G445" t="e">
        <f ca="1"/>
        <v>#NAME?</v>
      </c>
    </row>
    <row r="446" spans="1:7" x14ac:dyDescent="0.25">
      <c r="A446" t="e">
        <f ca="1"/>
        <v>#NAME?</v>
      </c>
      <c r="B446" t="e">
        <f ca="1"/>
        <v>#NAME?</v>
      </c>
      <c r="C446" t="e">
        <f ca="1"/>
        <v>#NAME?</v>
      </c>
      <c r="D446" t="e">
        <f ca="1"/>
        <v>#NAME?</v>
      </c>
      <c r="E446" t="e">
        <f ca="1"/>
        <v>#NAME?</v>
      </c>
      <c r="F446" t="e">
        <f ca="1"/>
        <v>#NAME?</v>
      </c>
      <c r="G446" t="e">
        <f ca="1"/>
        <v>#NAME?</v>
      </c>
    </row>
    <row r="447" spans="1:7" x14ac:dyDescent="0.25">
      <c r="A447" t="e">
        <f ca="1"/>
        <v>#NAME?</v>
      </c>
      <c r="B447" t="e">
        <f ca="1"/>
        <v>#NAME?</v>
      </c>
      <c r="C447" t="e">
        <f ca="1"/>
        <v>#NAME?</v>
      </c>
      <c r="D447" t="e">
        <f ca="1"/>
        <v>#NAME?</v>
      </c>
      <c r="E447" t="e">
        <f ca="1"/>
        <v>#NAME?</v>
      </c>
      <c r="F447" t="e">
        <f ca="1"/>
        <v>#NAME?</v>
      </c>
      <c r="G447" t="e">
        <f ca="1"/>
        <v>#NAME?</v>
      </c>
    </row>
    <row r="448" spans="1:7" x14ac:dyDescent="0.25">
      <c r="A448" t="e">
        <f ca="1"/>
        <v>#NAME?</v>
      </c>
      <c r="B448" t="e">
        <f ca="1"/>
        <v>#NAME?</v>
      </c>
      <c r="C448" t="e">
        <f ca="1"/>
        <v>#NAME?</v>
      </c>
      <c r="D448" t="e">
        <f ca="1"/>
        <v>#NAME?</v>
      </c>
      <c r="E448" t="e">
        <f ca="1"/>
        <v>#NAME?</v>
      </c>
      <c r="F448" t="e">
        <f ca="1"/>
        <v>#NAME?</v>
      </c>
      <c r="G448" t="e">
        <f ca="1"/>
        <v>#NAME?</v>
      </c>
    </row>
    <row r="449" spans="1:7" x14ac:dyDescent="0.25">
      <c r="A449" t="e">
        <f ca="1"/>
        <v>#NAME?</v>
      </c>
      <c r="B449" t="e">
        <f ca="1"/>
        <v>#NAME?</v>
      </c>
      <c r="C449" t="e">
        <f ca="1"/>
        <v>#NAME?</v>
      </c>
      <c r="D449" t="e">
        <f ca="1"/>
        <v>#NAME?</v>
      </c>
      <c r="E449" t="e">
        <f ca="1"/>
        <v>#NAME?</v>
      </c>
      <c r="F449" t="e">
        <f ca="1"/>
        <v>#NAME?</v>
      </c>
      <c r="G449" t="e">
        <f ca="1"/>
        <v>#NAME?</v>
      </c>
    </row>
    <row r="450" spans="1:7" x14ac:dyDescent="0.25">
      <c r="A450" t="e">
        <f ca="1"/>
        <v>#NAME?</v>
      </c>
      <c r="B450" t="e">
        <f ca="1"/>
        <v>#NAME?</v>
      </c>
      <c r="C450" t="e">
        <f ca="1"/>
        <v>#NAME?</v>
      </c>
      <c r="D450" t="e">
        <f ca="1"/>
        <v>#NAME?</v>
      </c>
      <c r="E450" t="e">
        <f ca="1"/>
        <v>#NAME?</v>
      </c>
      <c r="F450" t="e">
        <f ca="1"/>
        <v>#NAME?</v>
      </c>
      <c r="G450" t="e">
        <f ca="1"/>
        <v>#NAME?</v>
      </c>
    </row>
    <row r="451" spans="1:7" x14ac:dyDescent="0.25">
      <c r="A451" t="e">
        <f ca="1"/>
        <v>#NAME?</v>
      </c>
      <c r="B451" t="e">
        <f ca="1"/>
        <v>#NAME?</v>
      </c>
      <c r="C451" t="e">
        <f ca="1"/>
        <v>#NAME?</v>
      </c>
      <c r="D451" t="e">
        <f ca="1"/>
        <v>#NAME?</v>
      </c>
      <c r="E451" t="e">
        <f ca="1"/>
        <v>#NAME?</v>
      </c>
      <c r="F451" t="e">
        <f ca="1"/>
        <v>#NAME?</v>
      </c>
      <c r="G451" t="e">
        <f ca="1"/>
        <v>#NAME?</v>
      </c>
    </row>
    <row r="452" spans="1:7" x14ac:dyDescent="0.25">
      <c r="A452" t="e">
        <f ca="1"/>
        <v>#NAME?</v>
      </c>
      <c r="B452" t="e">
        <f ca="1"/>
        <v>#NAME?</v>
      </c>
      <c r="C452" t="e">
        <f ca="1"/>
        <v>#NAME?</v>
      </c>
      <c r="D452" t="e">
        <f ca="1"/>
        <v>#NAME?</v>
      </c>
      <c r="E452" t="e">
        <f ca="1"/>
        <v>#NAME?</v>
      </c>
      <c r="F452" t="e">
        <f ca="1"/>
        <v>#NAME?</v>
      </c>
      <c r="G452" t="e">
        <f ca="1"/>
        <v>#NAME?</v>
      </c>
    </row>
    <row r="453" spans="1:7" x14ac:dyDescent="0.25">
      <c r="A453" t="e">
        <f ca="1"/>
        <v>#NAME?</v>
      </c>
      <c r="B453" t="e">
        <f ca="1"/>
        <v>#NAME?</v>
      </c>
      <c r="C453" t="e">
        <f ca="1"/>
        <v>#NAME?</v>
      </c>
      <c r="D453" t="e">
        <f ca="1"/>
        <v>#NAME?</v>
      </c>
      <c r="E453" t="e">
        <f ca="1"/>
        <v>#NAME?</v>
      </c>
      <c r="F453" t="e">
        <f ca="1"/>
        <v>#NAME?</v>
      </c>
      <c r="G453" t="e">
        <f ca="1"/>
        <v>#NAME?</v>
      </c>
    </row>
    <row r="454" spans="1:7" x14ac:dyDescent="0.25">
      <c r="A454" t="e">
        <f ca="1"/>
        <v>#NAME?</v>
      </c>
      <c r="B454" t="e">
        <f ca="1"/>
        <v>#NAME?</v>
      </c>
      <c r="C454" t="e">
        <f ca="1"/>
        <v>#NAME?</v>
      </c>
      <c r="D454" t="e">
        <f ca="1"/>
        <v>#NAME?</v>
      </c>
      <c r="E454" t="e">
        <f ca="1"/>
        <v>#NAME?</v>
      </c>
      <c r="F454" t="e">
        <f ca="1"/>
        <v>#NAME?</v>
      </c>
      <c r="G454" t="e">
        <f ca="1"/>
        <v>#NAME?</v>
      </c>
    </row>
    <row r="455" spans="1:7" x14ac:dyDescent="0.25">
      <c r="A455" t="e">
        <f ca="1"/>
        <v>#NAME?</v>
      </c>
      <c r="B455" t="e">
        <f ca="1"/>
        <v>#NAME?</v>
      </c>
      <c r="C455" t="e">
        <f ca="1"/>
        <v>#NAME?</v>
      </c>
      <c r="D455" t="e">
        <f ca="1"/>
        <v>#NAME?</v>
      </c>
      <c r="E455" t="e">
        <f ca="1"/>
        <v>#NAME?</v>
      </c>
      <c r="F455" t="e">
        <f ca="1"/>
        <v>#NAME?</v>
      </c>
      <c r="G455" t="e">
        <f ca="1"/>
        <v>#NAME?</v>
      </c>
    </row>
    <row r="456" spans="1:7" x14ac:dyDescent="0.25">
      <c r="A456" t="e">
        <f ca="1"/>
        <v>#NAME?</v>
      </c>
      <c r="B456" t="e">
        <f ca="1"/>
        <v>#NAME?</v>
      </c>
      <c r="C456" t="e">
        <f ca="1"/>
        <v>#NAME?</v>
      </c>
      <c r="D456" t="e">
        <f ca="1"/>
        <v>#NAME?</v>
      </c>
      <c r="E456" t="e">
        <f ca="1"/>
        <v>#NAME?</v>
      </c>
      <c r="F456" t="e">
        <f ca="1"/>
        <v>#NAME?</v>
      </c>
      <c r="G456" t="e">
        <f ca="1"/>
        <v>#NAME?</v>
      </c>
    </row>
    <row r="457" spans="1:7" x14ac:dyDescent="0.25">
      <c r="A457" t="e">
        <f ca="1"/>
        <v>#NAME?</v>
      </c>
      <c r="B457" t="e">
        <f ca="1"/>
        <v>#NAME?</v>
      </c>
      <c r="C457" t="e">
        <f ca="1"/>
        <v>#NAME?</v>
      </c>
      <c r="D457" t="e">
        <f ca="1"/>
        <v>#NAME?</v>
      </c>
      <c r="E457" t="e">
        <f ca="1"/>
        <v>#NAME?</v>
      </c>
      <c r="F457" t="e">
        <f ca="1"/>
        <v>#NAME?</v>
      </c>
      <c r="G457" t="e">
        <f ca="1"/>
        <v>#NAME?</v>
      </c>
    </row>
    <row r="458" spans="1:7" x14ac:dyDescent="0.25">
      <c r="A458" t="e">
        <f ca="1"/>
        <v>#NAME?</v>
      </c>
      <c r="B458" t="e">
        <f ca="1"/>
        <v>#NAME?</v>
      </c>
      <c r="C458" t="e">
        <f ca="1"/>
        <v>#NAME?</v>
      </c>
      <c r="D458" t="e">
        <f ca="1"/>
        <v>#NAME?</v>
      </c>
      <c r="E458" t="e">
        <f ca="1"/>
        <v>#NAME?</v>
      </c>
      <c r="F458" t="e">
        <f ca="1"/>
        <v>#NAME?</v>
      </c>
      <c r="G458" t="e">
        <f ca="1"/>
        <v>#NAME?</v>
      </c>
    </row>
    <row r="459" spans="1:7" x14ac:dyDescent="0.25">
      <c r="A459" t="e">
        <f ca="1"/>
        <v>#NAME?</v>
      </c>
      <c r="B459" t="e">
        <f ca="1"/>
        <v>#NAME?</v>
      </c>
      <c r="C459" t="e">
        <f ca="1"/>
        <v>#NAME?</v>
      </c>
      <c r="D459" t="e">
        <f ca="1"/>
        <v>#NAME?</v>
      </c>
      <c r="E459" t="e">
        <f ca="1"/>
        <v>#NAME?</v>
      </c>
      <c r="F459" t="e">
        <f ca="1"/>
        <v>#NAME?</v>
      </c>
      <c r="G459" t="e">
        <f ca="1"/>
        <v>#NAME?</v>
      </c>
    </row>
    <row r="460" spans="1:7" x14ac:dyDescent="0.25">
      <c r="A460" t="e">
        <f ca="1"/>
        <v>#NAME?</v>
      </c>
      <c r="B460" t="e">
        <f ca="1"/>
        <v>#NAME?</v>
      </c>
      <c r="C460" t="e">
        <f ca="1"/>
        <v>#NAME?</v>
      </c>
      <c r="D460" t="e">
        <f ca="1"/>
        <v>#NAME?</v>
      </c>
      <c r="E460" t="e">
        <f ca="1"/>
        <v>#NAME?</v>
      </c>
      <c r="F460" t="e">
        <f ca="1"/>
        <v>#NAME?</v>
      </c>
      <c r="G460" t="e">
        <f ca="1"/>
        <v>#NAME?</v>
      </c>
    </row>
    <row r="461" spans="1:7" x14ac:dyDescent="0.25">
      <c r="A461" t="e">
        <f ca="1"/>
        <v>#NAME?</v>
      </c>
      <c r="B461" t="e">
        <f ca="1"/>
        <v>#NAME?</v>
      </c>
      <c r="C461" t="e">
        <f ca="1"/>
        <v>#NAME?</v>
      </c>
      <c r="D461" t="e">
        <f ca="1"/>
        <v>#NAME?</v>
      </c>
      <c r="E461" t="e">
        <f ca="1"/>
        <v>#NAME?</v>
      </c>
      <c r="F461" t="e">
        <f ca="1"/>
        <v>#NAME?</v>
      </c>
      <c r="G461" t="e">
        <f ca="1"/>
        <v>#NAME?</v>
      </c>
    </row>
    <row r="462" spans="1:7" x14ac:dyDescent="0.25">
      <c r="A462" t="e">
        <f ca="1"/>
        <v>#NAME?</v>
      </c>
      <c r="B462" t="e">
        <f ca="1"/>
        <v>#NAME?</v>
      </c>
      <c r="C462" t="e">
        <f ca="1"/>
        <v>#NAME?</v>
      </c>
      <c r="D462" t="e">
        <f ca="1"/>
        <v>#NAME?</v>
      </c>
      <c r="E462" t="e">
        <f ca="1"/>
        <v>#NAME?</v>
      </c>
      <c r="F462" t="e">
        <f ca="1"/>
        <v>#NAME?</v>
      </c>
      <c r="G462" t="e">
        <f ca="1"/>
        <v>#NAME?</v>
      </c>
    </row>
    <row r="463" spans="1:7" x14ac:dyDescent="0.25">
      <c r="A463" t="e">
        <f ca="1"/>
        <v>#NAME?</v>
      </c>
      <c r="B463" t="e">
        <f ca="1"/>
        <v>#NAME?</v>
      </c>
      <c r="C463" t="e">
        <f ca="1"/>
        <v>#NAME?</v>
      </c>
      <c r="D463" t="e">
        <f ca="1"/>
        <v>#NAME?</v>
      </c>
      <c r="E463" t="e">
        <f ca="1"/>
        <v>#NAME?</v>
      </c>
      <c r="F463" t="e">
        <f ca="1"/>
        <v>#NAME?</v>
      </c>
      <c r="G463" t="e">
        <f ca="1"/>
        <v>#NAME?</v>
      </c>
    </row>
    <row r="464" spans="1:7" x14ac:dyDescent="0.25">
      <c r="A464" t="e">
        <f ca="1"/>
        <v>#NAME?</v>
      </c>
      <c r="B464" t="e">
        <f ca="1"/>
        <v>#NAME?</v>
      </c>
      <c r="C464" t="e">
        <f ca="1"/>
        <v>#NAME?</v>
      </c>
      <c r="D464" t="e">
        <f ca="1"/>
        <v>#NAME?</v>
      </c>
      <c r="E464" t="e">
        <f ca="1"/>
        <v>#NAME?</v>
      </c>
      <c r="F464" t="e">
        <f ca="1"/>
        <v>#NAME?</v>
      </c>
      <c r="G464" t="e">
        <f ca="1"/>
        <v>#NAME?</v>
      </c>
    </row>
    <row r="465" spans="1:7" x14ac:dyDescent="0.25">
      <c r="A465" t="e">
        <f ca="1"/>
        <v>#NAME?</v>
      </c>
      <c r="B465" t="e">
        <f ca="1"/>
        <v>#NAME?</v>
      </c>
      <c r="C465" t="e">
        <f ca="1"/>
        <v>#NAME?</v>
      </c>
      <c r="D465" t="e">
        <f ca="1"/>
        <v>#NAME?</v>
      </c>
      <c r="E465" t="e">
        <f ca="1"/>
        <v>#NAME?</v>
      </c>
      <c r="F465" t="e">
        <f ca="1"/>
        <v>#NAME?</v>
      </c>
      <c r="G465" t="e">
        <f ca="1"/>
        <v>#NAME?</v>
      </c>
    </row>
    <row r="466" spans="1:7" x14ac:dyDescent="0.25">
      <c r="A466" t="e">
        <f ca="1"/>
        <v>#NAME?</v>
      </c>
      <c r="B466" t="e">
        <f ca="1"/>
        <v>#NAME?</v>
      </c>
      <c r="C466" t="e">
        <f ca="1"/>
        <v>#NAME?</v>
      </c>
      <c r="D466" t="e">
        <f ca="1"/>
        <v>#NAME?</v>
      </c>
      <c r="E466" t="e">
        <f ca="1"/>
        <v>#NAME?</v>
      </c>
      <c r="F466" t="e">
        <f ca="1"/>
        <v>#NAME?</v>
      </c>
      <c r="G466" t="e">
        <f ca="1"/>
        <v>#NAME?</v>
      </c>
    </row>
    <row r="467" spans="1:7" x14ac:dyDescent="0.25">
      <c r="A467" t="e">
        <f ca="1"/>
        <v>#NAME?</v>
      </c>
      <c r="B467" t="e">
        <f ca="1"/>
        <v>#NAME?</v>
      </c>
      <c r="C467" t="e">
        <f ca="1"/>
        <v>#NAME?</v>
      </c>
      <c r="D467" t="e">
        <f ca="1"/>
        <v>#NAME?</v>
      </c>
      <c r="E467" t="e">
        <f ca="1"/>
        <v>#NAME?</v>
      </c>
      <c r="F467" t="e">
        <f ca="1"/>
        <v>#NAME?</v>
      </c>
      <c r="G467" t="e">
        <f ca="1"/>
        <v>#NAME?</v>
      </c>
    </row>
    <row r="468" spans="1:7" x14ac:dyDescent="0.25">
      <c r="A468" t="e">
        <f ca="1"/>
        <v>#NAME?</v>
      </c>
      <c r="B468" t="e">
        <f ca="1"/>
        <v>#NAME?</v>
      </c>
      <c r="C468" t="e">
        <f ca="1"/>
        <v>#NAME?</v>
      </c>
      <c r="D468" t="e">
        <f ca="1"/>
        <v>#NAME?</v>
      </c>
      <c r="E468" t="e">
        <f ca="1"/>
        <v>#NAME?</v>
      </c>
      <c r="F468" t="e">
        <f ca="1"/>
        <v>#NAME?</v>
      </c>
      <c r="G468" t="e">
        <f ca="1"/>
        <v>#NAME?</v>
      </c>
    </row>
    <row r="469" spans="1:7" x14ac:dyDescent="0.25">
      <c r="A469" t="e">
        <f ca="1"/>
        <v>#NAME?</v>
      </c>
      <c r="B469" t="e">
        <f ca="1"/>
        <v>#NAME?</v>
      </c>
      <c r="C469" t="e">
        <f ca="1"/>
        <v>#NAME?</v>
      </c>
      <c r="D469" t="e">
        <f ca="1"/>
        <v>#NAME?</v>
      </c>
      <c r="E469" t="e">
        <f ca="1"/>
        <v>#NAME?</v>
      </c>
      <c r="F469" t="e">
        <f ca="1"/>
        <v>#NAME?</v>
      </c>
      <c r="G469" t="e">
        <f ca="1"/>
        <v>#NAME?</v>
      </c>
    </row>
    <row r="470" spans="1:7" x14ac:dyDescent="0.25">
      <c r="A470" t="e">
        <f ca="1"/>
        <v>#NAME?</v>
      </c>
      <c r="B470" t="e">
        <f ca="1"/>
        <v>#NAME?</v>
      </c>
      <c r="C470" t="e">
        <f ca="1"/>
        <v>#NAME?</v>
      </c>
      <c r="D470" t="e">
        <f ca="1"/>
        <v>#NAME?</v>
      </c>
      <c r="E470" t="e">
        <f ca="1"/>
        <v>#NAME?</v>
      </c>
      <c r="F470" t="e">
        <f ca="1"/>
        <v>#NAME?</v>
      </c>
      <c r="G470" t="e">
        <f ca="1"/>
        <v>#NAME?</v>
      </c>
    </row>
    <row r="471" spans="1:7" x14ac:dyDescent="0.25">
      <c r="A471" t="e">
        <f ca="1"/>
        <v>#NAME?</v>
      </c>
      <c r="B471" t="e">
        <f ca="1"/>
        <v>#NAME?</v>
      </c>
      <c r="C471" t="e">
        <f ca="1"/>
        <v>#NAME?</v>
      </c>
      <c r="D471" t="e">
        <f ca="1"/>
        <v>#NAME?</v>
      </c>
      <c r="E471" t="e">
        <f ca="1"/>
        <v>#NAME?</v>
      </c>
      <c r="F471" t="e">
        <f ca="1"/>
        <v>#NAME?</v>
      </c>
      <c r="G471" t="e">
        <f ca="1"/>
        <v>#NAME?</v>
      </c>
    </row>
    <row r="472" spans="1:7" x14ac:dyDescent="0.25">
      <c r="A472" t="e">
        <f ca="1"/>
        <v>#NAME?</v>
      </c>
      <c r="B472" t="e">
        <f ca="1"/>
        <v>#NAME?</v>
      </c>
      <c r="C472" t="e">
        <f ca="1"/>
        <v>#NAME?</v>
      </c>
      <c r="D472" t="e">
        <f ca="1"/>
        <v>#NAME?</v>
      </c>
      <c r="E472" t="e">
        <f ca="1"/>
        <v>#NAME?</v>
      </c>
      <c r="F472" t="e">
        <f ca="1"/>
        <v>#NAME?</v>
      </c>
      <c r="G472" t="e">
        <f ca="1"/>
        <v>#NAME?</v>
      </c>
    </row>
    <row r="473" spans="1:7" x14ac:dyDescent="0.25">
      <c r="A473" t="e">
        <f ca="1"/>
        <v>#NAME?</v>
      </c>
      <c r="B473" t="e">
        <f ca="1"/>
        <v>#NAME?</v>
      </c>
      <c r="C473" t="e">
        <f ca="1"/>
        <v>#NAME?</v>
      </c>
      <c r="D473" t="e">
        <f ca="1"/>
        <v>#NAME?</v>
      </c>
      <c r="E473" t="e">
        <f ca="1"/>
        <v>#NAME?</v>
      </c>
      <c r="F473" t="e">
        <f ca="1"/>
        <v>#NAME?</v>
      </c>
      <c r="G473" t="e">
        <f ca="1"/>
        <v>#NAME?</v>
      </c>
    </row>
    <row r="474" spans="1:7" x14ac:dyDescent="0.25">
      <c r="A474" t="e">
        <f ca="1"/>
        <v>#NAME?</v>
      </c>
      <c r="B474" t="e">
        <f ca="1"/>
        <v>#NAME?</v>
      </c>
      <c r="C474" t="e">
        <f ca="1"/>
        <v>#NAME?</v>
      </c>
      <c r="D474" t="e">
        <f ca="1"/>
        <v>#NAME?</v>
      </c>
      <c r="E474" t="e">
        <f ca="1"/>
        <v>#NAME?</v>
      </c>
      <c r="F474" t="e">
        <f ca="1"/>
        <v>#NAME?</v>
      </c>
      <c r="G474" t="e">
        <f ca="1"/>
        <v>#NAME?</v>
      </c>
    </row>
    <row r="475" spans="1:7" x14ac:dyDescent="0.25">
      <c r="A475" t="e">
        <f ca="1"/>
        <v>#NAME?</v>
      </c>
      <c r="B475" t="e">
        <f ca="1"/>
        <v>#NAME?</v>
      </c>
      <c r="C475" t="e">
        <f ca="1"/>
        <v>#NAME?</v>
      </c>
      <c r="D475" t="e">
        <f ca="1"/>
        <v>#NAME?</v>
      </c>
      <c r="E475" t="e">
        <f ca="1"/>
        <v>#NAME?</v>
      </c>
      <c r="F475" t="e">
        <f ca="1"/>
        <v>#NAME?</v>
      </c>
      <c r="G475" t="e">
        <f ca="1"/>
        <v>#NAME?</v>
      </c>
    </row>
    <row r="476" spans="1:7" x14ac:dyDescent="0.25">
      <c r="A476" t="e">
        <f ca="1"/>
        <v>#NAME?</v>
      </c>
      <c r="B476" t="e">
        <f ca="1"/>
        <v>#NAME?</v>
      </c>
      <c r="C476" t="e">
        <f ca="1"/>
        <v>#NAME?</v>
      </c>
      <c r="D476" t="e">
        <f ca="1"/>
        <v>#NAME?</v>
      </c>
      <c r="E476" t="e">
        <f ca="1"/>
        <v>#NAME?</v>
      </c>
      <c r="F476" t="e">
        <f ca="1"/>
        <v>#NAME?</v>
      </c>
      <c r="G476" t="e">
        <f ca="1"/>
        <v>#NAME?</v>
      </c>
    </row>
    <row r="477" spans="1:7" x14ac:dyDescent="0.25">
      <c r="A477" t="e">
        <f ca="1"/>
        <v>#NAME?</v>
      </c>
      <c r="B477" t="e">
        <f ca="1"/>
        <v>#NAME?</v>
      </c>
      <c r="C477" t="e">
        <f ca="1"/>
        <v>#NAME?</v>
      </c>
      <c r="D477" t="e">
        <f ca="1"/>
        <v>#NAME?</v>
      </c>
      <c r="E477" t="e">
        <f ca="1"/>
        <v>#NAME?</v>
      </c>
      <c r="F477" t="e">
        <f ca="1"/>
        <v>#NAME?</v>
      </c>
      <c r="G477" t="e">
        <f ca="1"/>
        <v>#NAME?</v>
      </c>
    </row>
    <row r="478" spans="1:7" x14ac:dyDescent="0.25">
      <c r="A478" t="e">
        <f ca="1"/>
        <v>#NAME?</v>
      </c>
      <c r="B478" t="e">
        <f ca="1"/>
        <v>#NAME?</v>
      </c>
      <c r="C478" t="e">
        <f ca="1"/>
        <v>#NAME?</v>
      </c>
      <c r="D478" t="e">
        <f ca="1"/>
        <v>#NAME?</v>
      </c>
      <c r="E478" t="e">
        <f ca="1"/>
        <v>#NAME?</v>
      </c>
      <c r="F478" t="e">
        <f ca="1"/>
        <v>#NAME?</v>
      </c>
      <c r="G478" t="e">
        <f ca="1"/>
        <v>#NAME?</v>
      </c>
    </row>
    <row r="479" spans="1:7" x14ac:dyDescent="0.25">
      <c r="A479" t="e">
        <f ca="1"/>
        <v>#NAME?</v>
      </c>
      <c r="B479" t="e">
        <f ca="1"/>
        <v>#NAME?</v>
      </c>
      <c r="C479" t="e">
        <f ca="1"/>
        <v>#NAME?</v>
      </c>
      <c r="D479" t="e">
        <f ca="1"/>
        <v>#NAME?</v>
      </c>
      <c r="E479" t="e">
        <f ca="1"/>
        <v>#NAME?</v>
      </c>
      <c r="F479" t="e">
        <f ca="1"/>
        <v>#NAME?</v>
      </c>
      <c r="G479" t="e">
        <f ca="1"/>
        <v>#NAME?</v>
      </c>
    </row>
    <row r="480" spans="1:7" x14ac:dyDescent="0.25">
      <c r="A480" t="e">
        <f ca="1"/>
        <v>#NAME?</v>
      </c>
      <c r="B480" t="e">
        <f ca="1"/>
        <v>#NAME?</v>
      </c>
      <c r="C480" t="e">
        <f ca="1"/>
        <v>#NAME?</v>
      </c>
      <c r="D480" t="e">
        <f ca="1"/>
        <v>#NAME?</v>
      </c>
      <c r="E480" t="e">
        <f ca="1"/>
        <v>#NAME?</v>
      </c>
      <c r="F480" t="e">
        <f ca="1"/>
        <v>#NAME?</v>
      </c>
      <c r="G480" t="e">
        <f ca="1"/>
        <v>#NAME?</v>
      </c>
    </row>
    <row r="481" spans="1:7" x14ac:dyDescent="0.25">
      <c r="A481" t="e">
        <f ca="1"/>
        <v>#NAME?</v>
      </c>
      <c r="B481" t="e">
        <f ca="1"/>
        <v>#NAME?</v>
      </c>
      <c r="C481" t="e">
        <f ca="1"/>
        <v>#NAME?</v>
      </c>
      <c r="D481" t="e">
        <f ca="1"/>
        <v>#NAME?</v>
      </c>
      <c r="E481" t="e">
        <f ca="1"/>
        <v>#NAME?</v>
      </c>
      <c r="F481" t="e">
        <f ca="1"/>
        <v>#NAME?</v>
      </c>
      <c r="G481" t="e">
        <f ca="1"/>
        <v>#NAME?</v>
      </c>
    </row>
    <row r="482" spans="1:7" x14ac:dyDescent="0.25">
      <c r="A482" t="e">
        <f ca="1"/>
        <v>#NAME?</v>
      </c>
      <c r="B482" t="e">
        <f ca="1"/>
        <v>#NAME?</v>
      </c>
      <c r="C482" t="e">
        <f ca="1"/>
        <v>#NAME?</v>
      </c>
      <c r="D482" t="e">
        <f ca="1"/>
        <v>#NAME?</v>
      </c>
      <c r="E482" t="e">
        <f ca="1"/>
        <v>#NAME?</v>
      </c>
      <c r="F482" t="e">
        <f ca="1"/>
        <v>#NAME?</v>
      </c>
      <c r="G482" t="e">
        <f ca="1"/>
        <v>#NAME?</v>
      </c>
    </row>
    <row r="483" spans="1:7" x14ac:dyDescent="0.25">
      <c r="A483" t="e">
        <f ca="1"/>
        <v>#NAME?</v>
      </c>
      <c r="B483" t="e">
        <f ca="1"/>
        <v>#NAME?</v>
      </c>
      <c r="C483" t="e">
        <f ca="1"/>
        <v>#NAME?</v>
      </c>
      <c r="D483" t="e">
        <f ca="1"/>
        <v>#NAME?</v>
      </c>
      <c r="E483" t="e">
        <f ca="1"/>
        <v>#NAME?</v>
      </c>
      <c r="F483" t="e">
        <f ca="1"/>
        <v>#NAME?</v>
      </c>
      <c r="G483" t="e">
        <f ca="1"/>
        <v>#NAME?</v>
      </c>
    </row>
    <row r="484" spans="1:7" x14ac:dyDescent="0.25">
      <c r="A484" t="e">
        <f ca="1"/>
        <v>#NAME?</v>
      </c>
      <c r="B484" t="e">
        <f ca="1"/>
        <v>#NAME?</v>
      </c>
      <c r="C484" t="e">
        <f ca="1"/>
        <v>#NAME?</v>
      </c>
      <c r="D484" t="e">
        <f ca="1"/>
        <v>#NAME?</v>
      </c>
      <c r="E484" t="e">
        <f ca="1"/>
        <v>#NAME?</v>
      </c>
      <c r="F484" t="e">
        <f ca="1"/>
        <v>#NAME?</v>
      </c>
      <c r="G484" t="e">
        <f ca="1"/>
        <v>#NAME?</v>
      </c>
    </row>
    <row r="485" spans="1:7" x14ac:dyDescent="0.25">
      <c r="A485" t="e">
        <f ca="1"/>
        <v>#NAME?</v>
      </c>
      <c r="B485" t="e">
        <f ca="1"/>
        <v>#NAME?</v>
      </c>
      <c r="C485" t="e">
        <f ca="1"/>
        <v>#NAME?</v>
      </c>
      <c r="D485" t="e">
        <f ca="1"/>
        <v>#NAME?</v>
      </c>
      <c r="E485" t="e">
        <f ca="1"/>
        <v>#NAME?</v>
      </c>
      <c r="F485" t="e">
        <f ca="1"/>
        <v>#NAME?</v>
      </c>
      <c r="G485" t="e">
        <f ca="1"/>
        <v>#NAME?</v>
      </c>
    </row>
    <row r="486" spans="1:7" x14ac:dyDescent="0.25">
      <c r="A486" t="e">
        <f ca="1"/>
        <v>#NAME?</v>
      </c>
      <c r="B486" t="e">
        <f ca="1"/>
        <v>#NAME?</v>
      </c>
      <c r="C486" t="e">
        <f ca="1"/>
        <v>#NAME?</v>
      </c>
      <c r="D486" t="e">
        <f ca="1"/>
        <v>#NAME?</v>
      </c>
      <c r="E486" t="e">
        <f ca="1"/>
        <v>#NAME?</v>
      </c>
      <c r="F486" t="e">
        <f ca="1"/>
        <v>#NAME?</v>
      </c>
      <c r="G486" t="e">
        <f ca="1"/>
        <v>#NAME?</v>
      </c>
    </row>
    <row r="487" spans="1:7" x14ac:dyDescent="0.25">
      <c r="A487" t="e">
        <f ca="1"/>
        <v>#NAME?</v>
      </c>
      <c r="B487" t="e">
        <f ca="1"/>
        <v>#NAME?</v>
      </c>
      <c r="C487" t="e">
        <f ca="1"/>
        <v>#NAME?</v>
      </c>
      <c r="D487" t="e">
        <f ca="1"/>
        <v>#NAME?</v>
      </c>
      <c r="E487" t="e">
        <f ca="1"/>
        <v>#NAME?</v>
      </c>
      <c r="F487" t="e">
        <f ca="1"/>
        <v>#NAME?</v>
      </c>
      <c r="G487" t="e">
        <f ca="1"/>
        <v>#NAME?</v>
      </c>
    </row>
    <row r="488" spans="1:7" x14ac:dyDescent="0.25">
      <c r="A488" t="e">
        <f ca="1"/>
        <v>#NAME?</v>
      </c>
      <c r="B488" t="e">
        <f ca="1"/>
        <v>#NAME?</v>
      </c>
      <c r="C488" t="e">
        <f ca="1"/>
        <v>#NAME?</v>
      </c>
      <c r="D488" t="e">
        <f ca="1"/>
        <v>#NAME?</v>
      </c>
      <c r="E488" t="e">
        <f ca="1"/>
        <v>#NAME?</v>
      </c>
      <c r="F488" t="e">
        <f ca="1"/>
        <v>#NAME?</v>
      </c>
      <c r="G488" t="e">
        <f ca="1"/>
        <v>#NAME?</v>
      </c>
    </row>
    <row r="489" spans="1:7" x14ac:dyDescent="0.25">
      <c r="A489" t="e">
        <f ca="1"/>
        <v>#NAME?</v>
      </c>
      <c r="B489" t="e">
        <f ca="1"/>
        <v>#NAME?</v>
      </c>
      <c r="C489" t="e">
        <f ca="1"/>
        <v>#NAME?</v>
      </c>
      <c r="D489" t="e">
        <f ca="1"/>
        <v>#NAME?</v>
      </c>
      <c r="E489" t="e">
        <f ca="1"/>
        <v>#NAME?</v>
      </c>
      <c r="F489" t="e">
        <f ca="1"/>
        <v>#NAME?</v>
      </c>
      <c r="G489" t="e">
        <f ca="1"/>
        <v>#NAME?</v>
      </c>
    </row>
    <row r="490" spans="1:7" x14ac:dyDescent="0.25">
      <c r="A490" t="e">
        <f ca="1"/>
        <v>#NAME?</v>
      </c>
      <c r="B490" t="e">
        <f ca="1"/>
        <v>#NAME?</v>
      </c>
      <c r="C490" t="e">
        <f ca="1"/>
        <v>#NAME?</v>
      </c>
      <c r="D490" t="e">
        <f ca="1"/>
        <v>#NAME?</v>
      </c>
      <c r="E490" t="e">
        <f ca="1"/>
        <v>#NAME?</v>
      </c>
      <c r="F490" t="e">
        <f ca="1"/>
        <v>#NAME?</v>
      </c>
      <c r="G490" t="e">
        <f ca="1"/>
        <v>#NAME?</v>
      </c>
    </row>
    <row r="491" spans="1:7" x14ac:dyDescent="0.25">
      <c r="A491" t="e">
        <f ca="1"/>
        <v>#NAME?</v>
      </c>
      <c r="B491" t="e">
        <f ca="1"/>
        <v>#NAME?</v>
      </c>
      <c r="C491" t="e">
        <f ca="1"/>
        <v>#NAME?</v>
      </c>
      <c r="D491" t="e">
        <f ca="1"/>
        <v>#NAME?</v>
      </c>
      <c r="E491" t="e">
        <f ca="1"/>
        <v>#NAME?</v>
      </c>
      <c r="F491" t="e">
        <f ca="1"/>
        <v>#NAME?</v>
      </c>
      <c r="G491" t="e">
        <f ca="1"/>
        <v>#NAME?</v>
      </c>
    </row>
    <row r="492" spans="1:7" x14ac:dyDescent="0.25">
      <c r="A492" t="e">
        <f ca="1"/>
        <v>#NAME?</v>
      </c>
      <c r="B492" t="e">
        <f ca="1"/>
        <v>#NAME?</v>
      </c>
      <c r="C492" t="e">
        <f ca="1"/>
        <v>#NAME?</v>
      </c>
      <c r="D492" t="e">
        <f ca="1"/>
        <v>#NAME?</v>
      </c>
      <c r="E492" t="e">
        <f ca="1"/>
        <v>#NAME?</v>
      </c>
      <c r="F492" t="e">
        <f ca="1"/>
        <v>#NAME?</v>
      </c>
      <c r="G492" t="e">
        <f ca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A5D7-DA6A-4B7C-951E-C13A69DB5CFF}">
  <dimension ref="A1:AE1104"/>
  <sheetViews>
    <sheetView topLeftCell="A259" workbookViewId="0">
      <selection sqref="A1:XFD1048576"/>
    </sheetView>
  </sheetViews>
  <sheetFormatPr baseColWidth="10" defaultRowHeight="15" x14ac:dyDescent="0.25"/>
  <cols>
    <col min="1" max="1" width="72.85546875" bestFit="1" customWidth="1"/>
    <col min="2" max="2" width="18.85546875" bestFit="1" customWidth="1"/>
    <col min="3" max="3" width="13.85546875" bestFit="1" customWidth="1"/>
    <col min="4" max="4" width="18.5703125" bestFit="1" customWidth="1"/>
    <col min="5" max="5" width="13.140625" bestFit="1" customWidth="1"/>
    <col min="6" max="6" width="13.5703125" bestFit="1" customWidth="1"/>
    <col min="7" max="7" width="18.7109375" bestFit="1" customWidth="1"/>
    <col min="8" max="8" width="29.85546875" bestFit="1" customWidth="1"/>
    <col min="9" max="9" width="23.5703125" bestFit="1" customWidth="1"/>
    <col min="10" max="10" width="18.28515625" bestFit="1" customWidth="1"/>
    <col min="11" max="11" width="25.42578125" bestFit="1" customWidth="1"/>
    <col min="12" max="12" width="18.28515625" bestFit="1" customWidth="1"/>
    <col min="13" max="13" width="12.42578125" bestFit="1" customWidth="1"/>
    <col min="14" max="14" width="20.5703125" bestFit="1" customWidth="1"/>
    <col min="15" max="15" width="19.85546875" bestFit="1" customWidth="1"/>
    <col min="16" max="16" width="12.42578125" bestFit="1" customWidth="1"/>
    <col min="17" max="17" width="19.85546875" bestFit="1" customWidth="1"/>
    <col min="18" max="18" width="20.5703125" bestFit="1" customWidth="1"/>
    <col min="19" max="19" width="12.42578125" bestFit="1" customWidth="1"/>
    <col min="20" max="20" width="24.5703125" bestFit="1" customWidth="1"/>
    <col min="21" max="21" width="20.5703125" bestFit="1" customWidth="1"/>
    <col min="22" max="22" width="12.42578125" bestFit="1" customWidth="1"/>
    <col min="23" max="23" width="26.5703125" bestFit="1" customWidth="1"/>
    <col min="24" max="24" width="20.5703125" bestFit="1" customWidth="1"/>
    <col min="25" max="25" width="7.85546875" bestFit="1" customWidth="1"/>
    <col min="26" max="26" width="7.5703125" bestFit="1" customWidth="1"/>
    <col min="27" max="27" width="12.42578125" bestFit="1" customWidth="1"/>
    <col min="28" max="28" width="19.85546875" bestFit="1" customWidth="1"/>
    <col min="29" max="29" width="20.5703125" bestFit="1" customWidth="1"/>
    <col min="30" max="31" width="24.5703125" bestFit="1" customWidth="1"/>
  </cols>
  <sheetData>
    <row r="1" spans="1:31" x14ac:dyDescent="0.25">
      <c r="A1" t="s">
        <v>2634</v>
      </c>
    </row>
    <row r="3" spans="1:31" x14ac:dyDescent="0.25">
      <c r="A3" t="s">
        <v>2635</v>
      </c>
      <c r="B3" t="s">
        <v>2016</v>
      </c>
      <c r="C3" t="s">
        <v>2636</v>
      </c>
      <c r="D3" t="s">
        <v>2637</v>
      </c>
      <c r="E3" t="s">
        <v>2638</v>
      </c>
      <c r="F3" t="s">
        <v>2639</v>
      </c>
      <c r="G3" t="s">
        <v>2640</v>
      </c>
      <c r="H3" t="s">
        <v>2641</v>
      </c>
      <c r="I3" t="s">
        <v>2642</v>
      </c>
      <c r="J3" t="s">
        <v>2643</v>
      </c>
      <c r="K3" t="s">
        <v>2644</v>
      </c>
      <c r="L3" t="s">
        <v>2645</v>
      </c>
      <c r="M3" t="s">
        <v>2646</v>
      </c>
      <c r="N3" t="s">
        <v>2647</v>
      </c>
      <c r="O3" t="s">
        <v>2648</v>
      </c>
      <c r="P3" t="s">
        <v>2649</v>
      </c>
      <c r="Q3" t="s">
        <v>2650</v>
      </c>
      <c r="R3" t="s">
        <v>2651</v>
      </c>
      <c r="S3" t="s">
        <v>2652</v>
      </c>
      <c r="T3" t="s">
        <v>2653</v>
      </c>
      <c r="U3" t="s">
        <v>2654</v>
      </c>
      <c r="V3" t="s">
        <v>2655</v>
      </c>
      <c r="W3" t="s">
        <v>2656</v>
      </c>
      <c r="X3" t="s">
        <v>2657</v>
      </c>
      <c r="Y3" t="s">
        <v>2658</v>
      </c>
      <c r="Z3" t="s">
        <v>2659</v>
      </c>
      <c r="AA3" t="s">
        <v>2660</v>
      </c>
      <c r="AB3" t="s">
        <v>2661</v>
      </c>
      <c r="AC3" t="s">
        <v>2662</v>
      </c>
      <c r="AD3" t="s">
        <v>2663</v>
      </c>
      <c r="AE3" t="s">
        <v>2664</v>
      </c>
    </row>
    <row r="4" spans="1:31" x14ac:dyDescent="0.25">
      <c r="A4" t="s">
        <v>1062</v>
      </c>
      <c r="B4" t="s">
        <v>1061</v>
      </c>
      <c r="C4" t="s">
        <v>2665</v>
      </c>
      <c r="D4" t="s">
        <v>1061</v>
      </c>
      <c r="E4" t="s">
        <v>2666</v>
      </c>
      <c r="F4" t="s">
        <v>2667</v>
      </c>
      <c r="G4" t="s">
        <v>2666</v>
      </c>
      <c r="H4" t="s">
        <v>2054</v>
      </c>
      <c r="I4" t="s">
        <v>2668</v>
      </c>
      <c r="J4" t="s">
        <v>2054</v>
      </c>
      <c r="K4" t="s">
        <v>2665</v>
      </c>
      <c r="L4" t="s">
        <v>1063</v>
      </c>
      <c r="M4" t="s">
        <v>2669</v>
      </c>
      <c r="N4" t="s">
        <v>2665</v>
      </c>
      <c r="O4" t="s">
        <v>2670</v>
      </c>
      <c r="P4" t="s">
        <v>2671</v>
      </c>
      <c r="Q4" t="s">
        <v>2672</v>
      </c>
      <c r="R4" t="s">
        <v>2665</v>
      </c>
      <c r="S4" t="s">
        <v>2671</v>
      </c>
      <c r="T4" t="s">
        <v>2673</v>
      </c>
      <c r="U4" t="s">
        <v>2665</v>
      </c>
      <c r="V4" t="s">
        <v>2671</v>
      </c>
      <c r="W4" t="s">
        <v>2674</v>
      </c>
      <c r="X4" t="s">
        <v>2665</v>
      </c>
      <c r="Y4" t="s">
        <v>2054</v>
      </c>
      <c r="Z4" t="s">
        <v>1063</v>
      </c>
      <c r="AA4" t="s">
        <v>2665</v>
      </c>
      <c r="AB4" t="s">
        <v>2665</v>
      </c>
      <c r="AC4" t="s">
        <v>2665</v>
      </c>
      <c r="AD4" t="s">
        <v>2054</v>
      </c>
      <c r="AE4" t="s">
        <v>2054</v>
      </c>
    </row>
    <row r="5" spans="1:31" x14ac:dyDescent="0.25">
      <c r="A5" t="s">
        <v>1065</v>
      </c>
      <c r="B5" t="s">
        <v>1064</v>
      </c>
      <c r="C5" t="s">
        <v>2675</v>
      </c>
      <c r="D5" t="s">
        <v>1064</v>
      </c>
      <c r="E5" t="s">
        <v>2666</v>
      </c>
      <c r="F5" t="s">
        <v>2667</v>
      </c>
      <c r="G5" t="s">
        <v>2666</v>
      </c>
      <c r="H5" t="s">
        <v>2054</v>
      </c>
      <c r="I5" t="s">
        <v>2668</v>
      </c>
      <c r="J5" t="s">
        <v>2054</v>
      </c>
      <c r="K5" t="s">
        <v>2665</v>
      </c>
      <c r="L5" t="s">
        <v>1063</v>
      </c>
      <c r="M5" t="s">
        <v>2669</v>
      </c>
      <c r="N5" t="s">
        <v>2665</v>
      </c>
      <c r="O5" t="s">
        <v>2670</v>
      </c>
      <c r="P5" t="s">
        <v>2671</v>
      </c>
      <c r="Q5" t="s">
        <v>2672</v>
      </c>
      <c r="R5" t="s">
        <v>2665</v>
      </c>
      <c r="S5" t="s">
        <v>2671</v>
      </c>
      <c r="T5" t="s">
        <v>2673</v>
      </c>
      <c r="U5" t="s">
        <v>2665</v>
      </c>
      <c r="V5" t="s">
        <v>2671</v>
      </c>
      <c r="W5" t="s">
        <v>2674</v>
      </c>
      <c r="X5" t="s">
        <v>2665</v>
      </c>
      <c r="Y5" t="s">
        <v>2054</v>
      </c>
      <c r="Z5" t="s">
        <v>1063</v>
      </c>
      <c r="AA5" t="s">
        <v>2665</v>
      </c>
      <c r="AB5" t="s">
        <v>2665</v>
      </c>
      <c r="AC5" t="s">
        <v>2665</v>
      </c>
      <c r="AD5" t="s">
        <v>2054</v>
      </c>
      <c r="AE5" t="s">
        <v>2054</v>
      </c>
    </row>
    <row r="6" spans="1:31" x14ac:dyDescent="0.25">
      <c r="A6" t="s">
        <v>1067</v>
      </c>
      <c r="B6" t="s">
        <v>1066</v>
      </c>
      <c r="C6" t="s">
        <v>2676</v>
      </c>
      <c r="D6" t="s">
        <v>1066</v>
      </c>
      <c r="E6" t="s">
        <v>2666</v>
      </c>
      <c r="F6" t="s">
        <v>2667</v>
      </c>
      <c r="G6" t="s">
        <v>2666</v>
      </c>
      <c r="H6" t="s">
        <v>2054</v>
      </c>
      <c r="I6" t="s">
        <v>2668</v>
      </c>
      <c r="J6" t="s">
        <v>2054</v>
      </c>
      <c r="K6" t="s">
        <v>2665</v>
      </c>
      <c r="L6" t="s">
        <v>1063</v>
      </c>
      <c r="M6" t="s">
        <v>2669</v>
      </c>
      <c r="N6" t="s">
        <v>2665</v>
      </c>
      <c r="O6" t="s">
        <v>2670</v>
      </c>
      <c r="P6" t="s">
        <v>2671</v>
      </c>
      <c r="Q6" t="s">
        <v>2672</v>
      </c>
      <c r="R6" t="s">
        <v>2665</v>
      </c>
      <c r="S6" t="s">
        <v>2671</v>
      </c>
      <c r="T6" t="s">
        <v>2673</v>
      </c>
      <c r="U6" t="s">
        <v>2665</v>
      </c>
      <c r="V6" t="s">
        <v>2671</v>
      </c>
      <c r="W6" t="s">
        <v>2674</v>
      </c>
      <c r="X6" t="s">
        <v>2665</v>
      </c>
      <c r="Y6" t="s">
        <v>2054</v>
      </c>
      <c r="Z6" t="s">
        <v>1063</v>
      </c>
      <c r="AA6" t="s">
        <v>2665</v>
      </c>
      <c r="AB6" t="s">
        <v>2665</v>
      </c>
      <c r="AC6" t="s">
        <v>2665</v>
      </c>
      <c r="AD6" t="s">
        <v>2054</v>
      </c>
      <c r="AE6" t="s">
        <v>2054</v>
      </c>
    </row>
    <row r="7" spans="1:31" x14ac:dyDescent="0.25">
      <c r="A7" t="s">
        <v>1069</v>
      </c>
      <c r="B7" t="s">
        <v>1068</v>
      </c>
      <c r="C7" t="s">
        <v>2677</v>
      </c>
      <c r="D7" t="s">
        <v>1068</v>
      </c>
      <c r="E7" t="s">
        <v>2666</v>
      </c>
      <c r="F7" t="s">
        <v>2667</v>
      </c>
      <c r="G7" t="s">
        <v>2666</v>
      </c>
      <c r="H7" t="s">
        <v>2054</v>
      </c>
      <c r="I7" t="s">
        <v>2668</v>
      </c>
      <c r="J7" t="s">
        <v>2054</v>
      </c>
      <c r="K7" t="s">
        <v>2665</v>
      </c>
      <c r="L7" t="s">
        <v>1063</v>
      </c>
      <c r="M7" t="s">
        <v>2669</v>
      </c>
      <c r="N7" t="s">
        <v>2665</v>
      </c>
      <c r="O7" t="s">
        <v>2670</v>
      </c>
      <c r="P7" t="s">
        <v>2671</v>
      </c>
      <c r="Q7" t="s">
        <v>2672</v>
      </c>
      <c r="R7" t="s">
        <v>2665</v>
      </c>
      <c r="S7" t="s">
        <v>2671</v>
      </c>
      <c r="T7" t="s">
        <v>2673</v>
      </c>
      <c r="U7" t="s">
        <v>2665</v>
      </c>
      <c r="V7" t="s">
        <v>2671</v>
      </c>
      <c r="W7" t="s">
        <v>2674</v>
      </c>
      <c r="X7" t="s">
        <v>2665</v>
      </c>
      <c r="Y7" t="s">
        <v>2054</v>
      </c>
      <c r="Z7" t="s">
        <v>1063</v>
      </c>
      <c r="AA7" t="s">
        <v>2665</v>
      </c>
      <c r="AB7" t="s">
        <v>2665</v>
      </c>
      <c r="AC7" t="s">
        <v>2665</v>
      </c>
      <c r="AD7" t="s">
        <v>2054</v>
      </c>
      <c r="AE7" t="s">
        <v>2054</v>
      </c>
    </row>
    <row r="8" spans="1:31" x14ac:dyDescent="0.25">
      <c r="A8" t="s">
        <v>1071</v>
      </c>
      <c r="B8" t="s">
        <v>1070</v>
      </c>
      <c r="C8" t="s">
        <v>2678</v>
      </c>
      <c r="D8" t="s">
        <v>1070</v>
      </c>
      <c r="E8" t="s">
        <v>2666</v>
      </c>
      <c r="F8" t="s">
        <v>2667</v>
      </c>
      <c r="G8" t="s">
        <v>2666</v>
      </c>
      <c r="H8" t="s">
        <v>2054</v>
      </c>
      <c r="I8" t="s">
        <v>2668</v>
      </c>
      <c r="J8" t="s">
        <v>2054</v>
      </c>
      <c r="K8" t="s">
        <v>2665</v>
      </c>
      <c r="L8" t="s">
        <v>1063</v>
      </c>
      <c r="M8" t="s">
        <v>2669</v>
      </c>
      <c r="N8" t="s">
        <v>2665</v>
      </c>
      <c r="O8" t="s">
        <v>2670</v>
      </c>
      <c r="P8" t="s">
        <v>2671</v>
      </c>
      <c r="Q8" t="s">
        <v>2672</v>
      </c>
      <c r="R8" t="s">
        <v>2665</v>
      </c>
      <c r="S8" t="s">
        <v>2671</v>
      </c>
      <c r="T8" t="s">
        <v>2673</v>
      </c>
      <c r="U8" t="s">
        <v>2665</v>
      </c>
      <c r="V8" t="s">
        <v>2671</v>
      </c>
      <c r="W8" t="s">
        <v>2674</v>
      </c>
      <c r="X8" t="s">
        <v>2665</v>
      </c>
      <c r="Y8" t="s">
        <v>2054</v>
      </c>
      <c r="Z8" t="s">
        <v>1063</v>
      </c>
      <c r="AA8" t="s">
        <v>2665</v>
      </c>
      <c r="AB8" t="s">
        <v>2665</v>
      </c>
      <c r="AC8" t="s">
        <v>2665</v>
      </c>
      <c r="AD8" t="s">
        <v>2054</v>
      </c>
      <c r="AE8" t="s">
        <v>2054</v>
      </c>
    </row>
    <row r="9" spans="1:31" x14ac:dyDescent="0.25">
      <c r="A9" t="s">
        <v>1073</v>
      </c>
      <c r="B9" t="s">
        <v>1072</v>
      </c>
      <c r="C9" t="s">
        <v>2679</v>
      </c>
      <c r="D9" t="s">
        <v>1072</v>
      </c>
      <c r="E9" t="s">
        <v>2666</v>
      </c>
      <c r="F9" t="s">
        <v>2667</v>
      </c>
      <c r="G9" t="s">
        <v>2666</v>
      </c>
      <c r="H9" t="s">
        <v>2054</v>
      </c>
      <c r="I9" t="s">
        <v>2668</v>
      </c>
      <c r="J9" t="s">
        <v>2054</v>
      </c>
      <c r="K9" t="s">
        <v>2665</v>
      </c>
      <c r="L9" t="s">
        <v>1063</v>
      </c>
      <c r="M9" t="s">
        <v>2669</v>
      </c>
      <c r="N9" t="s">
        <v>2665</v>
      </c>
      <c r="O9" t="s">
        <v>2670</v>
      </c>
      <c r="P9" t="s">
        <v>2671</v>
      </c>
      <c r="Q9" t="s">
        <v>2672</v>
      </c>
      <c r="R9" t="s">
        <v>2665</v>
      </c>
      <c r="S9" t="s">
        <v>2671</v>
      </c>
      <c r="T9" t="s">
        <v>2673</v>
      </c>
      <c r="U9" t="s">
        <v>2665</v>
      </c>
      <c r="V9" t="s">
        <v>2671</v>
      </c>
      <c r="W9" t="s">
        <v>2674</v>
      </c>
      <c r="X9" t="s">
        <v>2665</v>
      </c>
      <c r="Y9" t="s">
        <v>2054</v>
      </c>
      <c r="Z9" t="s">
        <v>1063</v>
      </c>
      <c r="AA9" t="s">
        <v>2665</v>
      </c>
      <c r="AB9" t="s">
        <v>2665</v>
      </c>
      <c r="AC9" t="s">
        <v>2665</v>
      </c>
      <c r="AD9" t="s">
        <v>2054</v>
      </c>
      <c r="AE9" t="s">
        <v>2054</v>
      </c>
    </row>
    <row r="10" spans="1:31" x14ac:dyDescent="0.25">
      <c r="A10" t="s">
        <v>1075</v>
      </c>
      <c r="B10" t="s">
        <v>1074</v>
      </c>
      <c r="C10" t="s">
        <v>2680</v>
      </c>
      <c r="D10" t="s">
        <v>1074</v>
      </c>
      <c r="E10" t="s">
        <v>2666</v>
      </c>
      <c r="F10" t="s">
        <v>2667</v>
      </c>
      <c r="G10" t="s">
        <v>2666</v>
      </c>
      <c r="H10" t="s">
        <v>2054</v>
      </c>
      <c r="I10" t="s">
        <v>2668</v>
      </c>
      <c r="J10" t="s">
        <v>2054</v>
      </c>
      <c r="K10" t="s">
        <v>2665</v>
      </c>
      <c r="L10" t="s">
        <v>1063</v>
      </c>
      <c r="M10" t="s">
        <v>2669</v>
      </c>
      <c r="N10" t="s">
        <v>2665</v>
      </c>
      <c r="O10" t="s">
        <v>2670</v>
      </c>
      <c r="P10" t="s">
        <v>2671</v>
      </c>
      <c r="Q10" t="s">
        <v>2672</v>
      </c>
      <c r="R10" t="s">
        <v>2665</v>
      </c>
      <c r="S10" t="s">
        <v>2671</v>
      </c>
      <c r="T10" t="s">
        <v>2673</v>
      </c>
      <c r="U10" t="s">
        <v>2665</v>
      </c>
      <c r="V10" t="s">
        <v>2671</v>
      </c>
      <c r="W10" t="s">
        <v>2674</v>
      </c>
      <c r="X10" t="s">
        <v>2665</v>
      </c>
      <c r="Y10" t="s">
        <v>2054</v>
      </c>
      <c r="Z10" t="s">
        <v>1063</v>
      </c>
      <c r="AA10" t="s">
        <v>2665</v>
      </c>
      <c r="AB10" t="s">
        <v>2665</v>
      </c>
      <c r="AC10" t="s">
        <v>2665</v>
      </c>
      <c r="AD10" t="s">
        <v>2054</v>
      </c>
      <c r="AE10" t="s">
        <v>2054</v>
      </c>
    </row>
    <row r="11" spans="1:31" x14ac:dyDescent="0.25">
      <c r="A11" t="s">
        <v>1077</v>
      </c>
      <c r="B11" t="s">
        <v>1076</v>
      </c>
      <c r="C11" t="s">
        <v>2681</v>
      </c>
      <c r="D11" t="s">
        <v>1076</v>
      </c>
      <c r="E11" t="s">
        <v>2666</v>
      </c>
      <c r="F11" t="s">
        <v>2667</v>
      </c>
      <c r="G11" t="s">
        <v>2666</v>
      </c>
      <c r="H11" t="s">
        <v>2054</v>
      </c>
      <c r="I11" t="s">
        <v>2668</v>
      </c>
      <c r="J11" t="s">
        <v>2054</v>
      </c>
      <c r="K11" t="s">
        <v>2665</v>
      </c>
      <c r="L11" t="s">
        <v>1063</v>
      </c>
      <c r="M11" t="s">
        <v>2669</v>
      </c>
      <c r="N11" t="s">
        <v>2665</v>
      </c>
      <c r="O11" t="s">
        <v>2670</v>
      </c>
      <c r="P11" t="s">
        <v>2671</v>
      </c>
      <c r="Q11" t="s">
        <v>2672</v>
      </c>
      <c r="R11" t="s">
        <v>2665</v>
      </c>
      <c r="S11" t="s">
        <v>2671</v>
      </c>
      <c r="T11" t="s">
        <v>2673</v>
      </c>
      <c r="U11" t="s">
        <v>2665</v>
      </c>
      <c r="V11" t="s">
        <v>2671</v>
      </c>
      <c r="W11" t="s">
        <v>2674</v>
      </c>
      <c r="X11" t="s">
        <v>2665</v>
      </c>
      <c r="Y11" t="s">
        <v>2054</v>
      </c>
      <c r="Z11" t="s">
        <v>1063</v>
      </c>
      <c r="AA11" t="s">
        <v>2665</v>
      </c>
      <c r="AB11" t="s">
        <v>2665</v>
      </c>
      <c r="AC11" t="s">
        <v>2665</v>
      </c>
      <c r="AD11" t="s">
        <v>2054</v>
      </c>
      <c r="AE11" t="s">
        <v>2054</v>
      </c>
    </row>
    <row r="12" spans="1:31" x14ac:dyDescent="0.25">
      <c r="A12" t="s">
        <v>1079</v>
      </c>
      <c r="B12" t="s">
        <v>1078</v>
      </c>
      <c r="C12" t="s">
        <v>2682</v>
      </c>
      <c r="D12" t="s">
        <v>1078</v>
      </c>
      <c r="E12" t="s">
        <v>2666</v>
      </c>
      <c r="F12" t="s">
        <v>2667</v>
      </c>
      <c r="G12" t="s">
        <v>2666</v>
      </c>
      <c r="H12" t="s">
        <v>2054</v>
      </c>
      <c r="I12" t="s">
        <v>2668</v>
      </c>
      <c r="J12" t="s">
        <v>2054</v>
      </c>
      <c r="K12" t="s">
        <v>2665</v>
      </c>
      <c r="L12" t="s">
        <v>1063</v>
      </c>
      <c r="M12" t="s">
        <v>2669</v>
      </c>
      <c r="N12" t="s">
        <v>2665</v>
      </c>
      <c r="O12" t="s">
        <v>2670</v>
      </c>
      <c r="P12" t="s">
        <v>2671</v>
      </c>
      <c r="Q12" t="s">
        <v>2672</v>
      </c>
      <c r="R12" t="s">
        <v>2665</v>
      </c>
      <c r="S12" t="s">
        <v>2671</v>
      </c>
      <c r="T12" t="s">
        <v>2673</v>
      </c>
      <c r="U12" t="s">
        <v>2665</v>
      </c>
      <c r="V12" t="s">
        <v>2671</v>
      </c>
      <c r="W12" t="s">
        <v>2674</v>
      </c>
      <c r="X12" t="s">
        <v>2665</v>
      </c>
      <c r="Y12" t="s">
        <v>2054</v>
      </c>
      <c r="Z12" t="s">
        <v>1063</v>
      </c>
      <c r="AA12" t="s">
        <v>2665</v>
      </c>
      <c r="AB12" t="s">
        <v>2665</v>
      </c>
      <c r="AC12" t="s">
        <v>2665</v>
      </c>
      <c r="AD12" t="s">
        <v>2054</v>
      </c>
      <c r="AE12" t="s">
        <v>2054</v>
      </c>
    </row>
    <row r="13" spans="1:31" x14ac:dyDescent="0.25">
      <c r="A13" t="s">
        <v>1081</v>
      </c>
      <c r="B13" t="s">
        <v>1080</v>
      </c>
      <c r="C13" t="s">
        <v>2683</v>
      </c>
      <c r="D13" t="s">
        <v>1080</v>
      </c>
      <c r="E13" t="s">
        <v>2666</v>
      </c>
      <c r="F13" t="s">
        <v>2667</v>
      </c>
      <c r="G13" t="s">
        <v>2666</v>
      </c>
      <c r="H13" t="s">
        <v>2054</v>
      </c>
      <c r="I13" t="s">
        <v>2668</v>
      </c>
      <c r="J13" t="s">
        <v>2054</v>
      </c>
      <c r="K13" t="s">
        <v>2665</v>
      </c>
      <c r="L13" t="s">
        <v>1063</v>
      </c>
      <c r="M13" t="s">
        <v>2669</v>
      </c>
      <c r="N13" t="s">
        <v>2665</v>
      </c>
      <c r="O13" t="s">
        <v>2670</v>
      </c>
      <c r="P13" t="s">
        <v>2671</v>
      </c>
      <c r="Q13" t="s">
        <v>2672</v>
      </c>
      <c r="R13" t="s">
        <v>2665</v>
      </c>
      <c r="S13" t="s">
        <v>2671</v>
      </c>
      <c r="T13" t="s">
        <v>2673</v>
      </c>
      <c r="U13" t="s">
        <v>2665</v>
      </c>
      <c r="V13" t="s">
        <v>2671</v>
      </c>
      <c r="W13" t="s">
        <v>2674</v>
      </c>
      <c r="X13" t="s">
        <v>2665</v>
      </c>
      <c r="Y13" t="s">
        <v>2054</v>
      </c>
      <c r="Z13" t="s">
        <v>1063</v>
      </c>
      <c r="AA13" t="s">
        <v>2665</v>
      </c>
      <c r="AB13" t="s">
        <v>2665</v>
      </c>
      <c r="AC13" t="s">
        <v>2665</v>
      </c>
      <c r="AD13" t="s">
        <v>2054</v>
      </c>
      <c r="AE13" t="s">
        <v>2054</v>
      </c>
    </row>
    <row r="14" spans="1:31" x14ac:dyDescent="0.25">
      <c r="A14" t="s">
        <v>1083</v>
      </c>
      <c r="B14" t="s">
        <v>1082</v>
      </c>
      <c r="C14" t="s">
        <v>2684</v>
      </c>
      <c r="D14" t="s">
        <v>1082</v>
      </c>
      <c r="E14" t="s">
        <v>2666</v>
      </c>
      <c r="F14" t="s">
        <v>2667</v>
      </c>
      <c r="G14" t="s">
        <v>2666</v>
      </c>
      <c r="H14" t="s">
        <v>2054</v>
      </c>
      <c r="I14" t="s">
        <v>2668</v>
      </c>
      <c r="J14" t="s">
        <v>2054</v>
      </c>
      <c r="K14" t="s">
        <v>2665</v>
      </c>
      <c r="L14" t="s">
        <v>1063</v>
      </c>
      <c r="M14" t="s">
        <v>2669</v>
      </c>
      <c r="N14" t="s">
        <v>2665</v>
      </c>
      <c r="O14" t="s">
        <v>2670</v>
      </c>
      <c r="P14" t="s">
        <v>2671</v>
      </c>
      <c r="Q14" t="s">
        <v>2672</v>
      </c>
      <c r="R14" t="s">
        <v>2665</v>
      </c>
      <c r="S14" t="s">
        <v>2671</v>
      </c>
      <c r="T14" t="s">
        <v>2673</v>
      </c>
      <c r="U14" t="s">
        <v>2665</v>
      </c>
      <c r="V14" t="s">
        <v>2671</v>
      </c>
      <c r="W14" t="s">
        <v>2674</v>
      </c>
      <c r="X14" t="s">
        <v>2665</v>
      </c>
      <c r="Y14" t="s">
        <v>2054</v>
      </c>
      <c r="Z14" t="s">
        <v>1063</v>
      </c>
      <c r="AA14" t="s">
        <v>2665</v>
      </c>
      <c r="AB14" t="s">
        <v>2665</v>
      </c>
      <c r="AC14" t="s">
        <v>2665</v>
      </c>
      <c r="AD14" t="s">
        <v>2054</v>
      </c>
      <c r="AE14" t="s">
        <v>2054</v>
      </c>
    </row>
    <row r="15" spans="1:31" x14ac:dyDescent="0.25">
      <c r="A15" t="s">
        <v>1085</v>
      </c>
      <c r="B15" t="s">
        <v>1084</v>
      </c>
      <c r="C15" t="s">
        <v>2685</v>
      </c>
      <c r="D15" t="s">
        <v>1084</v>
      </c>
      <c r="E15" t="s">
        <v>2666</v>
      </c>
      <c r="F15" t="s">
        <v>2667</v>
      </c>
      <c r="G15" t="s">
        <v>2666</v>
      </c>
      <c r="H15" t="s">
        <v>2054</v>
      </c>
      <c r="I15" t="s">
        <v>2668</v>
      </c>
      <c r="J15" t="s">
        <v>2054</v>
      </c>
      <c r="K15" t="s">
        <v>2665</v>
      </c>
      <c r="L15" t="s">
        <v>1063</v>
      </c>
      <c r="M15" t="s">
        <v>2669</v>
      </c>
      <c r="N15" t="s">
        <v>2665</v>
      </c>
      <c r="O15" t="s">
        <v>2670</v>
      </c>
      <c r="P15" t="s">
        <v>2671</v>
      </c>
      <c r="Q15" t="s">
        <v>2672</v>
      </c>
      <c r="R15" t="s">
        <v>2665</v>
      </c>
      <c r="S15" t="s">
        <v>2671</v>
      </c>
      <c r="T15" t="s">
        <v>2673</v>
      </c>
      <c r="U15" t="s">
        <v>2665</v>
      </c>
      <c r="V15" t="s">
        <v>2671</v>
      </c>
      <c r="W15" t="s">
        <v>2674</v>
      </c>
      <c r="X15" t="s">
        <v>2665</v>
      </c>
      <c r="Y15" t="s">
        <v>2054</v>
      </c>
      <c r="Z15" t="s">
        <v>1063</v>
      </c>
      <c r="AA15" t="s">
        <v>2665</v>
      </c>
      <c r="AB15" t="s">
        <v>2665</v>
      </c>
      <c r="AC15" t="s">
        <v>2665</v>
      </c>
      <c r="AD15" t="s">
        <v>2054</v>
      </c>
      <c r="AE15" t="s">
        <v>2054</v>
      </c>
    </row>
    <row r="16" spans="1:31" x14ac:dyDescent="0.25">
      <c r="A16" t="s">
        <v>1087</v>
      </c>
      <c r="B16" t="s">
        <v>1086</v>
      </c>
      <c r="C16" t="s">
        <v>2686</v>
      </c>
      <c r="D16" t="s">
        <v>1086</v>
      </c>
      <c r="E16" t="s">
        <v>2666</v>
      </c>
      <c r="F16" t="s">
        <v>2667</v>
      </c>
      <c r="G16" t="s">
        <v>2666</v>
      </c>
      <c r="H16" t="s">
        <v>2054</v>
      </c>
      <c r="I16" t="s">
        <v>2668</v>
      </c>
      <c r="J16" t="s">
        <v>2054</v>
      </c>
      <c r="K16" t="s">
        <v>2665</v>
      </c>
      <c r="L16" t="s">
        <v>1063</v>
      </c>
      <c r="M16" t="s">
        <v>2669</v>
      </c>
      <c r="N16" t="s">
        <v>2665</v>
      </c>
      <c r="O16" t="s">
        <v>2670</v>
      </c>
      <c r="P16" t="s">
        <v>2671</v>
      </c>
      <c r="Q16" t="s">
        <v>2672</v>
      </c>
      <c r="R16" t="s">
        <v>2665</v>
      </c>
      <c r="S16" t="s">
        <v>2671</v>
      </c>
      <c r="T16" t="s">
        <v>2673</v>
      </c>
      <c r="U16" t="s">
        <v>2665</v>
      </c>
      <c r="V16" t="s">
        <v>2671</v>
      </c>
      <c r="W16" t="s">
        <v>2674</v>
      </c>
      <c r="X16" t="s">
        <v>2665</v>
      </c>
      <c r="Y16" t="s">
        <v>2054</v>
      </c>
      <c r="Z16" t="s">
        <v>1063</v>
      </c>
      <c r="AA16" t="s">
        <v>2665</v>
      </c>
      <c r="AB16" t="s">
        <v>2665</v>
      </c>
      <c r="AC16" t="s">
        <v>2665</v>
      </c>
      <c r="AD16" t="s">
        <v>2054</v>
      </c>
      <c r="AE16" t="s">
        <v>2054</v>
      </c>
    </row>
    <row r="17" spans="1:31" x14ac:dyDescent="0.25">
      <c r="A17" t="s">
        <v>1089</v>
      </c>
      <c r="B17" t="s">
        <v>1088</v>
      </c>
      <c r="C17" t="s">
        <v>2687</v>
      </c>
      <c r="D17" t="s">
        <v>1088</v>
      </c>
      <c r="E17" t="s">
        <v>2666</v>
      </c>
      <c r="F17" t="s">
        <v>2667</v>
      </c>
      <c r="G17" t="s">
        <v>2666</v>
      </c>
      <c r="H17" t="s">
        <v>2054</v>
      </c>
      <c r="I17" t="s">
        <v>2668</v>
      </c>
      <c r="J17" t="s">
        <v>2054</v>
      </c>
      <c r="K17" t="s">
        <v>2665</v>
      </c>
      <c r="L17" t="s">
        <v>1063</v>
      </c>
      <c r="M17" t="s">
        <v>2669</v>
      </c>
      <c r="N17" t="s">
        <v>2665</v>
      </c>
      <c r="O17" t="s">
        <v>2670</v>
      </c>
      <c r="P17" t="s">
        <v>2671</v>
      </c>
      <c r="Q17" t="s">
        <v>2672</v>
      </c>
      <c r="R17" t="s">
        <v>2665</v>
      </c>
      <c r="S17" t="s">
        <v>2671</v>
      </c>
      <c r="T17" t="s">
        <v>2673</v>
      </c>
      <c r="U17" t="s">
        <v>2665</v>
      </c>
      <c r="V17" t="s">
        <v>2671</v>
      </c>
      <c r="W17" t="s">
        <v>2674</v>
      </c>
      <c r="X17" t="s">
        <v>2665</v>
      </c>
      <c r="Y17" t="s">
        <v>2054</v>
      </c>
      <c r="Z17" t="s">
        <v>1063</v>
      </c>
      <c r="AA17" t="s">
        <v>2665</v>
      </c>
      <c r="AB17" t="s">
        <v>2665</v>
      </c>
      <c r="AC17" t="s">
        <v>2665</v>
      </c>
      <c r="AD17" t="s">
        <v>2054</v>
      </c>
      <c r="AE17" t="s">
        <v>2054</v>
      </c>
    </row>
    <row r="18" spans="1:31" x14ac:dyDescent="0.25">
      <c r="A18" t="s">
        <v>1091</v>
      </c>
      <c r="B18" t="s">
        <v>1090</v>
      </c>
      <c r="C18" t="s">
        <v>2688</v>
      </c>
      <c r="D18" t="s">
        <v>1090</v>
      </c>
      <c r="E18" t="s">
        <v>2666</v>
      </c>
      <c r="F18" t="s">
        <v>2667</v>
      </c>
      <c r="G18" t="s">
        <v>2666</v>
      </c>
      <c r="H18" t="s">
        <v>2054</v>
      </c>
      <c r="I18" t="s">
        <v>2668</v>
      </c>
      <c r="J18" t="s">
        <v>2054</v>
      </c>
      <c r="K18" t="s">
        <v>2665</v>
      </c>
      <c r="L18" t="s">
        <v>1063</v>
      </c>
      <c r="M18" t="s">
        <v>2669</v>
      </c>
      <c r="N18" t="s">
        <v>2665</v>
      </c>
      <c r="O18" t="s">
        <v>2670</v>
      </c>
      <c r="P18" t="s">
        <v>2671</v>
      </c>
      <c r="Q18" t="s">
        <v>2672</v>
      </c>
      <c r="R18" t="s">
        <v>2665</v>
      </c>
      <c r="S18" t="s">
        <v>2671</v>
      </c>
      <c r="T18" t="s">
        <v>2673</v>
      </c>
      <c r="U18" t="s">
        <v>2665</v>
      </c>
      <c r="V18" t="s">
        <v>2671</v>
      </c>
      <c r="W18" t="s">
        <v>2674</v>
      </c>
      <c r="X18" t="s">
        <v>2665</v>
      </c>
      <c r="Y18" t="s">
        <v>2054</v>
      </c>
      <c r="Z18" t="s">
        <v>1063</v>
      </c>
      <c r="AA18" t="s">
        <v>2665</v>
      </c>
      <c r="AB18" t="s">
        <v>2665</v>
      </c>
      <c r="AC18" t="s">
        <v>2665</v>
      </c>
      <c r="AD18" t="s">
        <v>2054</v>
      </c>
      <c r="AE18" t="s">
        <v>2054</v>
      </c>
    </row>
    <row r="19" spans="1:31" x14ac:dyDescent="0.25">
      <c r="A19" t="s">
        <v>1093</v>
      </c>
      <c r="B19" t="s">
        <v>1092</v>
      </c>
      <c r="C19" t="s">
        <v>2689</v>
      </c>
      <c r="D19" t="s">
        <v>1092</v>
      </c>
      <c r="E19" t="s">
        <v>2666</v>
      </c>
      <c r="F19" t="s">
        <v>2667</v>
      </c>
      <c r="G19" t="s">
        <v>2666</v>
      </c>
      <c r="H19" t="s">
        <v>2054</v>
      </c>
      <c r="I19" t="s">
        <v>2668</v>
      </c>
      <c r="J19" t="s">
        <v>2054</v>
      </c>
      <c r="K19" t="s">
        <v>2665</v>
      </c>
      <c r="L19" t="s">
        <v>1063</v>
      </c>
      <c r="M19" t="s">
        <v>2669</v>
      </c>
      <c r="N19" t="s">
        <v>2665</v>
      </c>
      <c r="O19" t="s">
        <v>2670</v>
      </c>
      <c r="P19" t="s">
        <v>2671</v>
      </c>
      <c r="Q19" t="s">
        <v>2672</v>
      </c>
      <c r="R19" t="s">
        <v>2665</v>
      </c>
      <c r="S19" t="s">
        <v>2671</v>
      </c>
      <c r="T19" t="s">
        <v>2673</v>
      </c>
      <c r="U19" t="s">
        <v>2665</v>
      </c>
      <c r="V19" t="s">
        <v>2671</v>
      </c>
      <c r="W19" t="s">
        <v>2674</v>
      </c>
      <c r="X19" t="s">
        <v>2665</v>
      </c>
      <c r="Y19" t="s">
        <v>2054</v>
      </c>
      <c r="Z19" t="s">
        <v>1063</v>
      </c>
      <c r="AA19" t="s">
        <v>2665</v>
      </c>
      <c r="AB19" t="s">
        <v>2665</v>
      </c>
      <c r="AC19" t="s">
        <v>2665</v>
      </c>
      <c r="AD19" t="s">
        <v>2054</v>
      </c>
      <c r="AE19" t="s">
        <v>2054</v>
      </c>
    </row>
    <row r="20" spans="1:31" x14ac:dyDescent="0.25">
      <c r="A20" t="s">
        <v>1095</v>
      </c>
      <c r="B20" t="s">
        <v>1094</v>
      </c>
      <c r="C20" t="s">
        <v>2690</v>
      </c>
      <c r="D20" t="s">
        <v>1094</v>
      </c>
      <c r="E20" t="s">
        <v>2666</v>
      </c>
      <c r="F20" t="s">
        <v>2667</v>
      </c>
      <c r="G20" t="s">
        <v>2666</v>
      </c>
      <c r="H20" t="s">
        <v>2054</v>
      </c>
      <c r="I20" t="s">
        <v>2668</v>
      </c>
      <c r="J20" t="s">
        <v>2054</v>
      </c>
      <c r="K20" t="s">
        <v>2665</v>
      </c>
      <c r="L20" t="s">
        <v>1063</v>
      </c>
      <c r="M20" t="s">
        <v>2669</v>
      </c>
      <c r="N20" t="s">
        <v>2665</v>
      </c>
      <c r="O20" t="s">
        <v>2670</v>
      </c>
      <c r="P20" t="s">
        <v>2671</v>
      </c>
      <c r="Q20" t="s">
        <v>2672</v>
      </c>
      <c r="R20" t="s">
        <v>2665</v>
      </c>
      <c r="S20" t="s">
        <v>2671</v>
      </c>
      <c r="T20" t="s">
        <v>2673</v>
      </c>
      <c r="U20" t="s">
        <v>2665</v>
      </c>
      <c r="V20" t="s">
        <v>2671</v>
      </c>
      <c r="W20" t="s">
        <v>2674</v>
      </c>
      <c r="X20" t="s">
        <v>2665</v>
      </c>
      <c r="Y20" t="s">
        <v>2054</v>
      </c>
      <c r="Z20" t="s">
        <v>1063</v>
      </c>
      <c r="AA20" t="s">
        <v>2665</v>
      </c>
      <c r="AB20" t="s">
        <v>2665</v>
      </c>
      <c r="AC20" t="s">
        <v>2665</v>
      </c>
      <c r="AD20" t="s">
        <v>2054</v>
      </c>
      <c r="AE20" t="s">
        <v>2054</v>
      </c>
    </row>
    <row r="21" spans="1:31" x14ac:dyDescent="0.25">
      <c r="A21" t="s">
        <v>1097</v>
      </c>
      <c r="B21" t="s">
        <v>1096</v>
      </c>
      <c r="C21" t="s">
        <v>2691</v>
      </c>
      <c r="D21" t="s">
        <v>1096</v>
      </c>
      <c r="E21" t="s">
        <v>2666</v>
      </c>
      <c r="F21" t="s">
        <v>2667</v>
      </c>
      <c r="G21" t="s">
        <v>2666</v>
      </c>
      <c r="H21" t="s">
        <v>2054</v>
      </c>
      <c r="I21" t="s">
        <v>2668</v>
      </c>
      <c r="J21" t="s">
        <v>2054</v>
      </c>
      <c r="K21" t="s">
        <v>2665</v>
      </c>
      <c r="L21" t="s">
        <v>1063</v>
      </c>
      <c r="M21" t="s">
        <v>2669</v>
      </c>
      <c r="N21" t="s">
        <v>2665</v>
      </c>
      <c r="O21" t="s">
        <v>2670</v>
      </c>
      <c r="P21" t="s">
        <v>2671</v>
      </c>
      <c r="Q21" t="s">
        <v>2672</v>
      </c>
      <c r="R21" t="s">
        <v>2665</v>
      </c>
      <c r="S21" t="s">
        <v>2671</v>
      </c>
      <c r="T21" t="s">
        <v>2673</v>
      </c>
      <c r="U21" t="s">
        <v>2665</v>
      </c>
      <c r="V21" t="s">
        <v>2671</v>
      </c>
      <c r="W21" t="s">
        <v>2674</v>
      </c>
      <c r="X21" t="s">
        <v>2665</v>
      </c>
      <c r="Y21" t="s">
        <v>2054</v>
      </c>
      <c r="Z21" t="s">
        <v>1063</v>
      </c>
      <c r="AA21" t="s">
        <v>2665</v>
      </c>
      <c r="AB21" t="s">
        <v>2665</v>
      </c>
      <c r="AC21" t="s">
        <v>2665</v>
      </c>
      <c r="AD21" t="s">
        <v>2054</v>
      </c>
      <c r="AE21" t="s">
        <v>2054</v>
      </c>
    </row>
    <row r="22" spans="1:31" x14ac:dyDescent="0.25">
      <c r="A22" t="s">
        <v>1099</v>
      </c>
      <c r="B22" t="s">
        <v>1098</v>
      </c>
      <c r="C22" t="s">
        <v>2692</v>
      </c>
      <c r="D22" t="s">
        <v>1098</v>
      </c>
      <c r="E22" t="s">
        <v>2666</v>
      </c>
      <c r="F22" t="s">
        <v>2667</v>
      </c>
      <c r="G22" t="s">
        <v>2666</v>
      </c>
      <c r="H22" t="s">
        <v>2054</v>
      </c>
      <c r="I22" t="s">
        <v>2668</v>
      </c>
      <c r="J22" t="s">
        <v>2054</v>
      </c>
      <c r="K22" t="s">
        <v>2665</v>
      </c>
      <c r="L22" t="s">
        <v>1063</v>
      </c>
      <c r="M22" t="s">
        <v>2669</v>
      </c>
      <c r="N22" t="s">
        <v>2665</v>
      </c>
      <c r="O22" t="s">
        <v>2670</v>
      </c>
      <c r="P22" t="s">
        <v>2671</v>
      </c>
      <c r="Q22" t="s">
        <v>2672</v>
      </c>
      <c r="R22" t="s">
        <v>2665</v>
      </c>
      <c r="S22" t="s">
        <v>2671</v>
      </c>
      <c r="T22" t="s">
        <v>2673</v>
      </c>
      <c r="U22" t="s">
        <v>2665</v>
      </c>
      <c r="V22" t="s">
        <v>2671</v>
      </c>
      <c r="W22" t="s">
        <v>2674</v>
      </c>
      <c r="X22" t="s">
        <v>2665</v>
      </c>
      <c r="Y22" t="s">
        <v>2054</v>
      </c>
      <c r="Z22" t="s">
        <v>1063</v>
      </c>
      <c r="AA22" t="s">
        <v>2665</v>
      </c>
      <c r="AB22" t="s">
        <v>2665</v>
      </c>
      <c r="AC22" t="s">
        <v>2665</v>
      </c>
      <c r="AD22" t="s">
        <v>2054</v>
      </c>
      <c r="AE22" t="s">
        <v>2054</v>
      </c>
    </row>
    <row r="23" spans="1:31" x14ac:dyDescent="0.25">
      <c r="A23" t="s">
        <v>1101</v>
      </c>
      <c r="B23" t="s">
        <v>1100</v>
      </c>
      <c r="C23" t="s">
        <v>2693</v>
      </c>
      <c r="D23" t="s">
        <v>1100</v>
      </c>
      <c r="E23" t="s">
        <v>2666</v>
      </c>
      <c r="F23" t="s">
        <v>2667</v>
      </c>
      <c r="G23" t="s">
        <v>2666</v>
      </c>
      <c r="H23" t="s">
        <v>2054</v>
      </c>
      <c r="I23" t="s">
        <v>2668</v>
      </c>
      <c r="J23" t="s">
        <v>2054</v>
      </c>
      <c r="K23" t="s">
        <v>2665</v>
      </c>
      <c r="L23" t="s">
        <v>1063</v>
      </c>
      <c r="M23" t="s">
        <v>2669</v>
      </c>
      <c r="N23" t="s">
        <v>2665</v>
      </c>
      <c r="O23" t="s">
        <v>2670</v>
      </c>
      <c r="P23" t="s">
        <v>2671</v>
      </c>
      <c r="Q23" t="s">
        <v>2672</v>
      </c>
      <c r="R23" t="s">
        <v>2665</v>
      </c>
      <c r="S23" t="s">
        <v>2671</v>
      </c>
      <c r="T23" t="s">
        <v>2673</v>
      </c>
      <c r="U23" t="s">
        <v>2665</v>
      </c>
      <c r="V23" t="s">
        <v>2671</v>
      </c>
      <c r="W23" t="s">
        <v>2674</v>
      </c>
      <c r="X23" t="s">
        <v>2665</v>
      </c>
      <c r="Y23" t="s">
        <v>2054</v>
      </c>
      <c r="Z23" t="s">
        <v>1063</v>
      </c>
      <c r="AA23" t="s">
        <v>2665</v>
      </c>
      <c r="AB23" t="s">
        <v>2665</v>
      </c>
      <c r="AC23" t="s">
        <v>2665</v>
      </c>
      <c r="AD23" t="s">
        <v>2054</v>
      </c>
      <c r="AE23" t="s">
        <v>2054</v>
      </c>
    </row>
    <row r="24" spans="1:31" x14ac:dyDescent="0.25">
      <c r="A24" t="s">
        <v>1</v>
      </c>
      <c r="B24" t="s">
        <v>0</v>
      </c>
      <c r="C24" t="s">
        <v>2694</v>
      </c>
      <c r="D24" t="s">
        <v>0</v>
      </c>
      <c r="E24" t="s">
        <v>2666</v>
      </c>
      <c r="F24" t="s">
        <v>2667</v>
      </c>
      <c r="G24" t="s">
        <v>2666</v>
      </c>
      <c r="H24" t="s">
        <v>2054</v>
      </c>
      <c r="I24" t="s">
        <v>2668</v>
      </c>
      <c r="J24" t="s">
        <v>2054</v>
      </c>
      <c r="K24" t="s">
        <v>2665</v>
      </c>
      <c r="L24" t="s">
        <v>1063</v>
      </c>
      <c r="M24" t="s">
        <v>2669</v>
      </c>
      <c r="N24" t="s">
        <v>2665</v>
      </c>
      <c r="O24" t="s">
        <v>2670</v>
      </c>
      <c r="P24" t="s">
        <v>2671</v>
      </c>
      <c r="Q24" t="s">
        <v>2672</v>
      </c>
      <c r="R24" t="s">
        <v>2665</v>
      </c>
      <c r="S24" t="s">
        <v>2671</v>
      </c>
      <c r="T24" t="s">
        <v>2673</v>
      </c>
      <c r="U24" t="s">
        <v>2665</v>
      </c>
      <c r="V24" t="s">
        <v>2671</v>
      </c>
      <c r="W24" t="s">
        <v>2674</v>
      </c>
      <c r="X24" t="s">
        <v>2665</v>
      </c>
      <c r="Y24" t="s">
        <v>2054</v>
      </c>
      <c r="Z24" t="s">
        <v>1063</v>
      </c>
      <c r="AA24" t="s">
        <v>2665</v>
      </c>
      <c r="AB24" t="s">
        <v>2665</v>
      </c>
      <c r="AC24" t="s">
        <v>2665</v>
      </c>
      <c r="AD24" t="s">
        <v>2054</v>
      </c>
      <c r="AE24" t="s">
        <v>2054</v>
      </c>
    </row>
    <row r="25" spans="1:31" x14ac:dyDescent="0.25">
      <c r="A25" t="s">
        <v>3</v>
      </c>
      <c r="B25" t="s">
        <v>2</v>
      </c>
      <c r="C25" t="s">
        <v>2695</v>
      </c>
      <c r="D25" t="s">
        <v>2</v>
      </c>
      <c r="E25" t="s">
        <v>2666</v>
      </c>
      <c r="F25" t="s">
        <v>2667</v>
      </c>
      <c r="G25" t="s">
        <v>2666</v>
      </c>
      <c r="H25" t="s">
        <v>2054</v>
      </c>
      <c r="I25" t="s">
        <v>2668</v>
      </c>
      <c r="J25" t="s">
        <v>2054</v>
      </c>
      <c r="K25" t="s">
        <v>2665</v>
      </c>
      <c r="L25" t="s">
        <v>1063</v>
      </c>
      <c r="M25" t="s">
        <v>2669</v>
      </c>
      <c r="N25" t="s">
        <v>2665</v>
      </c>
      <c r="O25" t="s">
        <v>2670</v>
      </c>
      <c r="P25" t="s">
        <v>2671</v>
      </c>
      <c r="Q25" t="s">
        <v>2672</v>
      </c>
      <c r="R25" t="s">
        <v>2665</v>
      </c>
      <c r="S25" t="s">
        <v>2671</v>
      </c>
      <c r="T25" t="s">
        <v>2673</v>
      </c>
      <c r="U25" t="s">
        <v>2665</v>
      </c>
      <c r="V25" t="s">
        <v>2671</v>
      </c>
      <c r="W25" t="s">
        <v>2674</v>
      </c>
      <c r="X25" t="s">
        <v>2665</v>
      </c>
      <c r="Y25" t="s">
        <v>2054</v>
      </c>
      <c r="Z25" t="s">
        <v>1063</v>
      </c>
      <c r="AA25" t="s">
        <v>2665</v>
      </c>
      <c r="AB25" t="s">
        <v>2665</v>
      </c>
      <c r="AC25" t="s">
        <v>2665</v>
      </c>
      <c r="AD25" t="s">
        <v>2054</v>
      </c>
      <c r="AE25" t="s">
        <v>2054</v>
      </c>
    </row>
    <row r="26" spans="1:31" x14ac:dyDescent="0.25">
      <c r="A26" t="s">
        <v>5</v>
      </c>
      <c r="B26" t="s">
        <v>4</v>
      </c>
      <c r="C26" t="s">
        <v>2696</v>
      </c>
      <c r="D26" t="s">
        <v>4</v>
      </c>
      <c r="E26" t="s">
        <v>2666</v>
      </c>
      <c r="F26" t="s">
        <v>2667</v>
      </c>
      <c r="G26" t="s">
        <v>2666</v>
      </c>
      <c r="H26" t="s">
        <v>2054</v>
      </c>
      <c r="I26" t="s">
        <v>2668</v>
      </c>
      <c r="J26" t="s">
        <v>2054</v>
      </c>
      <c r="K26" t="s">
        <v>2665</v>
      </c>
      <c r="L26" t="s">
        <v>1063</v>
      </c>
      <c r="M26" t="s">
        <v>2669</v>
      </c>
      <c r="N26" t="s">
        <v>2665</v>
      </c>
      <c r="O26" t="s">
        <v>2670</v>
      </c>
      <c r="P26" t="s">
        <v>2671</v>
      </c>
      <c r="Q26" t="s">
        <v>2672</v>
      </c>
      <c r="R26" t="s">
        <v>2665</v>
      </c>
      <c r="S26" t="s">
        <v>2671</v>
      </c>
      <c r="T26" t="s">
        <v>2673</v>
      </c>
      <c r="U26" t="s">
        <v>2665</v>
      </c>
      <c r="V26" t="s">
        <v>2671</v>
      </c>
      <c r="W26" t="s">
        <v>2674</v>
      </c>
      <c r="X26" t="s">
        <v>2665</v>
      </c>
      <c r="Y26" t="s">
        <v>2054</v>
      </c>
      <c r="Z26" t="s">
        <v>1063</v>
      </c>
      <c r="AA26" t="s">
        <v>2665</v>
      </c>
      <c r="AB26" t="s">
        <v>2665</v>
      </c>
      <c r="AC26" t="s">
        <v>2665</v>
      </c>
      <c r="AD26" t="s">
        <v>2054</v>
      </c>
      <c r="AE26" t="s">
        <v>2054</v>
      </c>
    </row>
    <row r="27" spans="1:31" x14ac:dyDescent="0.25">
      <c r="A27" t="s">
        <v>7</v>
      </c>
      <c r="B27" t="s">
        <v>6</v>
      </c>
      <c r="C27" t="s">
        <v>2697</v>
      </c>
      <c r="D27" t="s">
        <v>6</v>
      </c>
      <c r="E27" t="s">
        <v>2666</v>
      </c>
      <c r="F27" t="s">
        <v>2667</v>
      </c>
      <c r="G27" t="s">
        <v>2666</v>
      </c>
      <c r="H27" t="s">
        <v>2054</v>
      </c>
      <c r="I27" t="s">
        <v>2668</v>
      </c>
      <c r="J27" t="s">
        <v>2054</v>
      </c>
      <c r="K27" t="s">
        <v>2665</v>
      </c>
      <c r="L27" t="s">
        <v>1063</v>
      </c>
      <c r="M27" t="s">
        <v>2669</v>
      </c>
      <c r="N27" t="s">
        <v>2665</v>
      </c>
      <c r="O27" t="s">
        <v>2670</v>
      </c>
      <c r="P27" t="s">
        <v>2671</v>
      </c>
      <c r="Q27" t="s">
        <v>2672</v>
      </c>
      <c r="R27" t="s">
        <v>2665</v>
      </c>
      <c r="S27" t="s">
        <v>2671</v>
      </c>
      <c r="T27" t="s">
        <v>2673</v>
      </c>
      <c r="U27" t="s">
        <v>2665</v>
      </c>
      <c r="V27" t="s">
        <v>2671</v>
      </c>
      <c r="W27" t="s">
        <v>2674</v>
      </c>
      <c r="X27" t="s">
        <v>2665</v>
      </c>
      <c r="Y27" t="s">
        <v>2054</v>
      </c>
      <c r="Z27" t="s">
        <v>1063</v>
      </c>
      <c r="AA27" t="s">
        <v>2665</v>
      </c>
      <c r="AB27" t="s">
        <v>2665</v>
      </c>
      <c r="AC27" t="s">
        <v>2665</v>
      </c>
      <c r="AD27" t="s">
        <v>2054</v>
      </c>
      <c r="AE27" t="s">
        <v>2054</v>
      </c>
    </row>
    <row r="28" spans="1:31" x14ac:dyDescent="0.25">
      <c r="A28" t="s">
        <v>2698</v>
      </c>
      <c r="B28" t="s">
        <v>2699</v>
      </c>
      <c r="C28" t="s">
        <v>2700</v>
      </c>
      <c r="D28" t="s">
        <v>2699</v>
      </c>
      <c r="E28" t="s">
        <v>2666</v>
      </c>
      <c r="F28" t="s">
        <v>2667</v>
      </c>
      <c r="G28" t="s">
        <v>2666</v>
      </c>
      <c r="H28" t="s">
        <v>2054</v>
      </c>
      <c r="I28" t="s">
        <v>2668</v>
      </c>
      <c r="J28" t="s">
        <v>2054</v>
      </c>
      <c r="K28" t="s">
        <v>2665</v>
      </c>
      <c r="L28" t="s">
        <v>1063</v>
      </c>
      <c r="M28" t="s">
        <v>2669</v>
      </c>
      <c r="N28" t="s">
        <v>2665</v>
      </c>
      <c r="O28" t="s">
        <v>2670</v>
      </c>
      <c r="P28" t="s">
        <v>2671</v>
      </c>
      <c r="Q28" t="s">
        <v>2672</v>
      </c>
      <c r="R28" t="s">
        <v>2665</v>
      </c>
      <c r="S28" t="s">
        <v>2671</v>
      </c>
      <c r="T28" t="s">
        <v>2673</v>
      </c>
      <c r="U28" t="s">
        <v>2665</v>
      </c>
      <c r="V28" t="s">
        <v>2671</v>
      </c>
      <c r="W28" t="s">
        <v>2674</v>
      </c>
      <c r="X28" t="s">
        <v>2665</v>
      </c>
      <c r="Y28" t="s">
        <v>2054</v>
      </c>
      <c r="Z28" t="s">
        <v>1063</v>
      </c>
      <c r="AA28" t="s">
        <v>2665</v>
      </c>
      <c r="AB28" t="s">
        <v>2665</v>
      </c>
      <c r="AC28" t="s">
        <v>2665</v>
      </c>
      <c r="AD28" t="s">
        <v>2054</v>
      </c>
      <c r="AE28" t="s">
        <v>2054</v>
      </c>
    </row>
    <row r="29" spans="1:31" x14ac:dyDescent="0.25">
      <c r="A29" t="s">
        <v>2701</v>
      </c>
      <c r="B29" t="s">
        <v>2702</v>
      </c>
      <c r="C29" t="s">
        <v>2703</v>
      </c>
      <c r="D29" t="s">
        <v>2702</v>
      </c>
      <c r="E29" t="s">
        <v>2666</v>
      </c>
      <c r="F29" t="s">
        <v>2667</v>
      </c>
      <c r="G29" t="s">
        <v>2666</v>
      </c>
      <c r="H29" t="s">
        <v>2054</v>
      </c>
      <c r="I29" t="s">
        <v>2668</v>
      </c>
      <c r="J29" t="s">
        <v>2054</v>
      </c>
      <c r="K29" t="s">
        <v>2665</v>
      </c>
      <c r="L29" t="s">
        <v>1063</v>
      </c>
      <c r="M29" t="s">
        <v>2669</v>
      </c>
      <c r="N29" t="s">
        <v>2665</v>
      </c>
      <c r="O29" t="s">
        <v>2670</v>
      </c>
      <c r="P29" t="s">
        <v>2671</v>
      </c>
      <c r="Q29" t="s">
        <v>2672</v>
      </c>
      <c r="R29" t="s">
        <v>2665</v>
      </c>
      <c r="S29" t="s">
        <v>2671</v>
      </c>
      <c r="T29" t="s">
        <v>2673</v>
      </c>
      <c r="U29" t="s">
        <v>2665</v>
      </c>
      <c r="V29" t="s">
        <v>2671</v>
      </c>
      <c r="W29" t="s">
        <v>2674</v>
      </c>
      <c r="X29" t="s">
        <v>2665</v>
      </c>
      <c r="Y29" t="s">
        <v>2054</v>
      </c>
      <c r="Z29" t="s">
        <v>1063</v>
      </c>
      <c r="AA29" t="s">
        <v>2665</v>
      </c>
      <c r="AB29" t="s">
        <v>2665</v>
      </c>
      <c r="AC29" t="s">
        <v>2665</v>
      </c>
      <c r="AD29" t="s">
        <v>2054</v>
      </c>
      <c r="AE29" t="s">
        <v>2054</v>
      </c>
    </row>
    <row r="30" spans="1:31" x14ac:dyDescent="0.25">
      <c r="A30" t="s">
        <v>1103</v>
      </c>
      <c r="B30" t="s">
        <v>1102</v>
      </c>
      <c r="C30" t="s">
        <v>2704</v>
      </c>
      <c r="D30" t="s">
        <v>1102</v>
      </c>
      <c r="E30" t="s">
        <v>2666</v>
      </c>
      <c r="F30" t="s">
        <v>2705</v>
      </c>
      <c r="G30" t="s">
        <v>2666</v>
      </c>
      <c r="H30" t="s">
        <v>2054</v>
      </c>
      <c r="I30" t="s">
        <v>2706</v>
      </c>
      <c r="J30" t="s">
        <v>2054</v>
      </c>
      <c r="K30" t="s">
        <v>2665</v>
      </c>
      <c r="L30" t="s">
        <v>1104</v>
      </c>
      <c r="M30" t="s">
        <v>2669</v>
      </c>
      <c r="N30" t="s">
        <v>2665</v>
      </c>
      <c r="O30" t="s">
        <v>2670</v>
      </c>
      <c r="P30" t="s">
        <v>2671</v>
      </c>
      <c r="Q30" t="s">
        <v>2672</v>
      </c>
      <c r="R30" t="s">
        <v>2665</v>
      </c>
      <c r="S30" t="s">
        <v>2671</v>
      </c>
      <c r="T30" t="s">
        <v>2673</v>
      </c>
      <c r="U30" t="s">
        <v>2665</v>
      </c>
      <c r="V30" t="s">
        <v>2671</v>
      </c>
      <c r="W30" t="s">
        <v>2674</v>
      </c>
      <c r="X30" t="s">
        <v>2665</v>
      </c>
      <c r="Y30" t="s">
        <v>2054</v>
      </c>
      <c r="Z30" t="s">
        <v>1104</v>
      </c>
      <c r="AA30" t="s">
        <v>2665</v>
      </c>
      <c r="AB30" t="s">
        <v>2665</v>
      </c>
      <c r="AC30" t="s">
        <v>2665</v>
      </c>
      <c r="AD30" t="s">
        <v>2054</v>
      </c>
      <c r="AE30" t="s">
        <v>2054</v>
      </c>
    </row>
    <row r="31" spans="1:31" x14ac:dyDescent="0.25">
      <c r="A31" t="s">
        <v>1106</v>
      </c>
      <c r="B31" t="s">
        <v>1105</v>
      </c>
      <c r="C31" t="s">
        <v>2707</v>
      </c>
      <c r="D31" t="s">
        <v>1105</v>
      </c>
      <c r="E31" t="s">
        <v>2666</v>
      </c>
      <c r="F31" t="s">
        <v>2705</v>
      </c>
      <c r="G31" t="s">
        <v>2666</v>
      </c>
      <c r="H31" t="s">
        <v>2054</v>
      </c>
      <c r="I31" t="s">
        <v>2706</v>
      </c>
      <c r="J31" t="s">
        <v>2054</v>
      </c>
      <c r="K31" t="s">
        <v>2665</v>
      </c>
      <c r="L31" t="s">
        <v>1104</v>
      </c>
      <c r="M31" t="s">
        <v>2669</v>
      </c>
      <c r="N31" t="s">
        <v>2665</v>
      </c>
      <c r="O31" t="s">
        <v>2670</v>
      </c>
      <c r="P31" t="s">
        <v>2671</v>
      </c>
      <c r="Q31" t="s">
        <v>2672</v>
      </c>
      <c r="R31" t="s">
        <v>2665</v>
      </c>
      <c r="S31" t="s">
        <v>2671</v>
      </c>
      <c r="T31" t="s">
        <v>2673</v>
      </c>
      <c r="U31" t="s">
        <v>2665</v>
      </c>
      <c r="V31" t="s">
        <v>2671</v>
      </c>
      <c r="W31" t="s">
        <v>2674</v>
      </c>
      <c r="X31" t="s">
        <v>2665</v>
      </c>
      <c r="Y31" t="s">
        <v>2054</v>
      </c>
      <c r="Z31" t="s">
        <v>1104</v>
      </c>
      <c r="AA31" t="s">
        <v>2665</v>
      </c>
      <c r="AB31" t="s">
        <v>2665</v>
      </c>
      <c r="AC31" t="s">
        <v>2665</v>
      </c>
      <c r="AD31" t="s">
        <v>2054</v>
      </c>
      <c r="AE31" t="s">
        <v>2708</v>
      </c>
    </row>
    <row r="32" spans="1:31" x14ac:dyDescent="0.25">
      <c r="A32" t="s">
        <v>1108</v>
      </c>
      <c r="B32" t="s">
        <v>1107</v>
      </c>
      <c r="C32" t="s">
        <v>2709</v>
      </c>
      <c r="D32" t="s">
        <v>1107</v>
      </c>
      <c r="E32" t="s">
        <v>2666</v>
      </c>
      <c r="F32" t="s">
        <v>2705</v>
      </c>
      <c r="G32" t="s">
        <v>2666</v>
      </c>
      <c r="H32" t="s">
        <v>2054</v>
      </c>
      <c r="I32" t="s">
        <v>2706</v>
      </c>
      <c r="J32" t="s">
        <v>2054</v>
      </c>
      <c r="K32" t="s">
        <v>2665</v>
      </c>
      <c r="L32" t="s">
        <v>1104</v>
      </c>
      <c r="M32" t="s">
        <v>2669</v>
      </c>
      <c r="N32" t="s">
        <v>2665</v>
      </c>
      <c r="O32" t="s">
        <v>2670</v>
      </c>
      <c r="P32" t="s">
        <v>2671</v>
      </c>
      <c r="Q32" t="s">
        <v>2672</v>
      </c>
      <c r="R32" t="s">
        <v>2665</v>
      </c>
      <c r="S32" t="s">
        <v>2671</v>
      </c>
      <c r="T32" t="s">
        <v>2673</v>
      </c>
      <c r="U32" t="s">
        <v>2665</v>
      </c>
      <c r="V32" t="s">
        <v>2671</v>
      </c>
      <c r="W32" t="s">
        <v>2674</v>
      </c>
      <c r="X32" t="s">
        <v>2665</v>
      </c>
      <c r="Y32" t="s">
        <v>2054</v>
      </c>
      <c r="Z32" t="s">
        <v>1104</v>
      </c>
      <c r="AA32" t="s">
        <v>2665</v>
      </c>
      <c r="AB32" t="s">
        <v>2665</v>
      </c>
      <c r="AC32" t="s">
        <v>2665</v>
      </c>
      <c r="AD32" t="s">
        <v>2054</v>
      </c>
      <c r="AE32" t="s">
        <v>2054</v>
      </c>
    </row>
    <row r="33" spans="1:31" x14ac:dyDescent="0.25">
      <c r="A33" t="s">
        <v>1110</v>
      </c>
      <c r="B33" t="s">
        <v>1109</v>
      </c>
      <c r="C33" t="s">
        <v>2710</v>
      </c>
      <c r="D33" t="s">
        <v>1109</v>
      </c>
      <c r="E33" t="s">
        <v>2666</v>
      </c>
      <c r="F33" t="s">
        <v>2705</v>
      </c>
      <c r="G33" t="s">
        <v>2666</v>
      </c>
      <c r="H33" t="s">
        <v>2054</v>
      </c>
      <c r="I33" t="s">
        <v>2706</v>
      </c>
      <c r="J33" t="s">
        <v>2054</v>
      </c>
      <c r="K33" t="s">
        <v>2665</v>
      </c>
      <c r="L33" t="s">
        <v>1104</v>
      </c>
      <c r="M33" t="s">
        <v>2669</v>
      </c>
      <c r="N33" t="s">
        <v>2665</v>
      </c>
      <c r="O33" t="s">
        <v>2670</v>
      </c>
      <c r="P33" t="s">
        <v>2671</v>
      </c>
      <c r="Q33" t="s">
        <v>2672</v>
      </c>
      <c r="R33" t="s">
        <v>2665</v>
      </c>
      <c r="S33" t="s">
        <v>2671</v>
      </c>
      <c r="T33" t="s">
        <v>2673</v>
      </c>
      <c r="U33" t="s">
        <v>2665</v>
      </c>
      <c r="V33" t="s">
        <v>2671</v>
      </c>
      <c r="W33" t="s">
        <v>2674</v>
      </c>
      <c r="X33" t="s">
        <v>2665</v>
      </c>
      <c r="Y33" t="s">
        <v>2054</v>
      </c>
      <c r="Z33" t="s">
        <v>1104</v>
      </c>
      <c r="AA33" t="s">
        <v>2665</v>
      </c>
      <c r="AB33" t="s">
        <v>2665</v>
      </c>
      <c r="AC33" t="s">
        <v>2665</v>
      </c>
      <c r="AD33" t="s">
        <v>2054</v>
      </c>
      <c r="AE33" t="s">
        <v>2054</v>
      </c>
    </row>
    <row r="34" spans="1:31" x14ac:dyDescent="0.25">
      <c r="A34" t="s">
        <v>1112</v>
      </c>
      <c r="B34" t="s">
        <v>1111</v>
      </c>
      <c r="C34" t="s">
        <v>2711</v>
      </c>
      <c r="D34" t="s">
        <v>1111</v>
      </c>
      <c r="E34" t="s">
        <v>2666</v>
      </c>
      <c r="F34" t="s">
        <v>2712</v>
      </c>
      <c r="G34" t="s">
        <v>2666</v>
      </c>
      <c r="H34" t="s">
        <v>2054</v>
      </c>
      <c r="I34" t="s">
        <v>2668</v>
      </c>
      <c r="J34" t="s">
        <v>2054</v>
      </c>
      <c r="K34" t="s">
        <v>2665</v>
      </c>
      <c r="L34" t="s">
        <v>1063</v>
      </c>
      <c r="M34" t="s">
        <v>2669</v>
      </c>
      <c r="N34" t="s">
        <v>2665</v>
      </c>
      <c r="O34" t="s">
        <v>2670</v>
      </c>
      <c r="P34" t="s">
        <v>2671</v>
      </c>
      <c r="Q34" t="s">
        <v>2672</v>
      </c>
      <c r="R34" t="s">
        <v>2665</v>
      </c>
      <c r="S34" t="s">
        <v>2671</v>
      </c>
      <c r="T34" t="s">
        <v>2673</v>
      </c>
      <c r="U34" t="s">
        <v>2665</v>
      </c>
      <c r="V34" t="s">
        <v>2713</v>
      </c>
      <c r="W34" t="s">
        <v>2714</v>
      </c>
      <c r="X34" t="s">
        <v>2665</v>
      </c>
      <c r="Y34" t="s">
        <v>2054</v>
      </c>
      <c r="Z34" t="s">
        <v>1063</v>
      </c>
      <c r="AA34" t="s">
        <v>2665</v>
      </c>
      <c r="AB34" t="s">
        <v>2665</v>
      </c>
      <c r="AC34" t="s">
        <v>2665</v>
      </c>
      <c r="AD34" t="s">
        <v>2054</v>
      </c>
      <c r="AE34" t="s">
        <v>2708</v>
      </c>
    </row>
    <row r="35" spans="1:31" x14ac:dyDescent="0.25">
      <c r="A35" t="s">
        <v>2715</v>
      </c>
      <c r="B35" t="s">
        <v>2716</v>
      </c>
      <c r="C35" t="s">
        <v>2717</v>
      </c>
      <c r="D35" t="s">
        <v>2716</v>
      </c>
      <c r="E35" t="s">
        <v>2666</v>
      </c>
      <c r="F35" t="s">
        <v>2712</v>
      </c>
      <c r="G35" t="s">
        <v>2666</v>
      </c>
      <c r="H35" t="s">
        <v>2054</v>
      </c>
      <c r="I35" t="s">
        <v>2668</v>
      </c>
      <c r="J35" t="s">
        <v>2054</v>
      </c>
      <c r="K35" t="s">
        <v>2665</v>
      </c>
      <c r="L35" t="s">
        <v>1063</v>
      </c>
      <c r="M35" t="s">
        <v>2669</v>
      </c>
      <c r="N35" t="s">
        <v>2665</v>
      </c>
      <c r="O35" t="s">
        <v>2670</v>
      </c>
      <c r="P35" t="s">
        <v>2671</v>
      </c>
      <c r="Q35" t="s">
        <v>2672</v>
      </c>
      <c r="R35" t="s">
        <v>2665</v>
      </c>
      <c r="S35" t="s">
        <v>2671</v>
      </c>
      <c r="T35" t="s">
        <v>2673</v>
      </c>
      <c r="U35" t="s">
        <v>2665</v>
      </c>
      <c r="V35" t="s">
        <v>2713</v>
      </c>
      <c r="W35" t="s">
        <v>2714</v>
      </c>
      <c r="X35" t="s">
        <v>2665</v>
      </c>
      <c r="Y35" t="s">
        <v>2054</v>
      </c>
      <c r="Z35" t="s">
        <v>1063</v>
      </c>
      <c r="AA35" t="s">
        <v>2665</v>
      </c>
      <c r="AB35" t="s">
        <v>2665</v>
      </c>
      <c r="AC35" t="s">
        <v>2665</v>
      </c>
      <c r="AD35" t="s">
        <v>2054</v>
      </c>
      <c r="AE35" t="s">
        <v>2718</v>
      </c>
    </row>
    <row r="36" spans="1:31" x14ac:dyDescent="0.25">
      <c r="A36" t="s">
        <v>198</v>
      </c>
      <c r="B36" t="s">
        <v>10</v>
      </c>
      <c r="C36" t="s">
        <v>2719</v>
      </c>
      <c r="D36" t="s">
        <v>10</v>
      </c>
      <c r="E36" t="s">
        <v>2666</v>
      </c>
      <c r="F36" t="s">
        <v>2712</v>
      </c>
      <c r="G36" t="s">
        <v>2666</v>
      </c>
      <c r="H36" t="s">
        <v>2054</v>
      </c>
      <c r="I36" t="s">
        <v>2668</v>
      </c>
      <c r="J36" t="s">
        <v>2054</v>
      </c>
      <c r="K36" t="s">
        <v>2665</v>
      </c>
      <c r="L36" t="s">
        <v>1063</v>
      </c>
      <c r="M36" t="s">
        <v>2669</v>
      </c>
      <c r="N36" t="s">
        <v>2665</v>
      </c>
      <c r="O36" t="s">
        <v>2670</v>
      </c>
      <c r="P36" t="s">
        <v>2671</v>
      </c>
      <c r="Q36" t="s">
        <v>2672</v>
      </c>
      <c r="R36" t="s">
        <v>2665</v>
      </c>
      <c r="S36" t="s">
        <v>2671</v>
      </c>
      <c r="T36" t="s">
        <v>2673</v>
      </c>
      <c r="U36" t="s">
        <v>2665</v>
      </c>
      <c r="V36" t="s">
        <v>2713</v>
      </c>
      <c r="W36" t="s">
        <v>2714</v>
      </c>
      <c r="X36" t="s">
        <v>2665</v>
      </c>
      <c r="Y36" t="s">
        <v>2054</v>
      </c>
      <c r="Z36" t="s">
        <v>1063</v>
      </c>
      <c r="AA36" t="s">
        <v>2665</v>
      </c>
      <c r="AB36" t="s">
        <v>2665</v>
      </c>
      <c r="AC36" t="s">
        <v>2665</v>
      </c>
      <c r="AD36" t="s">
        <v>2054</v>
      </c>
      <c r="AE36" t="s">
        <v>2054</v>
      </c>
    </row>
    <row r="37" spans="1:31" x14ac:dyDescent="0.25">
      <c r="A37" t="s">
        <v>200</v>
      </c>
      <c r="B37" t="s">
        <v>11</v>
      </c>
      <c r="C37" t="s">
        <v>2720</v>
      </c>
      <c r="D37" t="s">
        <v>11</v>
      </c>
      <c r="E37" t="s">
        <v>2666</v>
      </c>
      <c r="F37" t="s">
        <v>2712</v>
      </c>
      <c r="G37" t="s">
        <v>2666</v>
      </c>
      <c r="H37" t="s">
        <v>2054</v>
      </c>
      <c r="I37" t="s">
        <v>2668</v>
      </c>
      <c r="J37" t="s">
        <v>2054</v>
      </c>
      <c r="K37" t="s">
        <v>2665</v>
      </c>
      <c r="L37" t="s">
        <v>1063</v>
      </c>
      <c r="M37" t="s">
        <v>2669</v>
      </c>
      <c r="N37" t="s">
        <v>2665</v>
      </c>
      <c r="O37" t="s">
        <v>2670</v>
      </c>
      <c r="P37" t="s">
        <v>2671</v>
      </c>
      <c r="Q37" t="s">
        <v>2672</v>
      </c>
      <c r="R37" t="s">
        <v>2665</v>
      </c>
      <c r="S37" t="s">
        <v>2671</v>
      </c>
      <c r="T37" t="s">
        <v>2673</v>
      </c>
      <c r="U37" t="s">
        <v>2665</v>
      </c>
      <c r="V37" t="s">
        <v>2713</v>
      </c>
      <c r="W37" t="s">
        <v>2714</v>
      </c>
      <c r="X37" t="s">
        <v>2665</v>
      </c>
      <c r="Y37" t="s">
        <v>2054</v>
      </c>
      <c r="Z37" t="s">
        <v>1063</v>
      </c>
      <c r="AA37" t="s">
        <v>2665</v>
      </c>
      <c r="AB37" t="s">
        <v>2665</v>
      </c>
      <c r="AC37" t="s">
        <v>2665</v>
      </c>
      <c r="AD37" t="s">
        <v>2054</v>
      </c>
      <c r="AE37" t="s">
        <v>2054</v>
      </c>
    </row>
    <row r="38" spans="1:31" x14ac:dyDescent="0.25">
      <c r="A38" t="s">
        <v>1113</v>
      </c>
      <c r="B38" t="s">
        <v>12</v>
      </c>
      <c r="C38" t="s">
        <v>2721</v>
      </c>
      <c r="D38" t="s">
        <v>12</v>
      </c>
      <c r="E38" t="s">
        <v>2666</v>
      </c>
      <c r="F38" t="s">
        <v>2712</v>
      </c>
      <c r="G38" t="s">
        <v>2666</v>
      </c>
      <c r="H38" t="s">
        <v>2054</v>
      </c>
      <c r="I38" t="s">
        <v>2668</v>
      </c>
      <c r="J38" t="s">
        <v>2054</v>
      </c>
      <c r="K38" t="s">
        <v>2665</v>
      </c>
      <c r="L38" t="s">
        <v>1063</v>
      </c>
      <c r="M38" t="s">
        <v>2669</v>
      </c>
      <c r="N38" t="s">
        <v>2665</v>
      </c>
      <c r="O38" t="s">
        <v>2670</v>
      </c>
      <c r="P38" t="s">
        <v>2671</v>
      </c>
      <c r="Q38" t="s">
        <v>2672</v>
      </c>
      <c r="R38" t="s">
        <v>2665</v>
      </c>
      <c r="S38" t="s">
        <v>2671</v>
      </c>
      <c r="T38" t="s">
        <v>2673</v>
      </c>
      <c r="U38" t="s">
        <v>2665</v>
      </c>
      <c r="V38" t="s">
        <v>2671</v>
      </c>
      <c r="W38" t="s">
        <v>2674</v>
      </c>
      <c r="X38" t="s">
        <v>2665</v>
      </c>
      <c r="Y38" t="s">
        <v>2054</v>
      </c>
      <c r="Z38" t="s">
        <v>1063</v>
      </c>
      <c r="AA38" t="s">
        <v>2665</v>
      </c>
      <c r="AB38" t="s">
        <v>2665</v>
      </c>
      <c r="AC38" t="s">
        <v>2665</v>
      </c>
      <c r="AD38" t="s">
        <v>2054</v>
      </c>
      <c r="AE38" t="s">
        <v>2054</v>
      </c>
    </row>
    <row r="39" spans="1:31" x14ac:dyDescent="0.25">
      <c r="A39" t="s">
        <v>202</v>
      </c>
      <c r="B39" t="s">
        <v>13</v>
      </c>
      <c r="C39" t="s">
        <v>2722</v>
      </c>
      <c r="D39" t="s">
        <v>13</v>
      </c>
      <c r="E39" t="s">
        <v>2666</v>
      </c>
      <c r="F39" t="s">
        <v>2712</v>
      </c>
      <c r="G39" t="s">
        <v>2666</v>
      </c>
      <c r="H39" t="s">
        <v>2054</v>
      </c>
      <c r="I39" t="s">
        <v>2723</v>
      </c>
      <c r="J39" t="s">
        <v>2054</v>
      </c>
      <c r="K39" t="s">
        <v>2665</v>
      </c>
      <c r="L39" t="s">
        <v>1114</v>
      </c>
      <c r="M39" t="s">
        <v>2669</v>
      </c>
      <c r="N39" t="s">
        <v>2665</v>
      </c>
      <c r="O39" t="s">
        <v>2670</v>
      </c>
      <c r="P39" t="s">
        <v>2671</v>
      </c>
      <c r="Q39" t="s">
        <v>2672</v>
      </c>
      <c r="R39" t="s">
        <v>2665</v>
      </c>
      <c r="S39" t="s">
        <v>2671</v>
      </c>
      <c r="T39" t="s">
        <v>2673</v>
      </c>
      <c r="U39" t="s">
        <v>2665</v>
      </c>
      <c r="V39" t="s">
        <v>2713</v>
      </c>
      <c r="W39" t="s">
        <v>2714</v>
      </c>
      <c r="X39" t="s">
        <v>2665</v>
      </c>
      <c r="Y39" t="s">
        <v>2054</v>
      </c>
      <c r="Z39" t="s">
        <v>1114</v>
      </c>
      <c r="AA39" t="s">
        <v>2665</v>
      </c>
      <c r="AB39" t="s">
        <v>2665</v>
      </c>
      <c r="AC39" t="s">
        <v>2665</v>
      </c>
      <c r="AD39" t="s">
        <v>2054</v>
      </c>
      <c r="AE39" t="s">
        <v>2054</v>
      </c>
    </row>
    <row r="40" spans="1:31" x14ac:dyDescent="0.25">
      <c r="A40" t="s">
        <v>203</v>
      </c>
      <c r="B40" t="s">
        <v>14</v>
      </c>
      <c r="C40" t="s">
        <v>2724</v>
      </c>
      <c r="D40" t="s">
        <v>14</v>
      </c>
      <c r="E40" t="s">
        <v>2666</v>
      </c>
      <c r="F40" t="s">
        <v>2712</v>
      </c>
      <c r="G40" t="s">
        <v>2666</v>
      </c>
      <c r="H40" t="s">
        <v>2054</v>
      </c>
      <c r="I40" t="s">
        <v>2668</v>
      </c>
      <c r="J40" t="s">
        <v>2054</v>
      </c>
      <c r="K40" t="s">
        <v>2665</v>
      </c>
      <c r="L40" t="s">
        <v>1063</v>
      </c>
      <c r="M40" t="s">
        <v>2669</v>
      </c>
      <c r="N40" t="s">
        <v>2665</v>
      </c>
      <c r="O40" t="s">
        <v>2670</v>
      </c>
      <c r="P40" t="s">
        <v>2671</v>
      </c>
      <c r="Q40" t="s">
        <v>2672</v>
      </c>
      <c r="R40" t="s">
        <v>2665</v>
      </c>
      <c r="S40" t="s">
        <v>2671</v>
      </c>
      <c r="T40" t="s">
        <v>2673</v>
      </c>
      <c r="U40" t="s">
        <v>2665</v>
      </c>
      <c r="V40" t="s">
        <v>2671</v>
      </c>
      <c r="W40" t="s">
        <v>2674</v>
      </c>
      <c r="X40" t="s">
        <v>2665</v>
      </c>
      <c r="Y40" t="s">
        <v>2054</v>
      </c>
      <c r="Z40" t="s">
        <v>1063</v>
      </c>
      <c r="AA40" t="s">
        <v>2665</v>
      </c>
      <c r="AB40" t="s">
        <v>2665</v>
      </c>
      <c r="AC40" t="s">
        <v>2665</v>
      </c>
      <c r="AD40" t="s">
        <v>2054</v>
      </c>
      <c r="AE40" t="s">
        <v>2054</v>
      </c>
    </row>
    <row r="41" spans="1:31" x14ac:dyDescent="0.25">
      <c r="A41" t="s">
        <v>1115</v>
      </c>
      <c r="B41" t="s">
        <v>15</v>
      </c>
      <c r="C41" t="s">
        <v>2725</v>
      </c>
      <c r="D41" t="s">
        <v>15</v>
      </c>
      <c r="E41" t="s">
        <v>2666</v>
      </c>
      <c r="F41" t="s">
        <v>2667</v>
      </c>
      <c r="G41" t="s">
        <v>2666</v>
      </c>
      <c r="H41" t="s">
        <v>2054</v>
      </c>
      <c r="I41" t="s">
        <v>2668</v>
      </c>
      <c r="J41" t="s">
        <v>2054</v>
      </c>
      <c r="K41" t="s">
        <v>2665</v>
      </c>
      <c r="L41" t="s">
        <v>1063</v>
      </c>
      <c r="M41" t="s">
        <v>2669</v>
      </c>
      <c r="N41" t="s">
        <v>2665</v>
      </c>
      <c r="O41" t="s">
        <v>2670</v>
      </c>
      <c r="P41" t="s">
        <v>2671</v>
      </c>
      <c r="Q41" t="s">
        <v>2672</v>
      </c>
      <c r="R41" t="s">
        <v>2665</v>
      </c>
      <c r="S41" t="s">
        <v>2671</v>
      </c>
      <c r="T41" t="s">
        <v>2673</v>
      </c>
      <c r="U41" t="s">
        <v>2665</v>
      </c>
      <c r="V41" t="s">
        <v>2671</v>
      </c>
      <c r="W41" t="s">
        <v>2674</v>
      </c>
      <c r="X41" t="s">
        <v>2665</v>
      </c>
      <c r="Y41" t="s">
        <v>2054</v>
      </c>
      <c r="Z41" t="s">
        <v>1063</v>
      </c>
      <c r="AA41" t="s">
        <v>2665</v>
      </c>
      <c r="AB41" t="s">
        <v>2665</v>
      </c>
      <c r="AC41" t="s">
        <v>2665</v>
      </c>
      <c r="AD41" t="s">
        <v>2054</v>
      </c>
      <c r="AE41" t="s">
        <v>2726</v>
      </c>
    </row>
    <row r="42" spans="1:31" x14ac:dyDescent="0.25">
      <c r="A42" t="s">
        <v>1117</v>
      </c>
      <c r="B42" t="s">
        <v>1116</v>
      </c>
      <c r="C42" t="s">
        <v>2727</v>
      </c>
      <c r="D42" t="s">
        <v>1116</v>
      </c>
      <c r="E42" t="s">
        <v>2666</v>
      </c>
      <c r="F42" t="s">
        <v>2705</v>
      </c>
      <c r="G42" t="s">
        <v>2666</v>
      </c>
      <c r="H42" t="s">
        <v>2054</v>
      </c>
      <c r="I42" t="s">
        <v>2706</v>
      </c>
      <c r="J42" t="s">
        <v>2054</v>
      </c>
      <c r="K42" t="s">
        <v>2665</v>
      </c>
      <c r="L42" t="s">
        <v>1104</v>
      </c>
      <c r="M42" t="s">
        <v>2669</v>
      </c>
      <c r="N42" t="s">
        <v>2665</v>
      </c>
      <c r="O42" t="s">
        <v>2670</v>
      </c>
      <c r="P42" t="s">
        <v>2671</v>
      </c>
      <c r="Q42" t="s">
        <v>2672</v>
      </c>
      <c r="R42" t="s">
        <v>2665</v>
      </c>
      <c r="S42" t="s">
        <v>2671</v>
      </c>
      <c r="T42" t="s">
        <v>2673</v>
      </c>
      <c r="U42" t="s">
        <v>2665</v>
      </c>
      <c r="V42" t="s">
        <v>2671</v>
      </c>
      <c r="W42" t="s">
        <v>2674</v>
      </c>
      <c r="X42" t="s">
        <v>2665</v>
      </c>
      <c r="Y42" t="s">
        <v>2054</v>
      </c>
      <c r="Z42" t="s">
        <v>1104</v>
      </c>
      <c r="AA42" t="s">
        <v>2665</v>
      </c>
      <c r="AB42" t="s">
        <v>2665</v>
      </c>
      <c r="AC42" t="s">
        <v>2665</v>
      </c>
      <c r="AD42" t="s">
        <v>2054</v>
      </c>
      <c r="AE42" t="s">
        <v>2054</v>
      </c>
    </row>
    <row r="43" spans="1:31" x14ac:dyDescent="0.25">
      <c r="A43" t="s">
        <v>1119</v>
      </c>
      <c r="B43" t="s">
        <v>1118</v>
      </c>
      <c r="C43" t="s">
        <v>2728</v>
      </c>
      <c r="D43" t="s">
        <v>1118</v>
      </c>
      <c r="E43" t="s">
        <v>2666</v>
      </c>
      <c r="F43" t="s">
        <v>2705</v>
      </c>
      <c r="G43" t="s">
        <v>2666</v>
      </c>
      <c r="H43" t="s">
        <v>2054</v>
      </c>
      <c r="I43" t="s">
        <v>2706</v>
      </c>
      <c r="J43" t="s">
        <v>2054</v>
      </c>
      <c r="K43" t="s">
        <v>2665</v>
      </c>
      <c r="L43" t="s">
        <v>1104</v>
      </c>
      <c r="M43" t="s">
        <v>2669</v>
      </c>
      <c r="N43" t="s">
        <v>2665</v>
      </c>
      <c r="O43" t="s">
        <v>2670</v>
      </c>
      <c r="P43" t="s">
        <v>2671</v>
      </c>
      <c r="Q43" t="s">
        <v>2672</v>
      </c>
      <c r="R43" t="s">
        <v>2665</v>
      </c>
      <c r="S43" t="s">
        <v>2671</v>
      </c>
      <c r="T43" t="s">
        <v>2673</v>
      </c>
      <c r="U43" t="s">
        <v>2665</v>
      </c>
      <c r="V43" t="s">
        <v>2671</v>
      </c>
      <c r="W43" t="s">
        <v>2674</v>
      </c>
      <c r="X43" t="s">
        <v>2665</v>
      </c>
      <c r="Y43" t="s">
        <v>2054</v>
      </c>
      <c r="Z43" t="s">
        <v>1104</v>
      </c>
      <c r="AA43" t="s">
        <v>2665</v>
      </c>
      <c r="AB43" t="s">
        <v>2665</v>
      </c>
      <c r="AC43" t="s">
        <v>2665</v>
      </c>
      <c r="AD43" t="s">
        <v>2054</v>
      </c>
      <c r="AE43" t="s">
        <v>2054</v>
      </c>
    </row>
    <row r="44" spans="1:31" x14ac:dyDescent="0.25">
      <c r="A44" t="s">
        <v>1121</v>
      </c>
      <c r="B44" t="s">
        <v>1120</v>
      </c>
      <c r="C44" t="s">
        <v>2729</v>
      </c>
      <c r="D44" t="s">
        <v>1120</v>
      </c>
      <c r="E44" t="s">
        <v>2666</v>
      </c>
      <c r="F44" t="s">
        <v>2705</v>
      </c>
      <c r="G44" t="s">
        <v>2666</v>
      </c>
      <c r="H44" t="s">
        <v>2054</v>
      </c>
      <c r="I44" t="s">
        <v>2706</v>
      </c>
      <c r="J44" t="s">
        <v>2054</v>
      </c>
      <c r="K44" t="s">
        <v>2665</v>
      </c>
      <c r="L44" t="s">
        <v>1104</v>
      </c>
      <c r="M44" t="s">
        <v>2669</v>
      </c>
      <c r="N44" t="s">
        <v>2665</v>
      </c>
      <c r="O44" t="s">
        <v>2670</v>
      </c>
      <c r="P44" t="s">
        <v>2671</v>
      </c>
      <c r="Q44" t="s">
        <v>2672</v>
      </c>
      <c r="R44" t="s">
        <v>2665</v>
      </c>
      <c r="S44" t="s">
        <v>2671</v>
      </c>
      <c r="T44" t="s">
        <v>2673</v>
      </c>
      <c r="U44" t="s">
        <v>2665</v>
      </c>
      <c r="V44" t="s">
        <v>2671</v>
      </c>
      <c r="W44" t="s">
        <v>2674</v>
      </c>
      <c r="X44" t="s">
        <v>2665</v>
      </c>
      <c r="Y44" t="s">
        <v>2054</v>
      </c>
      <c r="Z44" t="s">
        <v>1104</v>
      </c>
      <c r="AA44" t="s">
        <v>2665</v>
      </c>
      <c r="AB44" t="s">
        <v>2665</v>
      </c>
      <c r="AC44" t="s">
        <v>2665</v>
      </c>
      <c r="AD44" t="s">
        <v>2054</v>
      </c>
      <c r="AE44" t="s">
        <v>2726</v>
      </c>
    </row>
    <row r="45" spans="1:31" x14ac:dyDescent="0.25">
      <c r="A45" t="s">
        <v>1123</v>
      </c>
      <c r="B45" t="s">
        <v>1122</v>
      </c>
      <c r="C45" t="s">
        <v>2730</v>
      </c>
      <c r="D45" t="s">
        <v>1122</v>
      </c>
      <c r="E45" t="s">
        <v>2666</v>
      </c>
      <c r="F45" t="s">
        <v>2705</v>
      </c>
      <c r="G45" t="s">
        <v>2666</v>
      </c>
      <c r="H45" t="s">
        <v>2054</v>
      </c>
      <c r="I45" t="s">
        <v>2706</v>
      </c>
      <c r="J45" t="s">
        <v>2054</v>
      </c>
      <c r="K45" t="s">
        <v>2665</v>
      </c>
      <c r="L45" t="s">
        <v>1104</v>
      </c>
      <c r="M45" t="s">
        <v>2669</v>
      </c>
      <c r="N45" t="s">
        <v>2665</v>
      </c>
      <c r="O45" t="s">
        <v>2670</v>
      </c>
      <c r="P45" t="s">
        <v>2671</v>
      </c>
      <c r="Q45" t="s">
        <v>2672</v>
      </c>
      <c r="R45" t="s">
        <v>2665</v>
      </c>
      <c r="S45" t="s">
        <v>2671</v>
      </c>
      <c r="T45" t="s">
        <v>2673</v>
      </c>
      <c r="U45" t="s">
        <v>2665</v>
      </c>
      <c r="V45" t="s">
        <v>2671</v>
      </c>
      <c r="W45" t="s">
        <v>2674</v>
      </c>
      <c r="X45" t="s">
        <v>2665</v>
      </c>
      <c r="Y45" t="s">
        <v>2054</v>
      </c>
      <c r="Z45" t="s">
        <v>1104</v>
      </c>
      <c r="AA45" t="s">
        <v>2665</v>
      </c>
      <c r="AB45" t="s">
        <v>2665</v>
      </c>
      <c r="AC45" t="s">
        <v>2665</v>
      </c>
      <c r="AD45" t="s">
        <v>2054</v>
      </c>
      <c r="AE45" t="s">
        <v>2726</v>
      </c>
    </row>
    <row r="46" spans="1:31" x14ac:dyDescent="0.25">
      <c r="A46" t="s">
        <v>1125</v>
      </c>
      <c r="B46" t="s">
        <v>1124</v>
      </c>
      <c r="C46" t="s">
        <v>2731</v>
      </c>
      <c r="D46" t="s">
        <v>1124</v>
      </c>
      <c r="E46" t="s">
        <v>2666</v>
      </c>
      <c r="F46" t="s">
        <v>2705</v>
      </c>
      <c r="G46" t="s">
        <v>2666</v>
      </c>
      <c r="H46" t="s">
        <v>2054</v>
      </c>
      <c r="I46" t="s">
        <v>2706</v>
      </c>
      <c r="J46" t="s">
        <v>2054</v>
      </c>
      <c r="K46" t="s">
        <v>2665</v>
      </c>
      <c r="L46" t="s">
        <v>1104</v>
      </c>
      <c r="M46" t="s">
        <v>2669</v>
      </c>
      <c r="N46" t="s">
        <v>2665</v>
      </c>
      <c r="O46" t="s">
        <v>2670</v>
      </c>
      <c r="P46" t="s">
        <v>2671</v>
      </c>
      <c r="Q46" t="s">
        <v>2672</v>
      </c>
      <c r="R46" t="s">
        <v>2665</v>
      </c>
      <c r="S46" t="s">
        <v>2671</v>
      </c>
      <c r="T46" t="s">
        <v>2673</v>
      </c>
      <c r="U46" t="s">
        <v>2665</v>
      </c>
      <c r="V46" t="s">
        <v>2671</v>
      </c>
      <c r="W46" t="s">
        <v>2674</v>
      </c>
      <c r="X46" t="s">
        <v>2665</v>
      </c>
      <c r="Y46" t="s">
        <v>2054</v>
      </c>
      <c r="Z46" t="s">
        <v>1104</v>
      </c>
      <c r="AA46" t="s">
        <v>2665</v>
      </c>
      <c r="AB46" t="s">
        <v>2665</v>
      </c>
      <c r="AC46" t="s">
        <v>2665</v>
      </c>
      <c r="AD46" t="s">
        <v>2054</v>
      </c>
      <c r="AE46" t="s">
        <v>2726</v>
      </c>
    </row>
    <row r="47" spans="1:31" x14ac:dyDescent="0.25">
      <c r="A47" t="s">
        <v>1127</v>
      </c>
      <c r="B47" t="s">
        <v>1126</v>
      </c>
      <c r="C47" t="s">
        <v>2732</v>
      </c>
      <c r="D47" t="s">
        <v>1126</v>
      </c>
      <c r="E47" t="s">
        <v>2666</v>
      </c>
      <c r="F47" t="s">
        <v>2705</v>
      </c>
      <c r="G47" t="s">
        <v>2666</v>
      </c>
      <c r="H47" t="s">
        <v>2054</v>
      </c>
      <c r="I47" t="s">
        <v>2706</v>
      </c>
      <c r="J47" t="s">
        <v>2054</v>
      </c>
      <c r="K47" t="s">
        <v>2665</v>
      </c>
      <c r="L47" t="s">
        <v>1104</v>
      </c>
      <c r="M47" t="s">
        <v>2669</v>
      </c>
      <c r="N47" t="s">
        <v>2665</v>
      </c>
      <c r="O47" t="s">
        <v>2670</v>
      </c>
      <c r="P47" t="s">
        <v>2671</v>
      </c>
      <c r="Q47" t="s">
        <v>2672</v>
      </c>
      <c r="R47" t="s">
        <v>2665</v>
      </c>
      <c r="S47" t="s">
        <v>2671</v>
      </c>
      <c r="T47" t="s">
        <v>2673</v>
      </c>
      <c r="U47" t="s">
        <v>2665</v>
      </c>
      <c r="V47" t="s">
        <v>2671</v>
      </c>
      <c r="W47" t="s">
        <v>2674</v>
      </c>
      <c r="X47" t="s">
        <v>2665</v>
      </c>
      <c r="Y47" t="s">
        <v>2054</v>
      </c>
      <c r="Z47" t="s">
        <v>1104</v>
      </c>
      <c r="AA47" t="s">
        <v>2665</v>
      </c>
      <c r="AB47" t="s">
        <v>2665</v>
      </c>
      <c r="AC47" t="s">
        <v>2665</v>
      </c>
      <c r="AD47" t="s">
        <v>2054</v>
      </c>
      <c r="AE47" t="s">
        <v>2726</v>
      </c>
    </row>
    <row r="48" spans="1:31" x14ac:dyDescent="0.25">
      <c r="A48" t="s">
        <v>1129</v>
      </c>
      <c r="B48" t="s">
        <v>1128</v>
      </c>
      <c r="C48" t="s">
        <v>2733</v>
      </c>
      <c r="D48" t="s">
        <v>1128</v>
      </c>
      <c r="E48" t="s">
        <v>2666</v>
      </c>
      <c r="F48" t="s">
        <v>2705</v>
      </c>
      <c r="G48" t="s">
        <v>2666</v>
      </c>
      <c r="H48" t="s">
        <v>2054</v>
      </c>
      <c r="I48" t="s">
        <v>2706</v>
      </c>
      <c r="J48" t="s">
        <v>2054</v>
      </c>
      <c r="K48" t="s">
        <v>2665</v>
      </c>
      <c r="L48" t="s">
        <v>1104</v>
      </c>
      <c r="M48" t="s">
        <v>2669</v>
      </c>
      <c r="N48" t="s">
        <v>2665</v>
      </c>
      <c r="O48" t="s">
        <v>2670</v>
      </c>
      <c r="P48" t="s">
        <v>2671</v>
      </c>
      <c r="Q48" t="s">
        <v>2672</v>
      </c>
      <c r="R48" t="s">
        <v>2665</v>
      </c>
      <c r="S48" t="s">
        <v>2671</v>
      </c>
      <c r="T48" t="s">
        <v>2673</v>
      </c>
      <c r="U48" t="s">
        <v>2665</v>
      </c>
      <c r="V48" t="s">
        <v>2671</v>
      </c>
      <c r="W48" t="s">
        <v>2674</v>
      </c>
      <c r="X48" t="s">
        <v>2665</v>
      </c>
      <c r="Y48" t="s">
        <v>2054</v>
      </c>
      <c r="Z48" t="s">
        <v>1104</v>
      </c>
      <c r="AA48" t="s">
        <v>2665</v>
      </c>
      <c r="AB48" t="s">
        <v>2665</v>
      </c>
      <c r="AC48" t="s">
        <v>2665</v>
      </c>
      <c r="AD48" t="s">
        <v>2054</v>
      </c>
      <c r="AE48" t="s">
        <v>2726</v>
      </c>
    </row>
    <row r="49" spans="1:31" x14ac:dyDescent="0.25">
      <c r="A49" t="s">
        <v>1131</v>
      </c>
      <c r="B49" t="s">
        <v>1130</v>
      </c>
      <c r="C49" t="s">
        <v>2734</v>
      </c>
      <c r="D49" t="s">
        <v>1130</v>
      </c>
      <c r="E49" t="s">
        <v>2666</v>
      </c>
      <c r="F49" t="s">
        <v>2705</v>
      </c>
      <c r="G49" t="s">
        <v>2666</v>
      </c>
      <c r="H49" t="s">
        <v>2054</v>
      </c>
      <c r="I49" t="s">
        <v>2706</v>
      </c>
      <c r="J49" t="s">
        <v>2054</v>
      </c>
      <c r="K49" t="s">
        <v>2665</v>
      </c>
      <c r="L49" t="s">
        <v>1104</v>
      </c>
      <c r="M49" t="s">
        <v>2669</v>
      </c>
      <c r="N49" t="s">
        <v>2665</v>
      </c>
      <c r="O49" t="s">
        <v>2670</v>
      </c>
      <c r="P49" t="s">
        <v>2671</v>
      </c>
      <c r="Q49" t="s">
        <v>2672</v>
      </c>
      <c r="R49" t="s">
        <v>2665</v>
      </c>
      <c r="S49" t="s">
        <v>2671</v>
      </c>
      <c r="T49" t="s">
        <v>2673</v>
      </c>
      <c r="U49" t="s">
        <v>2665</v>
      </c>
      <c r="V49" t="s">
        <v>2671</v>
      </c>
      <c r="W49" t="s">
        <v>2674</v>
      </c>
      <c r="X49" t="s">
        <v>2665</v>
      </c>
      <c r="Y49" t="s">
        <v>2054</v>
      </c>
      <c r="Z49" t="s">
        <v>1104</v>
      </c>
      <c r="AA49" t="s">
        <v>2665</v>
      </c>
      <c r="AB49" t="s">
        <v>2665</v>
      </c>
      <c r="AC49" t="s">
        <v>2665</v>
      </c>
      <c r="AD49" t="s">
        <v>2054</v>
      </c>
      <c r="AE49" t="s">
        <v>2726</v>
      </c>
    </row>
    <row r="50" spans="1:31" x14ac:dyDescent="0.25">
      <c r="A50" t="s">
        <v>1133</v>
      </c>
      <c r="B50" t="s">
        <v>1132</v>
      </c>
      <c r="C50" t="s">
        <v>2735</v>
      </c>
      <c r="D50" t="s">
        <v>1132</v>
      </c>
      <c r="E50" t="s">
        <v>2666</v>
      </c>
      <c r="F50" t="s">
        <v>2705</v>
      </c>
      <c r="G50" t="s">
        <v>2666</v>
      </c>
      <c r="H50" t="s">
        <v>2054</v>
      </c>
      <c r="I50" t="s">
        <v>2706</v>
      </c>
      <c r="J50" t="s">
        <v>2054</v>
      </c>
      <c r="K50" t="s">
        <v>2665</v>
      </c>
      <c r="L50" t="s">
        <v>1104</v>
      </c>
      <c r="M50" t="s">
        <v>2669</v>
      </c>
      <c r="N50" t="s">
        <v>2665</v>
      </c>
      <c r="O50" t="s">
        <v>2670</v>
      </c>
      <c r="P50" t="s">
        <v>2671</v>
      </c>
      <c r="Q50" t="s">
        <v>2672</v>
      </c>
      <c r="R50" t="s">
        <v>2665</v>
      </c>
      <c r="S50" t="s">
        <v>2671</v>
      </c>
      <c r="T50" t="s">
        <v>2673</v>
      </c>
      <c r="U50" t="s">
        <v>2665</v>
      </c>
      <c r="V50" t="s">
        <v>2671</v>
      </c>
      <c r="W50" t="s">
        <v>2674</v>
      </c>
      <c r="X50" t="s">
        <v>2665</v>
      </c>
      <c r="Y50" t="s">
        <v>2054</v>
      </c>
      <c r="Z50" t="s">
        <v>1104</v>
      </c>
      <c r="AA50" t="s">
        <v>2665</v>
      </c>
      <c r="AB50" t="s">
        <v>2665</v>
      </c>
      <c r="AC50" t="s">
        <v>2665</v>
      </c>
      <c r="AD50" t="s">
        <v>2054</v>
      </c>
      <c r="AE50" t="s">
        <v>2726</v>
      </c>
    </row>
    <row r="51" spans="1:31" x14ac:dyDescent="0.25">
      <c r="A51" t="s">
        <v>2736</v>
      </c>
      <c r="B51" t="s">
        <v>2737</v>
      </c>
      <c r="C51" t="s">
        <v>2738</v>
      </c>
      <c r="D51" t="s">
        <v>2737</v>
      </c>
      <c r="E51" t="s">
        <v>2666</v>
      </c>
      <c r="F51" t="s">
        <v>2712</v>
      </c>
      <c r="G51" t="s">
        <v>2666</v>
      </c>
      <c r="H51" t="s">
        <v>2054</v>
      </c>
      <c r="I51" t="s">
        <v>2723</v>
      </c>
      <c r="J51" t="s">
        <v>2054</v>
      </c>
      <c r="K51" t="s">
        <v>2665</v>
      </c>
      <c r="L51" t="s">
        <v>1114</v>
      </c>
      <c r="M51" t="s">
        <v>2669</v>
      </c>
      <c r="N51" t="s">
        <v>2665</v>
      </c>
      <c r="O51" t="s">
        <v>2670</v>
      </c>
      <c r="P51" t="s">
        <v>2671</v>
      </c>
      <c r="Q51" t="s">
        <v>2672</v>
      </c>
      <c r="R51" t="s">
        <v>2665</v>
      </c>
      <c r="S51" t="s">
        <v>2671</v>
      </c>
      <c r="T51" t="s">
        <v>2673</v>
      </c>
      <c r="U51" t="s">
        <v>2665</v>
      </c>
      <c r="V51" t="s">
        <v>2671</v>
      </c>
      <c r="W51" t="s">
        <v>2674</v>
      </c>
      <c r="X51" t="s">
        <v>2665</v>
      </c>
      <c r="Y51" t="s">
        <v>2054</v>
      </c>
      <c r="Z51" t="s">
        <v>1114</v>
      </c>
      <c r="AA51" t="s">
        <v>2665</v>
      </c>
      <c r="AB51" t="s">
        <v>2665</v>
      </c>
      <c r="AC51" t="s">
        <v>2665</v>
      </c>
      <c r="AD51" t="s">
        <v>2054</v>
      </c>
      <c r="AE51" t="s">
        <v>2054</v>
      </c>
    </row>
    <row r="52" spans="1:31" x14ac:dyDescent="0.25">
      <c r="A52" t="s">
        <v>1135</v>
      </c>
      <c r="B52" t="s">
        <v>1134</v>
      </c>
      <c r="C52" t="s">
        <v>2739</v>
      </c>
      <c r="D52" t="s">
        <v>1134</v>
      </c>
      <c r="E52" t="s">
        <v>2666</v>
      </c>
      <c r="F52" t="s">
        <v>2740</v>
      </c>
      <c r="G52" t="s">
        <v>2666</v>
      </c>
      <c r="H52" t="s">
        <v>2054</v>
      </c>
      <c r="I52" t="s">
        <v>2741</v>
      </c>
      <c r="J52" t="s">
        <v>2054</v>
      </c>
      <c r="K52" t="s">
        <v>2665</v>
      </c>
      <c r="L52" t="s">
        <v>1136</v>
      </c>
      <c r="M52" t="s">
        <v>2669</v>
      </c>
      <c r="N52" t="s">
        <v>2665</v>
      </c>
      <c r="O52" t="s">
        <v>2670</v>
      </c>
      <c r="P52" t="s">
        <v>2671</v>
      </c>
      <c r="Q52" t="s">
        <v>2672</v>
      </c>
      <c r="R52" t="s">
        <v>2665</v>
      </c>
      <c r="S52" t="s">
        <v>2671</v>
      </c>
      <c r="T52" t="s">
        <v>2673</v>
      </c>
      <c r="U52" t="s">
        <v>2665</v>
      </c>
      <c r="V52" t="s">
        <v>2671</v>
      </c>
      <c r="W52" t="s">
        <v>2674</v>
      </c>
      <c r="X52" t="s">
        <v>2665</v>
      </c>
      <c r="Y52" t="s">
        <v>2054</v>
      </c>
      <c r="Z52" t="s">
        <v>1136</v>
      </c>
      <c r="AA52" t="s">
        <v>2742</v>
      </c>
      <c r="AB52" t="s">
        <v>2742</v>
      </c>
      <c r="AC52" t="s">
        <v>2665</v>
      </c>
      <c r="AD52" t="s">
        <v>2054</v>
      </c>
      <c r="AE52" t="s">
        <v>2054</v>
      </c>
    </row>
    <row r="53" spans="1:31" x14ac:dyDescent="0.25">
      <c r="A53" t="s">
        <v>1138</v>
      </c>
      <c r="B53" t="s">
        <v>1137</v>
      </c>
      <c r="C53" t="s">
        <v>2743</v>
      </c>
      <c r="D53" t="s">
        <v>1137</v>
      </c>
      <c r="E53" t="s">
        <v>2666</v>
      </c>
      <c r="F53" t="s">
        <v>2744</v>
      </c>
      <c r="G53" t="s">
        <v>2666</v>
      </c>
      <c r="H53" t="s">
        <v>2054</v>
      </c>
      <c r="I53" t="s">
        <v>2741</v>
      </c>
      <c r="J53" t="s">
        <v>2054</v>
      </c>
      <c r="K53" t="s">
        <v>2665</v>
      </c>
      <c r="L53" t="s">
        <v>1136</v>
      </c>
      <c r="M53" t="s">
        <v>2669</v>
      </c>
      <c r="N53" t="s">
        <v>2665</v>
      </c>
      <c r="O53" t="s">
        <v>2670</v>
      </c>
      <c r="P53" t="s">
        <v>2671</v>
      </c>
      <c r="Q53" t="s">
        <v>2672</v>
      </c>
      <c r="R53" t="s">
        <v>2665</v>
      </c>
      <c r="S53" t="s">
        <v>2671</v>
      </c>
      <c r="T53" t="s">
        <v>2673</v>
      </c>
      <c r="U53" t="s">
        <v>2665</v>
      </c>
      <c r="V53" t="s">
        <v>2671</v>
      </c>
      <c r="W53" t="s">
        <v>2674</v>
      </c>
      <c r="X53" t="s">
        <v>2665</v>
      </c>
      <c r="Y53" t="s">
        <v>2054</v>
      </c>
      <c r="Z53" t="s">
        <v>1136</v>
      </c>
      <c r="AA53" t="s">
        <v>2742</v>
      </c>
      <c r="AB53" t="s">
        <v>2742</v>
      </c>
      <c r="AC53" t="s">
        <v>2665</v>
      </c>
      <c r="AD53" t="s">
        <v>2054</v>
      </c>
      <c r="AE53" t="s">
        <v>2054</v>
      </c>
    </row>
    <row r="54" spans="1:31" x14ac:dyDescent="0.25">
      <c r="A54" t="s">
        <v>1140</v>
      </c>
      <c r="B54" t="s">
        <v>1139</v>
      </c>
      <c r="C54" t="s">
        <v>2745</v>
      </c>
      <c r="D54" t="s">
        <v>1139</v>
      </c>
      <c r="E54" t="s">
        <v>2666</v>
      </c>
      <c r="F54" t="s">
        <v>2746</v>
      </c>
      <c r="G54" t="s">
        <v>2666</v>
      </c>
      <c r="H54" t="s">
        <v>2054</v>
      </c>
      <c r="I54" t="s">
        <v>2741</v>
      </c>
      <c r="J54" t="s">
        <v>2054</v>
      </c>
      <c r="K54" t="s">
        <v>2665</v>
      </c>
      <c r="L54" t="s">
        <v>1136</v>
      </c>
      <c r="M54" t="s">
        <v>2669</v>
      </c>
      <c r="N54" t="s">
        <v>2665</v>
      </c>
      <c r="O54" t="s">
        <v>2670</v>
      </c>
      <c r="P54" t="s">
        <v>2671</v>
      </c>
      <c r="Q54" t="s">
        <v>2672</v>
      </c>
      <c r="R54" t="s">
        <v>2665</v>
      </c>
      <c r="S54" t="s">
        <v>2671</v>
      </c>
      <c r="T54" t="s">
        <v>2673</v>
      </c>
      <c r="U54" t="s">
        <v>2665</v>
      </c>
      <c r="V54" t="s">
        <v>2671</v>
      </c>
      <c r="W54" t="s">
        <v>2674</v>
      </c>
      <c r="X54" t="s">
        <v>2665</v>
      </c>
      <c r="Y54" t="s">
        <v>2054</v>
      </c>
      <c r="Z54" t="s">
        <v>1136</v>
      </c>
      <c r="AA54" t="s">
        <v>2742</v>
      </c>
      <c r="AB54" t="s">
        <v>2742</v>
      </c>
      <c r="AC54" t="s">
        <v>2665</v>
      </c>
      <c r="AD54" t="s">
        <v>2054</v>
      </c>
      <c r="AE54" t="s">
        <v>2054</v>
      </c>
    </row>
    <row r="55" spans="1:31" x14ac:dyDescent="0.25">
      <c r="A55" t="s">
        <v>1142</v>
      </c>
      <c r="B55" t="s">
        <v>1141</v>
      </c>
      <c r="C55" t="s">
        <v>2747</v>
      </c>
      <c r="D55" t="s">
        <v>1141</v>
      </c>
      <c r="E55" t="s">
        <v>2666</v>
      </c>
      <c r="F55" t="s">
        <v>2748</v>
      </c>
      <c r="G55" t="s">
        <v>2666</v>
      </c>
      <c r="H55" t="s">
        <v>2054</v>
      </c>
      <c r="I55" t="s">
        <v>2741</v>
      </c>
      <c r="J55" t="s">
        <v>2054</v>
      </c>
      <c r="K55" t="s">
        <v>2665</v>
      </c>
      <c r="L55" t="s">
        <v>1136</v>
      </c>
      <c r="M55" t="s">
        <v>2669</v>
      </c>
      <c r="N55" t="s">
        <v>2665</v>
      </c>
      <c r="O55" t="s">
        <v>2670</v>
      </c>
      <c r="P55" t="s">
        <v>2671</v>
      </c>
      <c r="Q55" t="s">
        <v>2672</v>
      </c>
      <c r="R55" t="s">
        <v>2665</v>
      </c>
      <c r="S55" t="s">
        <v>2671</v>
      </c>
      <c r="T55" t="s">
        <v>2673</v>
      </c>
      <c r="U55" t="s">
        <v>2665</v>
      </c>
      <c r="V55" t="s">
        <v>2671</v>
      </c>
      <c r="W55" t="s">
        <v>2674</v>
      </c>
      <c r="X55" t="s">
        <v>2665</v>
      </c>
      <c r="Y55" t="s">
        <v>2054</v>
      </c>
      <c r="Z55" t="s">
        <v>1136</v>
      </c>
      <c r="AA55" t="s">
        <v>2742</v>
      </c>
      <c r="AB55" t="s">
        <v>2742</v>
      </c>
      <c r="AC55" t="s">
        <v>2665</v>
      </c>
      <c r="AD55" t="s">
        <v>2054</v>
      </c>
      <c r="AE55" t="s">
        <v>2054</v>
      </c>
    </row>
    <row r="56" spans="1:31" x14ac:dyDescent="0.25">
      <c r="A56" t="s">
        <v>1144</v>
      </c>
      <c r="B56" t="s">
        <v>1143</v>
      </c>
      <c r="C56" t="s">
        <v>2749</v>
      </c>
      <c r="D56" t="s">
        <v>1143</v>
      </c>
      <c r="E56" t="s">
        <v>2666</v>
      </c>
      <c r="F56" t="s">
        <v>2750</v>
      </c>
      <c r="G56" t="s">
        <v>2666</v>
      </c>
      <c r="H56" t="s">
        <v>2054</v>
      </c>
      <c r="I56" t="s">
        <v>2741</v>
      </c>
      <c r="J56" t="s">
        <v>2054</v>
      </c>
      <c r="K56" t="s">
        <v>2665</v>
      </c>
      <c r="L56" t="s">
        <v>1136</v>
      </c>
      <c r="M56" t="s">
        <v>2669</v>
      </c>
      <c r="N56" t="s">
        <v>2665</v>
      </c>
      <c r="O56" t="s">
        <v>2670</v>
      </c>
      <c r="P56" t="s">
        <v>2671</v>
      </c>
      <c r="Q56" t="s">
        <v>2672</v>
      </c>
      <c r="R56" t="s">
        <v>2665</v>
      </c>
      <c r="S56" t="s">
        <v>2671</v>
      </c>
      <c r="T56" t="s">
        <v>2673</v>
      </c>
      <c r="U56" t="s">
        <v>2665</v>
      </c>
      <c r="V56" t="s">
        <v>2671</v>
      </c>
      <c r="W56" t="s">
        <v>2674</v>
      </c>
      <c r="X56" t="s">
        <v>2665</v>
      </c>
      <c r="Y56" t="s">
        <v>2054</v>
      </c>
      <c r="Z56" t="s">
        <v>1136</v>
      </c>
      <c r="AA56" t="s">
        <v>2742</v>
      </c>
      <c r="AB56" t="s">
        <v>2742</v>
      </c>
      <c r="AC56" t="s">
        <v>2665</v>
      </c>
      <c r="AD56" t="s">
        <v>2054</v>
      </c>
      <c r="AE56" t="s">
        <v>2054</v>
      </c>
    </row>
    <row r="57" spans="1:31" x14ac:dyDescent="0.25">
      <c r="A57" t="s">
        <v>1146</v>
      </c>
      <c r="B57" t="s">
        <v>1145</v>
      </c>
      <c r="C57" t="s">
        <v>2751</v>
      </c>
      <c r="D57" t="s">
        <v>1145</v>
      </c>
      <c r="E57" t="s">
        <v>2666</v>
      </c>
      <c r="F57" t="s">
        <v>2752</v>
      </c>
      <c r="G57" t="s">
        <v>2666</v>
      </c>
      <c r="H57" t="s">
        <v>2054</v>
      </c>
      <c r="I57" t="s">
        <v>2741</v>
      </c>
      <c r="J57" t="s">
        <v>2054</v>
      </c>
      <c r="K57" t="s">
        <v>2665</v>
      </c>
      <c r="L57" t="s">
        <v>1136</v>
      </c>
      <c r="M57" t="s">
        <v>2669</v>
      </c>
      <c r="N57" t="s">
        <v>2665</v>
      </c>
      <c r="O57" t="s">
        <v>2670</v>
      </c>
      <c r="P57" t="s">
        <v>2671</v>
      </c>
      <c r="Q57" t="s">
        <v>2672</v>
      </c>
      <c r="R57" t="s">
        <v>2665</v>
      </c>
      <c r="S57" t="s">
        <v>2671</v>
      </c>
      <c r="T57" t="s">
        <v>2673</v>
      </c>
      <c r="U57" t="s">
        <v>2665</v>
      </c>
      <c r="V57" t="s">
        <v>2671</v>
      </c>
      <c r="W57" t="s">
        <v>2674</v>
      </c>
      <c r="X57" t="s">
        <v>2665</v>
      </c>
      <c r="Y57" t="s">
        <v>2054</v>
      </c>
      <c r="Z57" t="s">
        <v>1136</v>
      </c>
      <c r="AA57" t="s">
        <v>2742</v>
      </c>
      <c r="AB57" t="s">
        <v>2742</v>
      </c>
      <c r="AC57" t="s">
        <v>2665</v>
      </c>
      <c r="AD57" t="s">
        <v>2054</v>
      </c>
      <c r="AE57" t="s">
        <v>2054</v>
      </c>
    </row>
    <row r="58" spans="1:31" x14ac:dyDescent="0.25">
      <c r="A58" t="s">
        <v>1148</v>
      </c>
      <c r="B58" t="s">
        <v>1147</v>
      </c>
      <c r="C58" t="s">
        <v>2753</v>
      </c>
      <c r="D58" t="s">
        <v>1147</v>
      </c>
      <c r="E58" t="s">
        <v>2666</v>
      </c>
      <c r="F58" t="s">
        <v>2754</v>
      </c>
      <c r="G58" t="s">
        <v>2666</v>
      </c>
      <c r="H58" t="s">
        <v>2054</v>
      </c>
      <c r="I58" t="s">
        <v>2741</v>
      </c>
      <c r="J58" t="s">
        <v>2054</v>
      </c>
      <c r="K58" t="s">
        <v>2665</v>
      </c>
      <c r="L58" t="s">
        <v>1136</v>
      </c>
      <c r="M58" t="s">
        <v>2669</v>
      </c>
      <c r="N58" t="s">
        <v>2665</v>
      </c>
      <c r="O58" t="s">
        <v>2670</v>
      </c>
      <c r="P58" t="s">
        <v>2671</v>
      </c>
      <c r="Q58" t="s">
        <v>2672</v>
      </c>
      <c r="R58" t="s">
        <v>2665</v>
      </c>
      <c r="S58" t="s">
        <v>2671</v>
      </c>
      <c r="T58" t="s">
        <v>2673</v>
      </c>
      <c r="U58" t="s">
        <v>2665</v>
      </c>
      <c r="V58" t="s">
        <v>2671</v>
      </c>
      <c r="W58" t="s">
        <v>2674</v>
      </c>
      <c r="X58" t="s">
        <v>2665</v>
      </c>
      <c r="Y58" t="s">
        <v>2054</v>
      </c>
      <c r="Z58" t="s">
        <v>1136</v>
      </c>
      <c r="AA58" t="s">
        <v>2742</v>
      </c>
      <c r="AB58" t="s">
        <v>2742</v>
      </c>
      <c r="AC58" t="s">
        <v>2665</v>
      </c>
      <c r="AD58" t="s">
        <v>2054</v>
      </c>
      <c r="AE58" t="s">
        <v>2054</v>
      </c>
    </row>
    <row r="59" spans="1:31" x14ac:dyDescent="0.25">
      <c r="A59" t="s">
        <v>1150</v>
      </c>
      <c r="B59" t="s">
        <v>1149</v>
      </c>
      <c r="C59" t="s">
        <v>2755</v>
      </c>
      <c r="D59" t="s">
        <v>1149</v>
      </c>
      <c r="E59" t="s">
        <v>2666</v>
      </c>
      <c r="F59" t="s">
        <v>2756</v>
      </c>
      <c r="G59" t="s">
        <v>2666</v>
      </c>
      <c r="H59" t="s">
        <v>2054</v>
      </c>
      <c r="I59" t="s">
        <v>2741</v>
      </c>
      <c r="J59" t="s">
        <v>2054</v>
      </c>
      <c r="K59" t="s">
        <v>2665</v>
      </c>
      <c r="L59" t="s">
        <v>1136</v>
      </c>
      <c r="M59" t="s">
        <v>2669</v>
      </c>
      <c r="N59" t="s">
        <v>2665</v>
      </c>
      <c r="O59" t="s">
        <v>2670</v>
      </c>
      <c r="P59" t="s">
        <v>2671</v>
      </c>
      <c r="Q59" t="s">
        <v>2672</v>
      </c>
      <c r="R59" t="s">
        <v>2665</v>
      </c>
      <c r="S59" t="s">
        <v>2671</v>
      </c>
      <c r="T59" t="s">
        <v>2673</v>
      </c>
      <c r="U59" t="s">
        <v>2665</v>
      </c>
      <c r="V59" t="s">
        <v>2671</v>
      </c>
      <c r="W59" t="s">
        <v>2674</v>
      </c>
      <c r="X59" t="s">
        <v>2665</v>
      </c>
      <c r="Y59" t="s">
        <v>2054</v>
      </c>
      <c r="Z59" t="s">
        <v>1136</v>
      </c>
      <c r="AA59" t="s">
        <v>2742</v>
      </c>
      <c r="AB59" t="s">
        <v>2742</v>
      </c>
      <c r="AC59" t="s">
        <v>2665</v>
      </c>
      <c r="AD59" t="s">
        <v>2054</v>
      </c>
      <c r="AE59" t="s">
        <v>2054</v>
      </c>
    </row>
    <row r="60" spans="1:31" x14ac:dyDescent="0.25">
      <c r="A60" t="s">
        <v>1152</v>
      </c>
      <c r="B60" t="s">
        <v>1151</v>
      </c>
      <c r="C60" t="s">
        <v>2757</v>
      </c>
      <c r="D60" t="s">
        <v>1151</v>
      </c>
      <c r="E60" t="s">
        <v>2666</v>
      </c>
      <c r="F60" t="s">
        <v>2758</v>
      </c>
      <c r="G60" t="s">
        <v>2666</v>
      </c>
      <c r="H60" t="s">
        <v>2054</v>
      </c>
      <c r="I60" t="s">
        <v>2741</v>
      </c>
      <c r="J60" t="s">
        <v>2054</v>
      </c>
      <c r="K60" t="s">
        <v>2665</v>
      </c>
      <c r="L60" t="s">
        <v>1136</v>
      </c>
      <c r="M60" t="s">
        <v>2669</v>
      </c>
      <c r="N60" t="s">
        <v>2665</v>
      </c>
      <c r="O60" t="s">
        <v>2670</v>
      </c>
      <c r="P60" t="s">
        <v>2671</v>
      </c>
      <c r="Q60" t="s">
        <v>2672</v>
      </c>
      <c r="R60" t="s">
        <v>2665</v>
      </c>
      <c r="S60" t="s">
        <v>2671</v>
      </c>
      <c r="T60" t="s">
        <v>2673</v>
      </c>
      <c r="U60" t="s">
        <v>2665</v>
      </c>
      <c r="V60" t="s">
        <v>2671</v>
      </c>
      <c r="W60" t="s">
        <v>2674</v>
      </c>
      <c r="X60" t="s">
        <v>2665</v>
      </c>
      <c r="Y60" t="s">
        <v>2054</v>
      </c>
      <c r="Z60" t="s">
        <v>1136</v>
      </c>
      <c r="AA60" t="s">
        <v>2742</v>
      </c>
      <c r="AB60" t="s">
        <v>2742</v>
      </c>
      <c r="AC60" t="s">
        <v>2665</v>
      </c>
      <c r="AD60" t="s">
        <v>2054</v>
      </c>
      <c r="AE60" t="s">
        <v>2054</v>
      </c>
    </row>
    <row r="61" spans="1:31" x14ac:dyDescent="0.25">
      <c r="A61" t="s">
        <v>1154</v>
      </c>
      <c r="B61" t="s">
        <v>1153</v>
      </c>
      <c r="C61" t="s">
        <v>2759</v>
      </c>
      <c r="D61" t="s">
        <v>1153</v>
      </c>
      <c r="E61" t="s">
        <v>2666</v>
      </c>
      <c r="F61" t="s">
        <v>2760</v>
      </c>
      <c r="G61" t="s">
        <v>2666</v>
      </c>
      <c r="H61" t="s">
        <v>2054</v>
      </c>
      <c r="I61" t="s">
        <v>2741</v>
      </c>
      <c r="J61" t="s">
        <v>2054</v>
      </c>
      <c r="K61" t="s">
        <v>2665</v>
      </c>
      <c r="L61" t="s">
        <v>1136</v>
      </c>
      <c r="M61" t="s">
        <v>2669</v>
      </c>
      <c r="N61" t="s">
        <v>2665</v>
      </c>
      <c r="O61" t="s">
        <v>2670</v>
      </c>
      <c r="P61" t="s">
        <v>2671</v>
      </c>
      <c r="Q61" t="s">
        <v>2672</v>
      </c>
      <c r="R61" t="s">
        <v>2665</v>
      </c>
      <c r="S61" t="s">
        <v>2671</v>
      </c>
      <c r="T61" t="s">
        <v>2673</v>
      </c>
      <c r="U61" t="s">
        <v>2665</v>
      </c>
      <c r="V61" t="s">
        <v>2671</v>
      </c>
      <c r="W61" t="s">
        <v>2674</v>
      </c>
      <c r="X61" t="s">
        <v>2665</v>
      </c>
      <c r="Y61" t="s">
        <v>2054</v>
      </c>
      <c r="Z61" t="s">
        <v>1136</v>
      </c>
      <c r="AA61" t="s">
        <v>2742</v>
      </c>
      <c r="AB61" t="s">
        <v>2742</v>
      </c>
      <c r="AC61" t="s">
        <v>2665</v>
      </c>
      <c r="AD61" t="s">
        <v>2054</v>
      </c>
      <c r="AE61" t="s">
        <v>2054</v>
      </c>
    </row>
    <row r="62" spans="1:31" x14ac:dyDescent="0.25">
      <c r="A62" t="s">
        <v>1155</v>
      </c>
      <c r="B62" t="s">
        <v>17</v>
      </c>
      <c r="C62" t="s">
        <v>2761</v>
      </c>
      <c r="D62" t="s">
        <v>17</v>
      </c>
      <c r="E62" t="s">
        <v>2666</v>
      </c>
      <c r="F62" t="s">
        <v>2762</v>
      </c>
      <c r="G62" t="s">
        <v>2666</v>
      </c>
      <c r="H62" t="s">
        <v>2054</v>
      </c>
      <c r="I62" t="s">
        <v>2741</v>
      </c>
      <c r="J62" t="s">
        <v>2054</v>
      </c>
      <c r="K62" t="s">
        <v>2665</v>
      </c>
      <c r="L62" t="s">
        <v>1136</v>
      </c>
      <c r="M62" t="s">
        <v>2669</v>
      </c>
      <c r="N62" t="s">
        <v>2665</v>
      </c>
      <c r="O62" t="s">
        <v>2670</v>
      </c>
      <c r="P62" t="s">
        <v>2671</v>
      </c>
      <c r="Q62" t="s">
        <v>2672</v>
      </c>
      <c r="R62" t="s">
        <v>2665</v>
      </c>
      <c r="S62" t="s">
        <v>2671</v>
      </c>
      <c r="T62" t="s">
        <v>2673</v>
      </c>
      <c r="U62" t="s">
        <v>2665</v>
      </c>
      <c r="V62" t="s">
        <v>2671</v>
      </c>
      <c r="W62" t="s">
        <v>2674</v>
      </c>
      <c r="X62" t="s">
        <v>2665</v>
      </c>
      <c r="Y62" t="s">
        <v>2054</v>
      </c>
      <c r="Z62" t="s">
        <v>1136</v>
      </c>
      <c r="AA62" t="s">
        <v>2763</v>
      </c>
      <c r="AB62" t="s">
        <v>2763</v>
      </c>
      <c r="AC62" t="s">
        <v>2665</v>
      </c>
      <c r="AD62" t="s">
        <v>2054</v>
      </c>
      <c r="AE62" t="s">
        <v>2054</v>
      </c>
    </row>
    <row r="63" spans="1:31" x14ac:dyDescent="0.25">
      <c r="A63" t="s">
        <v>1156</v>
      </c>
      <c r="B63" t="s">
        <v>18</v>
      </c>
      <c r="C63" t="s">
        <v>2764</v>
      </c>
      <c r="D63" t="s">
        <v>18</v>
      </c>
      <c r="E63" t="s">
        <v>2666</v>
      </c>
      <c r="F63" t="s">
        <v>2765</v>
      </c>
      <c r="G63" t="s">
        <v>2666</v>
      </c>
      <c r="H63" t="s">
        <v>2054</v>
      </c>
      <c r="I63" t="s">
        <v>2741</v>
      </c>
      <c r="J63" t="s">
        <v>2054</v>
      </c>
      <c r="K63" t="s">
        <v>2665</v>
      </c>
      <c r="L63" t="s">
        <v>1136</v>
      </c>
      <c r="M63" t="s">
        <v>2669</v>
      </c>
      <c r="N63" t="s">
        <v>2665</v>
      </c>
      <c r="O63" t="s">
        <v>2670</v>
      </c>
      <c r="P63" t="s">
        <v>2671</v>
      </c>
      <c r="Q63" t="s">
        <v>2672</v>
      </c>
      <c r="R63" t="s">
        <v>2665</v>
      </c>
      <c r="S63" t="s">
        <v>2671</v>
      </c>
      <c r="T63" t="s">
        <v>2673</v>
      </c>
      <c r="U63" t="s">
        <v>2665</v>
      </c>
      <c r="V63" t="s">
        <v>2671</v>
      </c>
      <c r="W63" t="s">
        <v>2674</v>
      </c>
      <c r="X63" t="s">
        <v>2665</v>
      </c>
      <c r="Y63" t="s">
        <v>2054</v>
      </c>
      <c r="Z63" t="s">
        <v>1136</v>
      </c>
      <c r="AA63" t="s">
        <v>2763</v>
      </c>
      <c r="AB63" t="s">
        <v>2763</v>
      </c>
      <c r="AC63" t="s">
        <v>2665</v>
      </c>
      <c r="AD63" t="s">
        <v>2054</v>
      </c>
      <c r="AE63" t="s">
        <v>2054</v>
      </c>
    </row>
    <row r="64" spans="1:31" x14ac:dyDescent="0.25">
      <c r="A64" t="s">
        <v>1158</v>
      </c>
      <c r="B64" t="s">
        <v>1157</v>
      </c>
      <c r="C64" t="s">
        <v>2766</v>
      </c>
      <c r="D64" t="s">
        <v>1157</v>
      </c>
      <c r="E64" t="s">
        <v>2666</v>
      </c>
      <c r="F64" t="s">
        <v>2740</v>
      </c>
      <c r="G64" t="s">
        <v>2666</v>
      </c>
      <c r="H64" t="s">
        <v>2054</v>
      </c>
      <c r="I64" t="s">
        <v>2741</v>
      </c>
      <c r="J64" t="s">
        <v>2054</v>
      </c>
      <c r="K64" t="s">
        <v>2665</v>
      </c>
      <c r="L64" t="s">
        <v>1136</v>
      </c>
      <c r="M64" t="s">
        <v>2669</v>
      </c>
      <c r="N64" t="s">
        <v>2665</v>
      </c>
      <c r="O64" t="s">
        <v>2670</v>
      </c>
      <c r="P64" t="s">
        <v>2671</v>
      </c>
      <c r="Q64" t="s">
        <v>2672</v>
      </c>
      <c r="R64" t="s">
        <v>2665</v>
      </c>
      <c r="S64" t="s">
        <v>2671</v>
      </c>
      <c r="T64" t="s">
        <v>2673</v>
      </c>
      <c r="U64" t="s">
        <v>2665</v>
      </c>
      <c r="V64" t="s">
        <v>2671</v>
      </c>
      <c r="W64" t="s">
        <v>2674</v>
      </c>
      <c r="X64" t="s">
        <v>2665</v>
      </c>
      <c r="Y64" t="s">
        <v>2054</v>
      </c>
      <c r="Z64" t="s">
        <v>1136</v>
      </c>
      <c r="AA64" t="s">
        <v>2742</v>
      </c>
      <c r="AB64" t="s">
        <v>2742</v>
      </c>
      <c r="AC64" t="s">
        <v>2665</v>
      </c>
      <c r="AD64" t="s">
        <v>2054</v>
      </c>
      <c r="AE64" t="s">
        <v>2054</v>
      </c>
    </row>
    <row r="65" spans="1:31" x14ac:dyDescent="0.25">
      <c r="A65" t="s">
        <v>1160</v>
      </c>
      <c r="B65" t="s">
        <v>1159</v>
      </c>
      <c r="C65" t="s">
        <v>2767</v>
      </c>
      <c r="D65" t="s">
        <v>1159</v>
      </c>
      <c r="E65" t="s">
        <v>2666</v>
      </c>
      <c r="F65" t="s">
        <v>2744</v>
      </c>
      <c r="G65" t="s">
        <v>2666</v>
      </c>
      <c r="H65" t="s">
        <v>2054</v>
      </c>
      <c r="I65" t="s">
        <v>2741</v>
      </c>
      <c r="J65" t="s">
        <v>2054</v>
      </c>
      <c r="K65" t="s">
        <v>2665</v>
      </c>
      <c r="L65" t="s">
        <v>1136</v>
      </c>
      <c r="M65" t="s">
        <v>2669</v>
      </c>
      <c r="N65" t="s">
        <v>2665</v>
      </c>
      <c r="O65" t="s">
        <v>2670</v>
      </c>
      <c r="P65" t="s">
        <v>2671</v>
      </c>
      <c r="Q65" t="s">
        <v>2672</v>
      </c>
      <c r="R65" t="s">
        <v>2665</v>
      </c>
      <c r="S65" t="s">
        <v>2671</v>
      </c>
      <c r="T65" t="s">
        <v>2673</v>
      </c>
      <c r="U65" t="s">
        <v>2665</v>
      </c>
      <c r="V65" t="s">
        <v>2671</v>
      </c>
      <c r="W65" t="s">
        <v>2674</v>
      </c>
      <c r="X65" t="s">
        <v>2665</v>
      </c>
      <c r="Y65" t="s">
        <v>2054</v>
      </c>
      <c r="Z65" t="s">
        <v>1136</v>
      </c>
      <c r="AA65" t="s">
        <v>2742</v>
      </c>
      <c r="AB65" t="s">
        <v>2742</v>
      </c>
      <c r="AC65" t="s">
        <v>2665</v>
      </c>
      <c r="AD65" t="s">
        <v>2054</v>
      </c>
      <c r="AE65" t="s">
        <v>2054</v>
      </c>
    </row>
    <row r="66" spans="1:31" x14ac:dyDescent="0.25">
      <c r="A66" t="s">
        <v>1162</v>
      </c>
      <c r="B66" t="s">
        <v>1161</v>
      </c>
      <c r="C66" t="s">
        <v>2768</v>
      </c>
      <c r="D66" t="s">
        <v>1161</v>
      </c>
      <c r="E66" t="s">
        <v>2666</v>
      </c>
      <c r="F66" t="s">
        <v>2746</v>
      </c>
      <c r="G66" t="s">
        <v>2666</v>
      </c>
      <c r="H66" t="s">
        <v>2054</v>
      </c>
      <c r="I66" t="s">
        <v>2741</v>
      </c>
      <c r="J66" t="s">
        <v>2054</v>
      </c>
      <c r="K66" t="s">
        <v>2665</v>
      </c>
      <c r="L66" t="s">
        <v>1136</v>
      </c>
      <c r="M66" t="s">
        <v>2669</v>
      </c>
      <c r="N66" t="s">
        <v>2665</v>
      </c>
      <c r="O66" t="s">
        <v>2670</v>
      </c>
      <c r="P66" t="s">
        <v>2671</v>
      </c>
      <c r="Q66" t="s">
        <v>2672</v>
      </c>
      <c r="R66" t="s">
        <v>2665</v>
      </c>
      <c r="S66" t="s">
        <v>2671</v>
      </c>
      <c r="T66" t="s">
        <v>2673</v>
      </c>
      <c r="U66" t="s">
        <v>2665</v>
      </c>
      <c r="V66" t="s">
        <v>2671</v>
      </c>
      <c r="W66" t="s">
        <v>2674</v>
      </c>
      <c r="X66" t="s">
        <v>2665</v>
      </c>
      <c r="Y66" t="s">
        <v>2054</v>
      </c>
      <c r="Z66" t="s">
        <v>1136</v>
      </c>
      <c r="AA66" t="s">
        <v>2742</v>
      </c>
      <c r="AB66" t="s">
        <v>2742</v>
      </c>
      <c r="AC66" t="s">
        <v>2665</v>
      </c>
      <c r="AD66" t="s">
        <v>2054</v>
      </c>
      <c r="AE66" t="s">
        <v>2054</v>
      </c>
    </row>
    <row r="67" spans="1:31" x14ac:dyDescent="0.25">
      <c r="A67" t="s">
        <v>1164</v>
      </c>
      <c r="B67" t="s">
        <v>1163</v>
      </c>
      <c r="C67" t="s">
        <v>2769</v>
      </c>
      <c r="D67" t="s">
        <v>1163</v>
      </c>
      <c r="E67" t="s">
        <v>2666</v>
      </c>
      <c r="F67" t="s">
        <v>2748</v>
      </c>
      <c r="G67" t="s">
        <v>2666</v>
      </c>
      <c r="H67" t="s">
        <v>2054</v>
      </c>
      <c r="I67" t="s">
        <v>2741</v>
      </c>
      <c r="J67" t="s">
        <v>2054</v>
      </c>
      <c r="K67" t="s">
        <v>2665</v>
      </c>
      <c r="L67" t="s">
        <v>1136</v>
      </c>
      <c r="M67" t="s">
        <v>2669</v>
      </c>
      <c r="N67" t="s">
        <v>2665</v>
      </c>
      <c r="O67" t="s">
        <v>2670</v>
      </c>
      <c r="P67" t="s">
        <v>2671</v>
      </c>
      <c r="Q67" t="s">
        <v>2672</v>
      </c>
      <c r="R67" t="s">
        <v>2665</v>
      </c>
      <c r="S67" t="s">
        <v>2671</v>
      </c>
      <c r="T67" t="s">
        <v>2673</v>
      </c>
      <c r="U67" t="s">
        <v>2665</v>
      </c>
      <c r="V67" t="s">
        <v>2671</v>
      </c>
      <c r="W67" t="s">
        <v>2674</v>
      </c>
      <c r="X67" t="s">
        <v>2665</v>
      </c>
      <c r="Y67" t="s">
        <v>2054</v>
      </c>
      <c r="Z67" t="s">
        <v>1136</v>
      </c>
      <c r="AA67" t="s">
        <v>2742</v>
      </c>
      <c r="AB67" t="s">
        <v>2742</v>
      </c>
      <c r="AC67" t="s">
        <v>2665</v>
      </c>
      <c r="AD67" t="s">
        <v>2054</v>
      </c>
      <c r="AE67" t="s">
        <v>2054</v>
      </c>
    </row>
    <row r="68" spans="1:31" x14ac:dyDescent="0.25">
      <c r="A68" t="s">
        <v>1166</v>
      </c>
      <c r="B68" t="s">
        <v>1165</v>
      </c>
      <c r="C68" t="s">
        <v>2770</v>
      </c>
      <c r="D68" t="s">
        <v>1165</v>
      </c>
      <c r="E68" t="s">
        <v>2666</v>
      </c>
      <c r="F68" t="s">
        <v>2750</v>
      </c>
      <c r="G68" t="s">
        <v>2666</v>
      </c>
      <c r="H68" t="s">
        <v>2054</v>
      </c>
      <c r="I68" t="s">
        <v>2741</v>
      </c>
      <c r="J68" t="s">
        <v>2054</v>
      </c>
      <c r="K68" t="s">
        <v>2665</v>
      </c>
      <c r="L68" t="s">
        <v>1136</v>
      </c>
      <c r="M68" t="s">
        <v>2669</v>
      </c>
      <c r="N68" t="s">
        <v>2665</v>
      </c>
      <c r="O68" t="s">
        <v>2670</v>
      </c>
      <c r="P68" t="s">
        <v>2671</v>
      </c>
      <c r="Q68" t="s">
        <v>2672</v>
      </c>
      <c r="R68" t="s">
        <v>2665</v>
      </c>
      <c r="S68" t="s">
        <v>2671</v>
      </c>
      <c r="T68" t="s">
        <v>2673</v>
      </c>
      <c r="U68" t="s">
        <v>2665</v>
      </c>
      <c r="V68" t="s">
        <v>2671</v>
      </c>
      <c r="W68" t="s">
        <v>2674</v>
      </c>
      <c r="X68" t="s">
        <v>2665</v>
      </c>
      <c r="Y68" t="s">
        <v>2054</v>
      </c>
      <c r="Z68" t="s">
        <v>1136</v>
      </c>
      <c r="AA68" t="s">
        <v>2742</v>
      </c>
      <c r="AB68" t="s">
        <v>2742</v>
      </c>
      <c r="AC68" t="s">
        <v>2665</v>
      </c>
      <c r="AD68" t="s">
        <v>2054</v>
      </c>
      <c r="AE68" t="s">
        <v>2054</v>
      </c>
    </row>
    <row r="69" spans="1:31" x14ac:dyDescent="0.25">
      <c r="A69" t="s">
        <v>1168</v>
      </c>
      <c r="B69" t="s">
        <v>1167</v>
      </c>
      <c r="C69" t="s">
        <v>2771</v>
      </c>
      <c r="D69" t="s">
        <v>1167</v>
      </c>
      <c r="E69" t="s">
        <v>2666</v>
      </c>
      <c r="F69" t="s">
        <v>2752</v>
      </c>
      <c r="G69" t="s">
        <v>2666</v>
      </c>
      <c r="H69" t="s">
        <v>2054</v>
      </c>
      <c r="I69" t="s">
        <v>2741</v>
      </c>
      <c r="J69" t="s">
        <v>2054</v>
      </c>
      <c r="K69" t="s">
        <v>2665</v>
      </c>
      <c r="L69" t="s">
        <v>1136</v>
      </c>
      <c r="M69" t="s">
        <v>2669</v>
      </c>
      <c r="N69" t="s">
        <v>2665</v>
      </c>
      <c r="O69" t="s">
        <v>2670</v>
      </c>
      <c r="P69" t="s">
        <v>2671</v>
      </c>
      <c r="Q69" t="s">
        <v>2672</v>
      </c>
      <c r="R69" t="s">
        <v>2665</v>
      </c>
      <c r="S69" t="s">
        <v>2671</v>
      </c>
      <c r="T69" t="s">
        <v>2673</v>
      </c>
      <c r="U69" t="s">
        <v>2665</v>
      </c>
      <c r="V69" t="s">
        <v>2671</v>
      </c>
      <c r="W69" t="s">
        <v>2674</v>
      </c>
      <c r="X69" t="s">
        <v>2665</v>
      </c>
      <c r="Y69" t="s">
        <v>2054</v>
      </c>
      <c r="Z69" t="s">
        <v>1136</v>
      </c>
      <c r="AA69" t="s">
        <v>2742</v>
      </c>
      <c r="AB69" t="s">
        <v>2742</v>
      </c>
      <c r="AC69" t="s">
        <v>2665</v>
      </c>
      <c r="AD69" t="s">
        <v>2054</v>
      </c>
      <c r="AE69" t="s">
        <v>2054</v>
      </c>
    </row>
    <row r="70" spans="1:31" x14ac:dyDescent="0.25">
      <c r="A70" t="s">
        <v>1170</v>
      </c>
      <c r="B70" t="s">
        <v>1169</v>
      </c>
      <c r="C70" t="s">
        <v>2772</v>
      </c>
      <c r="D70" t="s">
        <v>1169</v>
      </c>
      <c r="E70" t="s">
        <v>2666</v>
      </c>
      <c r="F70" t="s">
        <v>2754</v>
      </c>
      <c r="G70" t="s">
        <v>2666</v>
      </c>
      <c r="H70" t="s">
        <v>2054</v>
      </c>
      <c r="I70" t="s">
        <v>2741</v>
      </c>
      <c r="J70" t="s">
        <v>2054</v>
      </c>
      <c r="K70" t="s">
        <v>2665</v>
      </c>
      <c r="L70" t="s">
        <v>1136</v>
      </c>
      <c r="M70" t="s">
        <v>2669</v>
      </c>
      <c r="N70" t="s">
        <v>2665</v>
      </c>
      <c r="O70" t="s">
        <v>2670</v>
      </c>
      <c r="P70" t="s">
        <v>2671</v>
      </c>
      <c r="Q70" t="s">
        <v>2672</v>
      </c>
      <c r="R70" t="s">
        <v>2665</v>
      </c>
      <c r="S70" t="s">
        <v>2671</v>
      </c>
      <c r="T70" t="s">
        <v>2673</v>
      </c>
      <c r="U70" t="s">
        <v>2665</v>
      </c>
      <c r="V70" t="s">
        <v>2671</v>
      </c>
      <c r="W70" t="s">
        <v>2674</v>
      </c>
      <c r="X70" t="s">
        <v>2665</v>
      </c>
      <c r="Y70" t="s">
        <v>2054</v>
      </c>
      <c r="Z70" t="s">
        <v>1136</v>
      </c>
      <c r="AA70" t="s">
        <v>2742</v>
      </c>
      <c r="AB70" t="s">
        <v>2742</v>
      </c>
      <c r="AC70" t="s">
        <v>2665</v>
      </c>
      <c r="AD70" t="s">
        <v>2054</v>
      </c>
      <c r="AE70" t="s">
        <v>2054</v>
      </c>
    </row>
    <row r="71" spans="1:31" x14ac:dyDescent="0.25">
      <c r="A71" t="s">
        <v>1172</v>
      </c>
      <c r="B71" t="s">
        <v>1171</v>
      </c>
      <c r="C71" t="s">
        <v>2773</v>
      </c>
      <c r="D71" t="s">
        <v>1171</v>
      </c>
      <c r="E71" t="s">
        <v>2666</v>
      </c>
      <c r="F71" t="s">
        <v>2756</v>
      </c>
      <c r="G71" t="s">
        <v>2666</v>
      </c>
      <c r="H71" t="s">
        <v>2054</v>
      </c>
      <c r="I71" t="s">
        <v>2741</v>
      </c>
      <c r="J71" t="s">
        <v>2054</v>
      </c>
      <c r="K71" t="s">
        <v>2665</v>
      </c>
      <c r="L71" t="s">
        <v>1136</v>
      </c>
      <c r="M71" t="s">
        <v>2669</v>
      </c>
      <c r="N71" t="s">
        <v>2665</v>
      </c>
      <c r="O71" t="s">
        <v>2670</v>
      </c>
      <c r="P71" t="s">
        <v>2671</v>
      </c>
      <c r="Q71" t="s">
        <v>2672</v>
      </c>
      <c r="R71" t="s">
        <v>2665</v>
      </c>
      <c r="S71" t="s">
        <v>2671</v>
      </c>
      <c r="T71" t="s">
        <v>2673</v>
      </c>
      <c r="U71" t="s">
        <v>2665</v>
      </c>
      <c r="V71" t="s">
        <v>2671</v>
      </c>
      <c r="W71" t="s">
        <v>2674</v>
      </c>
      <c r="X71" t="s">
        <v>2665</v>
      </c>
      <c r="Y71" t="s">
        <v>2054</v>
      </c>
      <c r="Z71" t="s">
        <v>1136</v>
      </c>
      <c r="AA71" t="s">
        <v>2742</v>
      </c>
      <c r="AB71" t="s">
        <v>2742</v>
      </c>
      <c r="AC71" t="s">
        <v>2665</v>
      </c>
      <c r="AD71" t="s">
        <v>2054</v>
      </c>
      <c r="AE71" t="s">
        <v>2054</v>
      </c>
    </row>
    <row r="72" spans="1:31" x14ac:dyDescent="0.25">
      <c r="A72" t="s">
        <v>1174</v>
      </c>
      <c r="B72" t="s">
        <v>1173</v>
      </c>
      <c r="C72" t="s">
        <v>2774</v>
      </c>
      <c r="D72" t="s">
        <v>1173</v>
      </c>
      <c r="E72" t="s">
        <v>2666</v>
      </c>
      <c r="F72" t="s">
        <v>2758</v>
      </c>
      <c r="G72" t="s">
        <v>2666</v>
      </c>
      <c r="H72" t="s">
        <v>2054</v>
      </c>
      <c r="I72" t="s">
        <v>2741</v>
      </c>
      <c r="J72" t="s">
        <v>2054</v>
      </c>
      <c r="K72" t="s">
        <v>2665</v>
      </c>
      <c r="L72" t="s">
        <v>1136</v>
      </c>
      <c r="M72" t="s">
        <v>2669</v>
      </c>
      <c r="N72" t="s">
        <v>2665</v>
      </c>
      <c r="O72" t="s">
        <v>2670</v>
      </c>
      <c r="P72" t="s">
        <v>2671</v>
      </c>
      <c r="Q72" t="s">
        <v>2672</v>
      </c>
      <c r="R72" t="s">
        <v>2665</v>
      </c>
      <c r="S72" t="s">
        <v>2671</v>
      </c>
      <c r="T72" t="s">
        <v>2673</v>
      </c>
      <c r="U72" t="s">
        <v>2665</v>
      </c>
      <c r="V72" t="s">
        <v>2671</v>
      </c>
      <c r="W72" t="s">
        <v>2674</v>
      </c>
      <c r="X72" t="s">
        <v>2665</v>
      </c>
      <c r="Y72" t="s">
        <v>2054</v>
      </c>
      <c r="Z72" t="s">
        <v>1136</v>
      </c>
      <c r="AA72" t="s">
        <v>2742</v>
      </c>
      <c r="AB72" t="s">
        <v>2742</v>
      </c>
      <c r="AC72" t="s">
        <v>2665</v>
      </c>
      <c r="AD72" t="s">
        <v>2054</v>
      </c>
      <c r="AE72" t="s">
        <v>2054</v>
      </c>
    </row>
    <row r="73" spans="1:31" x14ac:dyDescent="0.25">
      <c r="A73" t="s">
        <v>1176</v>
      </c>
      <c r="B73" t="s">
        <v>1175</v>
      </c>
      <c r="C73" t="s">
        <v>2775</v>
      </c>
      <c r="D73" t="s">
        <v>1175</v>
      </c>
      <c r="E73" t="s">
        <v>2666</v>
      </c>
      <c r="F73" t="s">
        <v>2760</v>
      </c>
      <c r="G73" t="s">
        <v>2666</v>
      </c>
      <c r="H73" t="s">
        <v>2054</v>
      </c>
      <c r="I73" t="s">
        <v>2741</v>
      </c>
      <c r="J73" t="s">
        <v>2054</v>
      </c>
      <c r="K73" t="s">
        <v>2665</v>
      </c>
      <c r="L73" t="s">
        <v>1136</v>
      </c>
      <c r="M73" t="s">
        <v>2669</v>
      </c>
      <c r="N73" t="s">
        <v>2665</v>
      </c>
      <c r="O73" t="s">
        <v>2670</v>
      </c>
      <c r="P73" t="s">
        <v>2671</v>
      </c>
      <c r="Q73" t="s">
        <v>2672</v>
      </c>
      <c r="R73" t="s">
        <v>2665</v>
      </c>
      <c r="S73" t="s">
        <v>2671</v>
      </c>
      <c r="T73" t="s">
        <v>2673</v>
      </c>
      <c r="U73" t="s">
        <v>2665</v>
      </c>
      <c r="V73" t="s">
        <v>2671</v>
      </c>
      <c r="W73" t="s">
        <v>2674</v>
      </c>
      <c r="X73" t="s">
        <v>2665</v>
      </c>
      <c r="Y73" t="s">
        <v>2054</v>
      </c>
      <c r="Z73" t="s">
        <v>1136</v>
      </c>
      <c r="AA73" t="s">
        <v>2742</v>
      </c>
      <c r="AB73" t="s">
        <v>2742</v>
      </c>
      <c r="AC73" t="s">
        <v>2665</v>
      </c>
      <c r="AD73" t="s">
        <v>2054</v>
      </c>
      <c r="AE73" t="s">
        <v>2054</v>
      </c>
    </row>
    <row r="74" spans="1:31" x14ac:dyDescent="0.25">
      <c r="A74" t="s">
        <v>1178</v>
      </c>
      <c r="B74" t="s">
        <v>1177</v>
      </c>
      <c r="C74" t="s">
        <v>2776</v>
      </c>
      <c r="D74" t="s">
        <v>1177</v>
      </c>
      <c r="E74" t="s">
        <v>2666</v>
      </c>
      <c r="F74" t="s">
        <v>2777</v>
      </c>
      <c r="G74" t="s">
        <v>2666</v>
      </c>
      <c r="H74" t="s">
        <v>2054</v>
      </c>
      <c r="I74" t="s">
        <v>2778</v>
      </c>
      <c r="J74" t="s">
        <v>2054</v>
      </c>
      <c r="K74" t="s">
        <v>2665</v>
      </c>
      <c r="L74" t="s">
        <v>1179</v>
      </c>
      <c r="M74" t="s">
        <v>2669</v>
      </c>
      <c r="N74" t="s">
        <v>2665</v>
      </c>
      <c r="O74" t="s">
        <v>2670</v>
      </c>
      <c r="P74" t="s">
        <v>2671</v>
      </c>
      <c r="Q74" t="s">
        <v>2672</v>
      </c>
      <c r="R74" t="s">
        <v>2665</v>
      </c>
      <c r="S74" t="s">
        <v>2779</v>
      </c>
      <c r="T74" t="s">
        <v>2780</v>
      </c>
      <c r="U74" t="s">
        <v>2665</v>
      </c>
      <c r="V74" t="s">
        <v>2781</v>
      </c>
      <c r="W74" t="s">
        <v>2782</v>
      </c>
      <c r="X74" t="s">
        <v>2665</v>
      </c>
      <c r="Y74" t="s">
        <v>2054</v>
      </c>
      <c r="Z74" t="s">
        <v>1179</v>
      </c>
      <c r="AA74" t="s">
        <v>2783</v>
      </c>
      <c r="AB74" t="s">
        <v>2783</v>
      </c>
      <c r="AC74" t="s">
        <v>2665</v>
      </c>
      <c r="AD74" t="s">
        <v>2054</v>
      </c>
      <c r="AE74" t="s">
        <v>2054</v>
      </c>
    </row>
    <row r="75" spans="1:31" x14ac:dyDescent="0.25">
      <c r="A75" t="s">
        <v>1181</v>
      </c>
      <c r="B75" t="s">
        <v>1180</v>
      </c>
      <c r="C75" t="s">
        <v>2784</v>
      </c>
      <c r="D75" t="s">
        <v>1180</v>
      </c>
      <c r="E75" t="s">
        <v>2666</v>
      </c>
      <c r="F75" t="s">
        <v>2785</v>
      </c>
      <c r="G75" t="s">
        <v>2666</v>
      </c>
      <c r="H75" t="s">
        <v>2054</v>
      </c>
      <c r="I75" t="s">
        <v>2778</v>
      </c>
      <c r="J75" t="s">
        <v>2054</v>
      </c>
      <c r="K75" t="s">
        <v>2665</v>
      </c>
      <c r="L75" t="s">
        <v>1179</v>
      </c>
      <c r="M75" t="s">
        <v>2669</v>
      </c>
      <c r="N75" t="s">
        <v>2665</v>
      </c>
      <c r="O75" t="s">
        <v>2670</v>
      </c>
      <c r="P75" t="s">
        <v>2671</v>
      </c>
      <c r="Q75" t="s">
        <v>2672</v>
      </c>
      <c r="R75" t="s">
        <v>2665</v>
      </c>
      <c r="S75" t="s">
        <v>2779</v>
      </c>
      <c r="T75" t="s">
        <v>2780</v>
      </c>
      <c r="U75" t="s">
        <v>2665</v>
      </c>
      <c r="V75" t="s">
        <v>2781</v>
      </c>
      <c r="W75" t="s">
        <v>2782</v>
      </c>
      <c r="X75" t="s">
        <v>2665</v>
      </c>
      <c r="Y75" t="s">
        <v>2054</v>
      </c>
      <c r="Z75" t="s">
        <v>1179</v>
      </c>
      <c r="AA75" t="s">
        <v>2742</v>
      </c>
      <c r="AB75" t="s">
        <v>2742</v>
      </c>
      <c r="AC75" t="s">
        <v>2665</v>
      </c>
      <c r="AD75" t="s">
        <v>2054</v>
      </c>
      <c r="AE75" t="s">
        <v>2054</v>
      </c>
    </row>
    <row r="76" spans="1:31" x14ac:dyDescent="0.25">
      <c r="A76" t="s">
        <v>1183</v>
      </c>
      <c r="B76" t="s">
        <v>1182</v>
      </c>
      <c r="C76" t="s">
        <v>2786</v>
      </c>
      <c r="D76" t="s">
        <v>1182</v>
      </c>
      <c r="E76" t="s">
        <v>2666</v>
      </c>
      <c r="F76" t="s">
        <v>2787</v>
      </c>
      <c r="G76" t="s">
        <v>2666</v>
      </c>
      <c r="H76" t="s">
        <v>2054</v>
      </c>
      <c r="I76" t="s">
        <v>2778</v>
      </c>
      <c r="J76" t="s">
        <v>2054</v>
      </c>
      <c r="K76" t="s">
        <v>2665</v>
      </c>
      <c r="L76" t="s">
        <v>1179</v>
      </c>
      <c r="M76" t="s">
        <v>2669</v>
      </c>
      <c r="N76" t="s">
        <v>2665</v>
      </c>
      <c r="O76" t="s">
        <v>2670</v>
      </c>
      <c r="P76" t="s">
        <v>2671</v>
      </c>
      <c r="Q76" t="s">
        <v>2672</v>
      </c>
      <c r="R76" t="s">
        <v>2665</v>
      </c>
      <c r="S76" t="s">
        <v>2779</v>
      </c>
      <c r="T76" t="s">
        <v>2780</v>
      </c>
      <c r="U76" t="s">
        <v>2665</v>
      </c>
      <c r="V76" t="s">
        <v>2781</v>
      </c>
      <c r="W76" t="s">
        <v>2782</v>
      </c>
      <c r="X76" t="s">
        <v>2665</v>
      </c>
      <c r="Y76" t="s">
        <v>2054</v>
      </c>
      <c r="Z76" t="s">
        <v>1179</v>
      </c>
      <c r="AA76" t="s">
        <v>2788</v>
      </c>
      <c r="AB76" t="s">
        <v>2788</v>
      </c>
      <c r="AC76" t="s">
        <v>2665</v>
      </c>
      <c r="AD76" t="s">
        <v>2054</v>
      </c>
      <c r="AE76" t="s">
        <v>2718</v>
      </c>
    </row>
    <row r="77" spans="1:31" x14ac:dyDescent="0.25">
      <c r="A77" t="s">
        <v>1184</v>
      </c>
      <c r="B77" t="s">
        <v>20</v>
      </c>
      <c r="C77" t="s">
        <v>2789</v>
      </c>
      <c r="D77" t="s">
        <v>20</v>
      </c>
      <c r="E77" t="s">
        <v>2666</v>
      </c>
      <c r="F77" t="s">
        <v>2790</v>
      </c>
      <c r="G77" t="s">
        <v>2666</v>
      </c>
      <c r="H77" t="s">
        <v>2054</v>
      </c>
      <c r="I77" t="s">
        <v>2778</v>
      </c>
      <c r="J77" t="s">
        <v>2054</v>
      </c>
      <c r="K77" t="s">
        <v>2665</v>
      </c>
      <c r="L77" t="s">
        <v>1179</v>
      </c>
      <c r="M77" t="s">
        <v>2669</v>
      </c>
      <c r="N77" t="s">
        <v>2665</v>
      </c>
      <c r="O77" t="s">
        <v>2670</v>
      </c>
      <c r="P77" t="s">
        <v>2671</v>
      </c>
      <c r="Q77" t="s">
        <v>2672</v>
      </c>
      <c r="R77" t="s">
        <v>2665</v>
      </c>
      <c r="S77" t="s">
        <v>2779</v>
      </c>
      <c r="T77" t="s">
        <v>2780</v>
      </c>
      <c r="U77" t="s">
        <v>2665</v>
      </c>
      <c r="V77" t="s">
        <v>2781</v>
      </c>
      <c r="W77" t="s">
        <v>2782</v>
      </c>
      <c r="X77" t="s">
        <v>2665</v>
      </c>
      <c r="Y77" t="s">
        <v>2054</v>
      </c>
      <c r="Z77" t="s">
        <v>1179</v>
      </c>
      <c r="AA77" t="s">
        <v>2791</v>
      </c>
      <c r="AB77" t="s">
        <v>2791</v>
      </c>
      <c r="AC77" t="s">
        <v>2665</v>
      </c>
      <c r="AD77" t="s">
        <v>2054</v>
      </c>
      <c r="AE77" t="s">
        <v>2054</v>
      </c>
    </row>
    <row r="78" spans="1:31" x14ac:dyDescent="0.25">
      <c r="A78" t="s">
        <v>1186</v>
      </c>
      <c r="B78" t="s">
        <v>1185</v>
      </c>
      <c r="C78" t="s">
        <v>2792</v>
      </c>
      <c r="D78" t="s">
        <v>1185</v>
      </c>
      <c r="E78" t="s">
        <v>2666</v>
      </c>
      <c r="F78" t="s">
        <v>2793</v>
      </c>
      <c r="G78" t="s">
        <v>2666</v>
      </c>
      <c r="H78" t="s">
        <v>2054</v>
      </c>
      <c r="I78" t="s">
        <v>2741</v>
      </c>
      <c r="J78" t="s">
        <v>2054</v>
      </c>
      <c r="K78" t="s">
        <v>2665</v>
      </c>
      <c r="L78" t="s">
        <v>1136</v>
      </c>
      <c r="M78" t="s">
        <v>2669</v>
      </c>
      <c r="N78" t="s">
        <v>2665</v>
      </c>
      <c r="O78" t="s">
        <v>2670</v>
      </c>
      <c r="P78" t="s">
        <v>2671</v>
      </c>
      <c r="Q78" t="s">
        <v>2672</v>
      </c>
      <c r="R78" t="s">
        <v>2665</v>
      </c>
      <c r="S78" t="s">
        <v>2779</v>
      </c>
      <c r="T78" t="s">
        <v>2780</v>
      </c>
      <c r="U78" t="s">
        <v>2665</v>
      </c>
      <c r="V78" t="s">
        <v>2779</v>
      </c>
      <c r="W78" t="s">
        <v>2794</v>
      </c>
      <c r="X78" t="s">
        <v>2665</v>
      </c>
      <c r="Y78" t="s">
        <v>2054</v>
      </c>
      <c r="Z78" t="s">
        <v>1136</v>
      </c>
      <c r="AA78" t="s">
        <v>2795</v>
      </c>
      <c r="AB78" t="s">
        <v>2795</v>
      </c>
      <c r="AC78" t="s">
        <v>2665</v>
      </c>
      <c r="AD78" t="s">
        <v>2054</v>
      </c>
      <c r="AE78" t="s">
        <v>2054</v>
      </c>
    </row>
    <row r="79" spans="1:31" x14ac:dyDescent="0.25">
      <c r="A79" t="s">
        <v>1188</v>
      </c>
      <c r="B79" t="s">
        <v>1187</v>
      </c>
      <c r="C79" t="s">
        <v>2796</v>
      </c>
      <c r="D79" t="s">
        <v>1187</v>
      </c>
      <c r="E79" t="s">
        <v>2666</v>
      </c>
      <c r="F79" t="s">
        <v>2705</v>
      </c>
      <c r="G79" t="s">
        <v>2666</v>
      </c>
      <c r="H79" t="s">
        <v>2054</v>
      </c>
      <c r="I79" t="s">
        <v>2741</v>
      </c>
      <c r="J79" t="s">
        <v>2054</v>
      </c>
      <c r="K79" t="s">
        <v>2665</v>
      </c>
      <c r="L79" t="s">
        <v>1136</v>
      </c>
      <c r="M79" t="s">
        <v>2669</v>
      </c>
      <c r="N79" t="s">
        <v>2665</v>
      </c>
      <c r="O79" t="s">
        <v>2670</v>
      </c>
      <c r="P79" t="s">
        <v>2671</v>
      </c>
      <c r="Q79" t="s">
        <v>2672</v>
      </c>
      <c r="R79" t="s">
        <v>2665</v>
      </c>
      <c r="S79" t="s">
        <v>2779</v>
      </c>
      <c r="T79" t="s">
        <v>2780</v>
      </c>
      <c r="U79" t="s">
        <v>2665</v>
      </c>
      <c r="V79" t="s">
        <v>2779</v>
      </c>
      <c r="W79" t="s">
        <v>2794</v>
      </c>
      <c r="X79" t="s">
        <v>2665</v>
      </c>
      <c r="Y79" t="s">
        <v>2054</v>
      </c>
      <c r="Z79" t="s">
        <v>1136</v>
      </c>
      <c r="AA79" t="s">
        <v>2797</v>
      </c>
      <c r="AB79" t="s">
        <v>2797</v>
      </c>
      <c r="AC79" t="s">
        <v>2665</v>
      </c>
      <c r="AD79" t="s">
        <v>2054</v>
      </c>
      <c r="AE79" t="s">
        <v>2054</v>
      </c>
    </row>
    <row r="80" spans="1:31" x14ac:dyDescent="0.25">
      <c r="A80" t="s">
        <v>1190</v>
      </c>
      <c r="B80" t="s">
        <v>1189</v>
      </c>
      <c r="C80" t="s">
        <v>2798</v>
      </c>
      <c r="D80" t="s">
        <v>1189</v>
      </c>
      <c r="E80" t="s">
        <v>2666</v>
      </c>
      <c r="F80" t="s">
        <v>2799</v>
      </c>
      <c r="G80" t="s">
        <v>2666</v>
      </c>
      <c r="H80" t="s">
        <v>2054</v>
      </c>
      <c r="I80" t="s">
        <v>2741</v>
      </c>
      <c r="J80" t="s">
        <v>2054</v>
      </c>
      <c r="K80" t="s">
        <v>2665</v>
      </c>
      <c r="L80" t="s">
        <v>1136</v>
      </c>
      <c r="M80" t="s">
        <v>2669</v>
      </c>
      <c r="N80" t="s">
        <v>2665</v>
      </c>
      <c r="O80" t="s">
        <v>2670</v>
      </c>
      <c r="P80" t="s">
        <v>2671</v>
      </c>
      <c r="Q80" t="s">
        <v>2672</v>
      </c>
      <c r="R80" t="s">
        <v>2665</v>
      </c>
      <c r="S80" t="s">
        <v>2779</v>
      </c>
      <c r="T80" t="s">
        <v>2780</v>
      </c>
      <c r="U80" t="s">
        <v>2665</v>
      </c>
      <c r="V80" t="s">
        <v>2779</v>
      </c>
      <c r="W80" t="s">
        <v>2794</v>
      </c>
      <c r="X80" t="s">
        <v>2665</v>
      </c>
      <c r="Y80" t="s">
        <v>2054</v>
      </c>
      <c r="Z80" t="s">
        <v>1136</v>
      </c>
      <c r="AA80" t="s">
        <v>2797</v>
      </c>
      <c r="AB80" t="s">
        <v>2797</v>
      </c>
      <c r="AC80" t="s">
        <v>2665</v>
      </c>
      <c r="AD80" t="s">
        <v>2054</v>
      </c>
      <c r="AE80" t="s">
        <v>2054</v>
      </c>
    </row>
    <row r="81" spans="1:31" x14ac:dyDescent="0.25">
      <c r="A81" t="s">
        <v>1192</v>
      </c>
      <c r="B81" t="s">
        <v>1191</v>
      </c>
      <c r="C81" t="s">
        <v>2800</v>
      </c>
      <c r="D81" t="s">
        <v>1191</v>
      </c>
      <c r="E81" t="s">
        <v>2666</v>
      </c>
      <c r="F81" t="s">
        <v>2801</v>
      </c>
      <c r="G81" t="s">
        <v>2666</v>
      </c>
      <c r="H81" t="s">
        <v>2054</v>
      </c>
      <c r="I81" t="s">
        <v>2741</v>
      </c>
      <c r="J81" t="s">
        <v>2054</v>
      </c>
      <c r="K81" t="s">
        <v>2665</v>
      </c>
      <c r="L81" t="s">
        <v>1136</v>
      </c>
      <c r="M81" t="s">
        <v>2669</v>
      </c>
      <c r="N81" t="s">
        <v>2665</v>
      </c>
      <c r="O81" t="s">
        <v>2670</v>
      </c>
      <c r="P81" t="s">
        <v>2671</v>
      </c>
      <c r="Q81" t="s">
        <v>2672</v>
      </c>
      <c r="R81" t="s">
        <v>2665</v>
      </c>
      <c r="S81" t="s">
        <v>2779</v>
      </c>
      <c r="T81" t="s">
        <v>2780</v>
      </c>
      <c r="U81" t="s">
        <v>2665</v>
      </c>
      <c r="V81" t="s">
        <v>2779</v>
      </c>
      <c r="W81" t="s">
        <v>2794</v>
      </c>
      <c r="X81" t="s">
        <v>2665</v>
      </c>
      <c r="Y81" t="s">
        <v>2054</v>
      </c>
      <c r="Z81" t="s">
        <v>1136</v>
      </c>
      <c r="AA81" t="s">
        <v>2797</v>
      </c>
      <c r="AB81" t="s">
        <v>2797</v>
      </c>
      <c r="AC81" t="s">
        <v>2665</v>
      </c>
      <c r="AD81" t="s">
        <v>2054</v>
      </c>
      <c r="AE81" t="s">
        <v>2726</v>
      </c>
    </row>
    <row r="82" spans="1:31" x14ac:dyDescent="0.25">
      <c r="A82" t="s">
        <v>2802</v>
      </c>
      <c r="B82" t="s">
        <v>2803</v>
      </c>
      <c r="C82" t="s">
        <v>2804</v>
      </c>
      <c r="D82" t="s">
        <v>2803</v>
      </c>
      <c r="E82" t="s">
        <v>2666</v>
      </c>
      <c r="F82" t="s">
        <v>2805</v>
      </c>
      <c r="G82" t="s">
        <v>2666</v>
      </c>
      <c r="H82" t="s">
        <v>2054</v>
      </c>
      <c r="I82" t="s">
        <v>2778</v>
      </c>
      <c r="J82" t="s">
        <v>2054</v>
      </c>
      <c r="K82" t="s">
        <v>2665</v>
      </c>
      <c r="L82" t="s">
        <v>1179</v>
      </c>
      <c r="M82" t="s">
        <v>2669</v>
      </c>
      <c r="N82" t="s">
        <v>2665</v>
      </c>
      <c r="O82" t="s">
        <v>2670</v>
      </c>
      <c r="P82" t="s">
        <v>2671</v>
      </c>
      <c r="Q82" t="s">
        <v>2672</v>
      </c>
      <c r="R82" t="s">
        <v>2665</v>
      </c>
      <c r="S82" t="s">
        <v>2779</v>
      </c>
      <c r="T82" t="s">
        <v>2780</v>
      </c>
      <c r="U82" t="s">
        <v>2665</v>
      </c>
      <c r="V82" t="s">
        <v>2779</v>
      </c>
      <c r="W82" t="s">
        <v>2794</v>
      </c>
      <c r="X82" t="s">
        <v>2665</v>
      </c>
      <c r="Y82" t="s">
        <v>2054</v>
      </c>
      <c r="Z82" t="s">
        <v>1179</v>
      </c>
      <c r="AA82" t="s">
        <v>2742</v>
      </c>
      <c r="AB82" t="s">
        <v>2742</v>
      </c>
      <c r="AC82" t="s">
        <v>2665</v>
      </c>
      <c r="AD82" t="s">
        <v>2054</v>
      </c>
      <c r="AE82" t="s">
        <v>2054</v>
      </c>
    </row>
    <row r="83" spans="1:31" x14ac:dyDescent="0.25">
      <c r="A83" t="s">
        <v>2806</v>
      </c>
      <c r="B83" t="s">
        <v>2807</v>
      </c>
      <c r="C83" t="s">
        <v>2808</v>
      </c>
      <c r="D83" t="s">
        <v>2807</v>
      </c>
      <c r="E83" t="s">
        <v>2666</v>
      </c>
      <c r="F83" t="s">
        <v>2809</v>
      </c>
      <c r="G83" t="s">
        <v>2666</v>
      </c>
      <c r="H83" t="s">
        <v>2054</v>
      </c>
      <c r="I83" t="s">
        <v>2778</v>
      </c>
      <c r="J83" t="s">
        <v>2054</v>
      </c>
      <c r="K83" t="s">
        <v>2665</v>
      </c>
      <c r="L83" t="s">
        <v>1179</v>
      </c>
      <c r="M83" t="s">
        <v>2669</v>
      </c>
      <c r="N83" t="s">
        <v>2665</v>
      </c>
      <c r="O83" t="s">
        <v>2670</v>
      </c>
      <c r="P83" t="s">
        <v>2671</v>
      </c>
      <c r="Q83" t="s">
        <v>2672</v>
      </c>
      <c r="R83" t="s">
        <v>2665</v>
      </c>
      <c r="S83" t="s">
        <v>2779</v>
      </c>
      <c r="T83" t="s">
        <v>2780</v>
      </c>
      <c r="U83" t="s">
        <v>2665</v>
      </c>
      <c r="V83" t="s">
        <v>2779</v>
      </c>
      <c r="W83" t="s">
        <v>2794</v>
      </c>
      <c r="X83" t="s">
        <v>2665</v>
      </c>
      <c r="Y83" t="s">
        <v>2054</v>
      </c>
      <c r="Z83" t="s">
        <v>1179</v>
      </c>
      <c r="AA83" t="s">
        <v>2742</v>
      </c>
      <c r="AB83" t="s">
        <v>2742</v>
      </c>
      <c r="AC83" t="s">
        <v>2665</v>
      </c>
      <c r="AD83" t="s">
        <v>2054</v>
      </c>
      <c r="AE83" t="s">
        <v>2054</v>
      </c>
    </row>
    <row r="84" spans="1:31" x14ac:dyDescent="0.25">
      <c r="A84" t="s">
        <v>2810</v>
      </c>
      <c r="B84" t="s">
        <v>2811</v>
      </c>
      <c r="C84" t="s">
        <v>2812</v>
      </c>
      <c r="D84" t="s">
        <v>2811</v>
      </c>
      <c r="E84" t="s">
        <v>2666</v>
      </c>
      <c r="F84" t="s">
        <v>2666</v>
      </c>
      <c r="G84" t="s">
        <v>2666</v>
      </c>
      <c r="H84" t="s">
        <v>2054</v>
      </c>
      <c r="I84" t="s">
        <v>2778</v>
      </c>
      <c r="J84" t="s">
        <v>2054</v>
      </c>
      <c r="K84" t="s">
        <v>2665</v>
      </c>
      <c r="L84" t="s">
        <v>1179</v>
      </c>
      <c r="M84" t="s">
        <v>2669</v>
      </c>
      <c r="N84" t="s">
        <v>2665</v>
      </c>
      <c r="O84" t="s">
        <v>2670</v>
      </c>
      <c r="P84" t="s">
        <v>2671</v>
      </c>
      <c r="Q84" t="s">
        <v>2672</v>
      </c>
      <c r="R84" t="s">
        <v>2665</v>
      </c>
      <c r="S84" t="s">
        <v>2779</v>
      </c>
      <c r="T84" t="s">
        <v>2780</v>
      </c>
      <c r="U84" t="s">
        <v>2665</v>
      </c>
      <c r="V84" t="s">
        <v>2779</v>
      </c>
      <c r="W84" t="s">
        <v>2794</v>
      </c>
      <c r="X84" t="s">
        <v>2665</v>
      </c>
      <c r="Y84" t="s">
        <v>2054</v>
      </c>
      <c r="Z84" t="s">
        <v>1179</v>
      </c>
      <c r="AA84" t="s">
        <v>2742</v>
      </c>
      <c r="AB84" t="s">
        <v>2742</v>
      </c>
      <c r="AC84" t="s">
        <v>2665</v>
      </c>
      <c r="AD84" t="s">
        <v>2054</v>
      </c>
      <c r="AE84" t="s">
        <v>2718</v>
      </c>
    </row>
    <row r="85" spans="1:31" x14ac:dyDescent="0.25">
      <c r="A85" t="s">
        <v>2813</v>
      </c>
      <c r="B85" t="s">
        <v>2814</v>
      </c>
      <c r="C85" t="s">
        <v>2815</v>
      </c>
      <c r="D85" t="s">
        <v>2814</v>
      </c>
      <c r="E85" t="s">
        <v>2705</v>
      </c>
      <c r="F85" t="s">
        <v>2712</v>
      </c>
      <c r="G85" t="s">
        <v>2666</v>
      </c>
      <c r="H85" t="s">
        <v>2054</v>
      </c>
      <c r="I85" t="s">
        <v>2778</v>
      </c>
      <c r="J85" t="s">
        <v>2054</v>
      </c>
      <c r="K85" t="s">
        <v>2665</v>
      </c>
      <c r="L85" t="s">
        <v>1179</v>
      </c>
      <c r="M85" t="s">
        <v>2669</v>
      </c>
      <c r="N85" t="s">
        <v>2665</v>
      </c>
      <c r="O85" t="s">
        <v>2670</v>
      </c>
      <c r="P85" t="s">
        <v>2671</v>
      </c>
      <c r="Q85" t="s">
        <v>2672</v>
      </c>
      <c r="R85" t="s">
        <v>2665</v>
      </c>
      <c r="S85" t="s">
        <v>2779</v>
      </c>
      <c r="T85" t="s">
        <v>2780</v>
      </c>
      <c r="U85" t="s">
        <v>2665</v>
      </c>
      <c r="V85" t="s">
        <v>2779</v>
      </c>
      <c r="W85" t="s">
        <v>2794</v>
      </c>
      <c r="X85" t="s">
        <v>2665</v>
      </c>
      <c r="Y85" t="s">
        <v>2054</v>
      </c>
      <c r="Z85" t="s">
        <v>1179</v>
      </c>
      <c r="AA85" t="s">
        <v>2742</v>
      </c>
      <c r="AB85" t="s">
        <v>2742</v>
      </c>
      <c r="AC85" t="s">
        <v>2665</v>
      </c>
      <c r="AD85" t="s">
        <v>2054</v>
      </c>
      <c r="AE85" t="s">
        <v>2718</v>
      </c>
    </row>
    <row r="86" spans="1:31" x14ac:dyDescent="0.25">
      <c r="A86" t="s">
        <v>2816</v>
      </c>
      <c r="B86" t="s">
        <v>2817</v>
      </c>
      <c r="C86" t="s">
        <v>2818</v>
      </c>
      <c r="D86" t="s">
        <v>2817</v>
      </c>
      <c r="E86" t="s">
        <v>2705</v>
      </c>
      <c r="F86" t="s">
        <v>2819</v>
      </c>
      <c r="G86" t="s">
        <v>2666</v>
      </c>
      <c r="H86" t="s">
        <v>2054</v>
      </c>
      <c r="I86" t="s">
        <v>2778</v>
      </c>
      <c r="J86" t="s">
        <v>2054</v>
      </c>
      <c r="K86" t="s">
        <v>2665</v>
      </c>
      <c r="L86" t="s">
        <v>1179</v>
      </c>
      <c r="M86" t="s">
        <v>2669</v>
      </c>
      <c r="N86" t="s">
        <v>2665</v>
      </c>
      <c r="O86" t="s">
        <v>2670</v>
      </c>
      <c r="P86" t="s">
        <v>2671</v>
      </c>
      <c r="Q86" t="s">
        <v>2672</v>
      </c>
      <c r="R86" t="s">
        <v>2665</v>
      </c>
      <c r="S86" t="s">
        <v>2779</v>
      </c>
      <c r="T86" t="s">
        <v>2780</v>
      </c>
      <c r="U86" t="s">
        <v>2665</v>
      </c>
      <c r="V86" t="s">
        <v>2779</v>
      </c>
      <c r="W86" t="s">
        <v>2794</v>
      </c>
      <c r="X86" t="s">
        <v>2665</v>
      </c>
      <c r="Y86" t="s">
        <v>2054</v>
      </c>
      <c r="Z86" t="s">
        <v>1179</v>
      </c>
      <c r="AA86" t="s">
        <v>2742</v>
      </c>
      <c r="AB86" t="s">
        <v>2742</v>
      </c>
      <c r="AC86" t="s">
        <v>2665</v>
      </c>
      <c r="AD86" t="s">
        <v>2054</v>
      </c>
      <c r="AE86" t="s">
        <v>2054</v>
      </c>
    </row>
    <row r="87" spans="1:31" x14ac:dyDescent="0.25">
      <c r="A87" t="s">
        <v>1194</v>
      </c>
      <c r="B87" t="s">
        <v>1193</v>
      </c>
      <c r="C87" t="s">
        <v>2820</v>
      </c>
      <c r="D87" t="s">
        <v>1193</v>
      </c>
      <c r="E87" t="s">
        <v>2666</v>
      </c>
      <c r="F87" t="s">
        <v>2821</v>
      </c>
      <c r="G87" t="s">
        <v>2666</v>
      </c>
      <c r="H87" t="s">
        <v>2054</v>
      </c>
      <c r="I87" t="s">
        <v>2741</v>
      </c>
      <c r="J87" t="s">
        <v>2054</v>
      </c>
      <c r="K87" t="s">
        <v>2665</v>
      </c>
      <c r="L87" t="s">
        <v>1136</v>
      </c>
      <c r="M87" t="s">
        <v>2669</v>
      </c>
      <c r="N87" t="s">
        <v>2665</v>
      </c>
      <c r="O87" t="s">
        <v>2670</v>
      </c>
      <c r="P87" t="s">
        <v>2671</v>
      </c>
      <c r="Q87" t="s">
        <v>2672</v>
      </c>
      <c r="R87" t="s">
        <v>2665</v>
      </c>
      <c r="S87" t="s">
        <v>2779</v>
      </c>
      <c r="T87" t="s">
        <v>2780</v>
      </c>
      <c r="U87" t="s">
        <v>2665</v>
      </c>
      <c r="V87" t="s">
        <v>2779</v>
      </c>
      <c r="W87" t="s">
        <v>2794</v>
      </c>
      <c r="X87" t="s">
        <v>2665</v>
      </c>
      <c r="Y87" t="s">
        <v>2054</v>
      </c>
      <c r="Z87" t="s">
        <v>1136</v>
      </c>
      <c r="AA87" t="s">
        <v>2795</v>
      </c>
      <c r="AB87" t="s">
        <v>2795</v>
      </c>
      <c r="AC87" t="s">
        <v>2665</v>
      </c>
      <c r="AD87" t="s">
        <v>2054</v>
      </c>
      <c r="AE87" t="s">
        <v>2054</v>
      </c>
    </row>
    <row r="88" spans="1:31" x14ac:dyDescent="0.25">
      <c r="A88" t="s">
        <v>1196</v>
      </c>
      <c r="B88" t="s">
        <v>1195</v>
      </c>
      <c r="C88" t="s">
        <v>2822</v>
      </c>
      <c r="D88" t="s">
        <v>1195</v>
      </c>
      <c r="E88" t="s">
        <v>2666</v>
      </c>
      <c r="F88" t="s">
        <v>2705</v>
      </c>
      <c r="G88" t="s">
        <v>2666</v>
      </c>
      <c r="H88" t="s">
        <v>2054</v>
      </c>
      <c r="I88" t="s">
        <v>2741</v>
      </c>
      <c r="J88" t="s">
        <v>2054</v>
      </c>
      <c r="K88" t="s">
        <v>2665</v>
      </c>
      <c r="L88" t="s">
        <v>1136</v>
      </c>
      <c r="M88" t="s">
        <v>2669</v>
      </c>
      <c r="N88" t="s">
        <v>2665</v>
      </c>
      <c r="O88" t="s">
        <v>2670</v>
      </c>
      <c r="P88" t="s">
        <v>2671</v>
      </c>
      <c r="Q88" t="s">
        <v>2672</v>
      </c>
      <c r="R88" t="s">
        <v>2665</v>
      </c>
      <c r="S88" t="s">
        <v>2779</v>
      </c>
      <c r="T88" t="s">
        <v>2780</v>
      </c>
      <c r="U88" t="s">
        <v>2665</v>
      </c>
      <c r="V88" t="s">
        <v>2779</v>
      </c>
      <c r="W88" t="s">
        <v>2794</v>
      </c>
      <c r="X88" t="s">
        <v>2665</v>
      </c>
      <c r="Y88" t="s">
        <v>2054</v>
      </c>
      <c r="Z88" t="s">
        <v>1136</v>
      </c>
      <c r="AA88" t="s">
        <v>2795</v>
      </c>
      <c r="AB88" t="s">
        <v>2795</v>
      </c>
      <c r="AC88" t="s">
        <v>2665</v>
      </c>
      <c r="AD88" t="s">
        <v>2054</v>
      </c>
      <c r="AE88" t="s">
        <v>2726</v>
      </c>
    </row>
    <row r="89" spans="1:31" x14ac:dyDescent="0.25">
      <c r="A89" t="s">
        <v>1198</v>
      </c>
      <c r="B89" t="s">
        <v>1197</v>
      </c>
      <c r="C89" t="s">
        <v>2823</v>
      </c>
      <c r="D89" t="s">
        <v>1197</v>
      </c>
      <c r="E89" t="s">
        <v>2666</v>
      </c>
      <c r="F89" t="s">
        <v>2793</v>
      </c>
      <c r="G89" t="s">
        <v>2666</v>
      </c>
      <c r="H89" t="s">
        <v>2054</v>
      </c>
      <c r="I89" t="s">
        <v>2778</v>
      </c>
      <c r="J89" t="s">
        <v>2054</v>
      </c>
      <c r="K89" t="s">
        <v>2665</v>
      </c>
      <c r="L89" t="s">
        <v>1179</v>
      </c>
      <c r="M89" t="s">
        <v>2669</v>
      </c>
      <c r="N89" t="s">
        <v>2665</v>
      </c>
      <c r="O89" t="s">
        <v>2670</v>
      </c>
      <c r="P89" t="s">
        <v>2671</v>
      </c>
      <c r="Q89" t="s">
        <v>2672</v>
      </c>
      <c r="R89" t="s">
        <v>2665</v>
      </c>
      <c r="S89" t="s">
        <v>2779</v>
      </c>
      <c r="T89" t="s">
        <v>2780</v>
      </c>
      <c r="U89" t="s">
        <v>2665</v>
      </c>
      <c r="V89" t="s">
        <v>2779</v>
      </c>
      <c r="W89" t="s">
        <v>2794</v>
      </c>
      <c r="X89" t="s">
        <v>2665</v>
      </c>
      <c r="Y89" t="s">
        <v>2054</v>
      </c>
      <c r="Z89" t="s">
        <v>1179</v>
      </c>
      <c r="AA89" t="s">
        <v>2742</v>
      </c>
      <c r="AB89" t="s">
        <v>2742</v>
      </c>
      <c r="AC89" t="s">
        <v>2665</v>
      </c>
      <c r="AD89" t="s">
        <v>2054</v>
      </c>
      <c r="AE89" t="s">
        <v>2054</v>
      </c>
    </row>
    <row r="90" spans="1:31" x14ac:dyDescent="0.25">
      <c r="A90" t="s">
        <v>1200</v>
      </c>
      <c r="B90" t="s">
        <v>1199</v>
      </c>
      <c r="C90" t="s">
        <v>2824</v>
      </c>
      <c r="D90" t="s">
        <v>1199</v>
      </c>
      <c r="E90" t="s">
        <v>2666</v>
      </c>
      <c r="F90" t="s">
        <v>2825</v>
      </c>
      <c r="G90" t="s">
        <v>2666</v>
      </c>
      <c r="H90" t="s">
        <v>2054</v>
      </c>
      <c r="I90" t="s">
        <v>2778</v>
      </c>
      <c r="J90" t="s">
        <v>2054</v>
      </c>
      <c r="K90" t="s">
        <v>2665</v>
      </c>
      <c r="L90" t="s">
        <v>1179</v>
      </c>
      <c r="M90" t="s">
        <v>2669</v>
      </c>
      <c r="N90" t="s">
        <v>2665</v>
      </c>
      <c r="O90" t="s">
        <v>2670</v>
      </c>
      <c r="P90" t="s">
        <v>2671</v>
      </c>
      <c r="Q90" t="s">
        <v>2672</v>
      </c>
      <c r="R90" t="s">
        <v>2665</v>
      </c>
      <c r="S90" t="s">
        <v>2779</v>
      </c>
      <c r="T90" t="s">
        <v>2780</v>
      </c>
      <c r="U90" t="s">
        <v>2665</v>
      </c>
      <c r="V90" t="s">
        <v>2779</v>
      </c>
      <c r="W90" t="s">
        <v>2794</v>
      </c>
      <c r="X90" t="s">
        <v>2665</v>
      </c>
      <c r="Y90" t="s">
        <v>2054</v>
      </c>
      <c r="Z90" t="s">
        <v>1179</v>
      </c>
      <c r="AA90" t="s">
        <v>2742</v>
      </c>
      <c r="AB90" t="s">
        <v>2742</v>
      </c>
      <c r="AC90" t="s">
        <v>2665</v>
      </c>
      <c r="AD90" t="s">
        <v>2054</v>
      </c>
      <c r="AE90" t="s">
        <v>2054</v>
      </c>
    </row>
    <row r="91" spans="1:31" x14ac:dyDescent="0.25">
      <c r="A91" t="s">
        <v>1202</v>
      </c>
      <c r="B91" t="s">
        <v>1201</v>
      </c>
      <c r="C91" t="s">
        <v>2826</v>
      </c>
      <c r="D91" t="s">
        <v>1201</v>
      </c>
      <c r="E91" t="s">
        <v>2666</v>
      </c>
      <c r="F91" t="s">
        <v>2705</v>
      </c>
      <c r="G91" t="s">
        <v>2666</v>
      </c>
      <c r="H91" t="s">
        <v>2054</v>
      </c>
      <c r="I91" t="s">
        <v>2706</v>
      </c>
      <c r="J91" t="s">
        <v>2054</v>
      </c>
      <c r="K91" t="s">
        <v>2665</v>
      </c>
      <c r="L91" t="s">
        <v>1104</v>
      </c>
      <c r="M91" t="s">
        <v>2827</v>
      </c>
      <c r="N91" t="s">
        <v>2665</v>
      </c>
      <c r="O91" t="s">
        <v>2828</v>
      </c>
      <c r="P91" t="s">
        <v>2671</v>
      </c>
      <c r="Q91" t="s">
        <v>2672</v>
      </c>
      <c r="R91" t="s">
        <v>2665</v>
      </c>
      <c r="S91" t="s">
        <v>2779</v>
      </c>
      <c r="T91" t="s">
        <v>2780</v>
      </c>
      <c r="U91" t="s">
        <v>2665</v>
      </c>
      <c r="V91" t="s">
        <v>2829</v>
      </c>
      <c r="W91" t="s">
        <v>2830</v>
      </c>
      <c r="X91" t="s">
        <v>2665</v>
      </c>
      <c r="Y91" t="s">
        <v>2054</v>
      </c>
      <c r="Z91" t="s">
        <v>1104</v>
      </c>
      <c r="AA91" t="s">
        <v>2665</v>
      </c>
      <c r="AB91" t="s">
        <v>2665</v>
      </c>
      <c r="AC91" t="s">
        <v>2665</v>
      </c>
      <c r="AD91" t="s">
        <v>2054</v>
      </c>
      <c r="AE91" t="s">
        <v>2054</v>
      </c>
    </row>
    <row r="92" spans="1:31" x14ac:dyDescent="0.25">
      <c r="A92" t="s">
        <v>1204</v>
      </c>
      <c r="B92" t="s">
        <v>1203</v>
      </c>
      <c r="C92" t="s">
        <v>2831</v>
      </c>
      <c r="D92" t="s">
        <v>1203</v>
      </c>
      <c r="E92" t="s">
        <v>2666</v>
      </c>
      <c r="F92" t="s">
        <v>2705</v>
      </c>
      <c r="G92" t="s">
        <v>2666</v>
      </c>
      <c r="H92" t="s">
        <v>2054</v>
      </c>
      <c r="I92" t="s">
        <v>2706</v>
      </c>
      <c r="J92" t="s">
        <v>2054</v>
      </c>
      <c r="K92" t="s">
        <v>2665</v>
      </c>
      <c r="L92" t="s">
        <v>1104</v>
      </c>
      <c r="M92" t="s">
        <v>2827</v>
      </c>
      <c r="N92" t="s">
        <v>2665</v>
      </c>
      <c r="O92" t="s">
        <v>2828</v>
      </c>
      <c r="P92" t="s">
        <v>2671</v>
      </c>
      <c r="Q92" t="s">
        <v>2672</v>
      </c>
      <c r="R92" t="s">
        <v>2665</v>
      </c>
      <c r="S92" t="s">
        <v>2779</v>
      </c>
      <c r="T92" t="s">
        <v>2780</v>
      </c>
      <c r="U92" t="s">
        <v>2665</v>
      </c>
      <c r="V92" t="s">
        <v>2829</v>
      </c>
      <c r="W92" t="s">
        <v>2830</v>
      </c>
      <c r="X92" t="s">
        <v>2665</v>
      </c>
      <c r="Y92" t="s">
        <v>2054</v>
      </c>
      <c r="Z92" t="s">
        <v>1104</v>
      </c>
      <c r="AA92" t="s">
        <v>2665</v>
      </c>
      <c r="AB92" t="s">
        <v>2665</v>
      </c>
      <c r="AC92" t="s">
        <v>2665</v>
      </c>
      <c r="AD92" t="s">
        <v>2054</v>
      </c>
      <c r="AE92" t="s">
        <v>2054</v>
      </c>
    </row>
    <row r="93" spans="1:31" x14ac:dyDescent="0.25">
      <c r="A93" t="s">
        <v>1206</v>
      </c>
      <c r="B93" t="s">
        <v>1205</v>
      </c>
      <c r="C93" t="s">
        <v>2832</v>
      </c>
      <c r="D93" t="s">
        <v>1205</v>
      </c>
      <c r="E93" t="s">
        <v>2666</v>
      </c>
      <c r="F93" t="s">
        <v>2705</v>
      </c>
      <c r="G93" t="s">
        <v>2666</v>
      </c>
      <c r="H93" t="s">
        <v>2054</v>
      </c>
      <c r="I93" t="s">
        <v>2706</v>
      </c>
      <c r="J93" t="s">
        <v>2054</v>
      </c>
      <c r="K93" t="s">
        <v>2665</v>
      </c>
      <c r="L93" t="s">
        <v>1104</v>
      </c>
      <c r="M93" t="s">
        <v>2827</v>
      </c>
      <c r="N93" t="s">
        <v>2665</v>
      </c>
      <c r="O93" t="s">
        <v>2828</v>
      </c>
      <c r="P93" t="s">
        <v>2671</v>
      </c>
      <c r="Q93" t="s">
        <v>2672</v>
      </c>
      <c r="R93" t="s">
        <v>2665</v>
      </c>
      <c r="S93" t="s">
        <v>2779</v>
      </c>
      <c r="T93" t="s">
        <v>2780</v>
      </c>
      <c r="U93" t="s">
        <v>2665</v>
      </c>
      <c r="V93" t="s">
        <v>2829</v>
      </c>
      <c r="W93" t="s">
        <v>2830</v>
      </c>
      <c r="X93" t="s">
        <v>2665</v>
      </c>
      <c r="Y93" t="s">
        <v>2054</v>
      </c>
      <c r="Z93" t="s">
        <v>1104</v>
      </c>
      <c r="AA93" t="s">
        <v>2665</v>
      </c>
      <c r="AB93" t="s">
        <v>2665</v>
      </c>
      <c r="AC93" t="s">
        <v>2665</v>
      </c>
      <c r="AD93" t="s">
        <v>2054</v>
      </c>
      <c r="AE93" t="s">
        <v>2054</v>
      </c>
    </row>
    <row r="94" spans="1:31" x14ac:dyDescent="0.25">
      <c r="A94" t="s">
        <v>1208</v>
      </c>
      <c r="B94" t="s">
        <v>1207</v>
      </c>
      <c r="C94" t="s">
        <v>2833</v>
      </c>
      <c r="D94" t="s">
        <v>1207</v>
      </c>
      <c r="E94" t="s">
        <v>2666</v>
      </c>
      <c r="F94" t="s">
        <v>2793</v>
      </c>
      <c r="G94" t="s">
        <v>2666</v>
      </c>
      <c r="H94" t="s">
        <v>2054</v>
      </c>
      <c r="I94" t="s">
        <v>2741</v>
      </c>
      <c r="J94" t="s">
        <v>2054</v>
      </c>
      <c r="K94" t="s">
        <v>2665</v>
      </c>
      <c r="L94" t="s">
        <v>1136</v>
      </c>
      <c r="M94" t="s">
        <v>2827</v>
      </c>
      <c r="N94" t="s">
        <v>2665</v>
      </c>
      <c r="O94" t="s">
        <v>2828</v>
      </c>
      <c r="P94" t="s">
        <v>2671</v>
      </c>
      <c r="Q94" t="s">
        <v>2672</v>
      </c>
      <c r="R94" t="s">
        <v>2665</v>
      </c>
      <c r="S94" t="s">
        <v>2779</v>
      </c>
      <c r="T94" t="s">
        <v>2780</v>
      </c>
      <c r="U94" t="s">
        <v>2665</v>
      </c>
      <c r="V94" t="s">
        <v>2834</v>
      </c>
      <c r="W94" t="s">
        <v>2835</v>
      </c>
      <c r="X94" t="s">
        <v>2665</v>
      </c>
      <c r="Y94" t="s">
        <v>2054</v>
      </c>
      <c r="Z94" t="s">
        <v>1136</v>
      </c>
      <c r="AA94" t="s">
        <v>2795</v>
      </c>
      <c r="AB94" t="s">
        <v>2795</v>
      </c>
      <c r="AC94" t="s">
        <v>2665</v>
      </c>
      <c r="AD94" t="s">
        <v>2054</v>
      </c>
      <c r="AE94" t="s">
        <v>2054</v>
      </c>
    </row>
    <row r="95" spans="1:31" x14ac:dyDescent="0.25">
      <c r="A95" t="s">
        <v>1210</v>
      </c>
      <c r="B95" t="s">
        <v>1209</v>
      </c>
      <c r="C95" t="s">
        <v>2836</v>
      </c>
      <c r="D95" t="s">
        <v>1209</v>
      </c>
      <c r="E95" t="s">
        <v>2666</v>
      </c>
      <c r="F95" t="s">
        <v>2705</v>
      </c>
      <c r="G95" t="s">
        <v>2666</v>
      </c>
      <c r="H95" t="s">
        <v>2054</v>
      </c>
      <c r="I95" t="s">
        <v>2741</v>
      </c>
      <c r="J95" t="s">
        <v>2054</v>
      </c>
      <c r="K95" t="s">
        <v>2665</v>
      </c>
      <c r="L95" t="s">
        <v>1136</v>
      </c>
      <c r="M95" t="s">
        <v>2827</v>
      </c>
      <c r="N95" t="s">
        <v>2665</v>
      </c>
      <c r="O95" t="s">
        <v>2828</v>
      </c>
      <c r="P95" t="s">
        <v>2671</v>
      </c>
      <c r="Q95" t="s">
        <v>2672</v>
      </c>
      <c r="R95" t="s">
        <v>2665</v>
      </c>
      <c r="S95" t="s">
        <v>2779</v>
      </c>
      <c r="T95" t="s">
        <v>2780</v>
      </c>
      <c r="U95" t="s">
        <v>2665</v>
      </c>
      <c r="V95" t="s">
        <v>2834</v>
      </c>
      <c r="W95" t="s">
        <v>2835</v>
      </c>
      <c r="X95" t="s">
        <v>2665</v>
      </c>
      <c r="Y95" t="s">
        <v>2054</v>
      </c>
      <c r="Z95" t="s">
        <v>1136</v>
      </c>
      <c r="AA95" t="s">
        <v>2795</v>
      </c>
      <c r="AB95" t="s">
        <v>2795</v>
      </c>
      <c r="AC95" t="s">
        <v>2665</v>
      </c>
      <c r="AD95" t="s">
        <v>2054</v>
      </c>
      <c r="AE95" t="s">
        <v>2054</v>
      </c>
    </row>
    <row r="96" spans="1:31" x14ac:dyDescent="0.25">
      <c r="A96" t="s">
        <v>1212</v>
      </c>
      <c r="B96" t="s">
        <v>1211</v>
      </c>
      <c r="C96" t="s">
        <v>2837</v>
      </c>
      <c r="D96" t="s">
        <v>1211</v>
      </c>
      <c r="E96" t="s">
        <v>2666</v>
      </c>
      <c r="F96" t="s">
        <v>2838</v>
      </c>
      <c r="G96" t="s">
        <v>2666</v>
      </c>
      <c r="H96" t="s">
        <v>2054</v>
      </c>
      <c r="I96" t="s">
        <v>2741</v>
      </c>
      <c r="J96" t="s">
        <v>2054</v>
      </c>
      <c r="K96" t="s">
        <v>2665</v>
      </c>
      <c r="L96" t="s">
        <v>1136</v>
      </c>
      <c r="M96" t="s">
        <v>2827</v>
      </c>
      <c r="N96" t="s">
        <v>2665</v>
      </c>
      <c r="O96" t="s">
        <v>2828</v>
      </c>
      <c r="P96" t="s">
        <v>2671</v>
      </c>
      <c r="Q96" t="s">
        <v>2672</v>
      </c>
      <c r="R96" t="s">
        <v>2665</v>
      </c>
      <c r="S96" t="s">
        <v>2779</v>
      </c>
      <c r="T96" t="s">
        <v>2780</v>
      </c>
      <c r="U96" t="s">
        <v>2665</v>
      </c>
      <c r="V96" t="s">
        <v>2834</v>
      </c>
      <c r="W96" t="s">
        <v>2835</v>
      </c>
      <c r="X96" t="s">
        <v>2665</v>
      </c>
      <c r="Y96" t="s">
        <v>2054</v>
      </c>
      <c r="Z96" t="s">
        <v>1136</v>
      </c>
      <c r="AA96" t="s">
        <v>2795</v>
      </c>
      <c r="AB96" t="s">
        <v>2795</v>
      </c>
      <c r="AC96" t="s">
        <v>2665</v>
      </c>
      <c r="AD96" t="s">
        <v>2054</v>
      </c>
      <c r="AE96" t="s">
        <v>2054</v>
      </c>
    </row>
    <row r="97" spans="1:31" x14ac:dyDescent="0.25">
      <c r="A97" t="s">
        <v>1214</v>
      </c>
      <c r="B97" t="s">
        <v>1213</v>
      </c>
      <c r="C97" t="s">
        <v>2839</v>
      </c>
      <c r="D97" t="s">
        <v>1213</v>
      </c>
      <c r="E97" t="s">
        <v>2666</v>
      </c>
      <c r="F97" t="s">
        <v>2801</v>
      </c>
      <c r="G97" t="s">
        <v>2666</v>
      </c>
      <c r="H97" t="s">
        <v>2054</v>
      </c>
      <c r="I97" t="s">
        <v>2741</v>
      </c>
      <c r="J97" t="s">
        <v>2054</v>
      </c>
      <c r="K97" t="s">
        <v>2665</v>
      </c>
      <c r="L97" t="s">
        <v>1136</v>
      </c>
      <c r="M97" t="s">
        <v>2827</v>
      </c>
      <c r="N97" t="s">
        <v>2665</v>
      </c>
      <c r="O97" t="s">
        <v>2828</v>
      </c>
      <c r="P97" t="s">
        <v>2671</v>
      </c>
      <c r="Q97" t="s">
        <v>2672</v>
      </c>
      <c r="R97" t="s">
        <v>2665</v>
      </c>
      <c r="S97" t="s">
        <v>2779</v>
      </c>
      <c r="T97" t="s">
        <v>2780</v>
      </c>
      <c r="U97" t="s">
        <v>2665</v>
      </c>
      <c r="V97" t="s">
        <v>2834</v>
      </c>
      <c r="W97" t="s">
        <v>2835</v>
      </c>
      <c r="X97" t="s">
        <v>2665</v>
      </c>
      <c r="Y97" t="s">
        <v>2054</v>
      </c>
      <c r="Z97" t="s">
        <v>1136</v>
      </c>
      <c r="AA97" t="s">
        <v>2795</v>
      </c>
      <c r="AB97" t="s">
        <v>2795</v>
      </c>
      <c r="AC97" t="s">
        <v>2665</v>
      </c>
      <c r="AD97" t="s">
        <v>2054</v>
      </c>
      <c r="AE97" t="s">
        <v>2054</v>
      </c>
    </row>
    <row r="98" spans="1:31" x14ac:dyDescent="0.25">
      <c r="A98" t="s">
        <v>1216</v>
      </c>
      <c r="B98" t="s">
        <v>1215</v>
      </c>
      <c r="C98" t="s">
        <v>2840</v>
      </c>
      <c r="D98" t="s">
        <v>1215</v>
      </c>
      <c r="E98" t="s">
        <v>2666</v>
      </c>
      <c r="F98" t="s">
        <v>2777</v>
      </c>
      <c r="G98" t="s">
        <v>2666</v>
      </c>
      <c r="H98" t="s">
        <v>2054</v>
      </c>
      <c r="I98" t="s">
        <v>2741</v>
      </c>
      <c r="J98" t="s">
        <v>2054</v>
      </c>
      <c r="K98" t="s">
        <v>2665</v>
      </c>
      <c r="L98" t="s">
        <v>1136</v>
      </c>
      <c r="M98" t="s">
        <v>2827</v>
      </c>
      <c r="N98" t="s">
        <v>2665</v>
      </c>
      <c r="O98" t="s">
        <v>2828</v>
      </c>
      <c r="P98" t="s">
        <v>2671</v>
      </c>
      <c r="Q98" t="s">
        <v>2672</v>
      </c>
      <c r="R98" t="s">
        <v>2665</v>
      </c>
      <c r="S98" t="s">
        <v>2779</v>
      </c>
      <c r="T98" t="s">
        <v>2780</v>
      </c>
      <c r="U98" t="s">
        <v>2665</v>
      </c>
      <c r="V98" t="s">
        <v>2834</v>
      </c>
      <c r="W98" t="s">
        <v>2835</v>
      </c>
      <c r="X98" t="s">
        <v>2665</v>
      </c>
      <c r="Y98" t="s">
        <v>2054</v>
      </c>
      <c r="Z98" t="s">
        <v>1136</v>
      </c>
      <c r="AA98" t="s">
        <v>2795</v>
      </c>
      <c r="AB98" t="s">
        <v>2795</v>
      </c>
      <c r="AC98" t="s">
        <v>2665</v>
      </c>
      <c r="AD98" t="s">
        <v>2054</v>
      </c>
      <c r="AE98" t="s">
        <v>2054</v>
      </c>
    </row>
    <row r="99" spans="1:31" x14ac:dyDescent="0.25">
      <c r="A99" t="s">
        <v>1218</v>
      </c>
      <c r="B99" t="s">
        <v>1217</v>
      </c>
      <c r="C99" t="s">
        <v>2841</v>
      </c>
      <c r="D99" t="s">
        <v>1217</v>
      </c>
      <c r="E99" t="s">
        <v>2666</v>
      </c>
      <c r="F99" t="s">
        <v>2842</v>
      </c>
      <c r="G99" t="s">
        <v>2666</v>
      </c>
      <c r="H99" t="s">
        <v>2054</v>
      </c>
      <c r="I99" t="s">
        <v>2741</v>
      </c>
      <c r="J99" t="s">
        <v>2054</v>
      </c>
      <c r="K99" t="s">
        <v>2665</v>
      </c>
      <c r="L99" t="s">
        <v>1136</v>
      </c>
      <c r="M99" t="s">
        <v>2827</v>
      </c>
      <c r="N99" t="s">
        <v>2665</v>
      </c>
      <c r="O99" t="s">
        <v>2828</v>
      </c>
      <c r="P99" t="s">
        <v>2671</v>
      </c>
      <c r="Q99" t="s">
        <v>2672</v>
      </c>
      <c r="R99" t="s">
        <v>2665</v>
      </c>
      <c r="S99" t="s">
        <v>2779</v>
      </c>
      <c r="T99" t="s">
        <v>2780</v>
      </c>
      <c r="U99" t="s">
        <v>2665</v>
      </c>
      <c r="V99" t="s">
        <v>2834</v>
      </c>
      <c r="W99" t="s">
        <v>2835</v>
      </c>
      <c r="X99" t="s">
        <v>2665</v>
      </c>
      <c r="Y99" t="s">
        <v>2054</v>
      </c>
      <c r="Z99" t="s">
        <v>1136</v>
      </c>
      <c r="AA99" t="s">
        <v>2795</v>
      </c>
      <c r="AB99" t="s">
        <v>2795</v>
      </c>
      <c r="AC99" t="s">
        <v>2665</v>
      </c>
      <c r="AD99" t="s">
        <v>2054</v>
      </c>
      <c r="AE99" t="s">
        <v>2054</v>
      </c>
    </row>
    <row r="100" spans="1:31" x14ac:dyDescent="0.25">
      <c r="A100" t="s">
        <v>2843</v>
      </c>
      <c r="B100" t="s">
        <v>2844</v>
      </c>
      <c r="C100" t="s">
        <v>2845</v>
      </c>
      <c r="D100" t="s">
        <v>2844</v>
      </c>
      <c r="E100" t="s">
        <v>2666</v>
      </c>
      <c r="F100" t="s">
        <v>2666</v>
      </c>
      <c r="G100" t="s">
        <v>2666</v>
      </c>
      <c r="H100" t="s">
        <v>2054</v>
      </c>
      <c r="I100" t="s">
        <v>2741</v>
      </c>
      <c r="J100" t="s">
        <v>2054</v>
      </c>
      <c r="K100" t="s">
        <v>2665</v>
      </c>
      <c r="L100" t="s">
        <v>1136</v>
      </c>
      <c r="M100" t="s">
        <v>2827</v>
      </c>
      <c r="N100" t="s">
        <v>2665</v>
      </c>
      <c r="O100" t="s">
        <v>2828</v>
      </c>
      <c r="P100" t="s">
        <v>2671</v>
      </c>
      <c r="Q100" t="s">
        <v>2672</v>
      </c>
      <c r="R100" t="s">
        <v>2665</v>
      </c>
      <c r="S100" t="s">
        <v>2779</v>
      </c>
      <c r="T100" t="s">
        <v>2780</v>
      </c>
      <c r="U100" t="s">
        <v>2665</v>
      </c>
      <c r="V100" t="s">
        <v>2834</v>
      </c>
      <c r="W100" t="s">
        <v>2835</v>
      </c>
      <c r="X100" t="s">
        <v>2665</v>
      </c>
      <c r="Y100" t="s">
        <v>2054</v>
      </c>
      <c r="Z100" t="s">
        <v>1136</v>
      </c>
      <c r="AA100" t="s">
        <v>2795</v>
      </c>
      <c r="AB100" t="s">
        <v>2795</v>
      </c>
      <c r="AC100" t="s">
        <v>2665</v>
      </c>
      <c r="AD100" t="s">
        <v>2054</v>
      </c>
      <c r="AE100" t="s">
        <v>2718</v>
      </c>
    </row>
    <row r="101" spans="1:31" x14ac:dyDescent="0.25">
      <c r="A101" t="s">
        <v>1220</v>
      </c>
      <c r="B101" t="s">
        <v>1219</v>
      </c>
      <c r="C101" t="s">
        <v>2846</v>
      </c>
      <c r="D101" t="s">
        <v>1219</v>
      </c>
      <c r="E101" t="s">
        <v>2666</v>
      </c>
      <c r="F101" t="s">
        <v>2819</v>
      </c>
      <c r="G101" t="s">
        <v>2666</v>
      </c>
      <c r="H101" t="s">
        <v>2054</v>
      </c>
      <c r="I101" t="s">
        <v>2778</v>
      </c>
      <c r="J101" t="s">
        <v>2054</v>
      </c>
      <c r="K101" t="s">
        <v>2665</v>
      </c>
      <c r="L101" t="s">
        <v>1179</v>
      </c>
      <c r="M101" t="s">
        <v>2827</v>
      </c>
      <c r="N101" t="s">
        <v>2665</v>
      </c>
      <c r="O101" t="s">
        <v>2828</v>
      </c>
      <c r="P101" t="s">
        <v>2671</v>
      </c>
      <c r="Q101" t="s">
        <v>2672</v>
      </c>
      <c r="R101" t="s">
        <v>2665</v>
      </c>
      <c r="S101" t="s">
        <v>2671</v>
      </c>
      <c r="T101" t="s">
        <v>2673</v>
      </c>
      <c r="U101" t="s">
        <v>2665</v>
      </c>
      <c r="V101" t="s">
        <v>2834</v>
      </c>
      <c r="W101" t="s">
        <v>2835</v>
      </c>
      <c r="X101" t="s">
        <v>2665</v>
      </c>
      <c r="Y101" t="s">
        <v>2054</v>
      </c>
      <c r="Z101" t="s">
        <v>1179</v>
      </c>
      <c r="AA101" t="s">
        <v>2847</v>
      </c>
      <c r="AB101" t="s">
        <v>2847</v>
      </c>
      <c r="AC101" t="s">
        <v>2665</v>
      </c>
      <c r="AD101" t="s">
        <v>2054</v>
      </c>
      <c r="AE101" t="s">
        <v>2054</v>
      </c>
    </row>
    <row r="102" spans="1:31" x14ac:dyDescent="0.25">
      <c r="A102" t="s">
        <v>1221</v>
      </c>
      <c r="B102" t="s">
        <v>463</v>
      </c>
      <c r="C102" t="s">
        <v>2848</v>
      </c>
      <c r="D102" t="s">
        <v>463</v>
      </c>
      <c r="E102" t="s">
        <v>2666</v>
      </c>
      <c r="F102" t="s">
        <v>2819</v>
      </c>
      <c r="G102" t="s">
        <v>2666</v>
      </c>
      <c r="H102" t="s">
        <v>2054</v>
      </c>
      <c r="I102" t="s">
        <v>2778</v>
      </c>
      <c r="J102" t="s">
        <v>2054</v>
      </c>
      <c r="K102" t="s">
        <v>2665</v>
      </c>
      <c r="L102" t="s">
        <v>1179</v>
      </c>
      <c r="M102" t="s">
        <v>2827</v>
      </c>
      <c r="N102" t="s">
        <v>2665</v>
      </c>
      <c r="O102" t="s">
        <v>2828</v>
      </c>
      <c r="P102" t="s">
        <v>2671</v>
      </c>
      <c r="Q102" t="s">
        <v>2672</v>
      </c>
      <c r="R102" t="s">
        <v>2665</v>
      </c>
      <c r="S102" t="s">
        <v>2671</v>
      </c>
      <c r="T102" t="s">
        <v>2673</v>
      </c>
      <c r="U102" t="s">
        <v>2665</v>
      </c>
      <c r="V102" t="s">
        <v>2834</v>
      </c>
      <c r="W102" t="s">
        <v>2835</v>
      </c>
      <c r="X102" t="s">
        <v>2665</v>
      </c>
      <c r="Y102" t="s">
        <v>2054</v>
      </c>
      <c r="Z102" t="s">
        <v>1179</v>
      </c>
      <c r="AA102" t="s">
        <v>2847</v>
      </c>
      <c r="AB102" t="s">
        <v>2847</v>
      </c>
      <c r="AC102" t="s">
        <v>2665</v>
      </c>
      <c r="AD102" t="s">
        <v>2054</v>
      </c>
      <c r="AE102" t="s">
        <v>2054</v>
      </c>
    </row>
    <row r="103" spans="1:31" x14ac:dyDescent="0.25">
      <c r="A103" t="s">
        <v>1223</v>
      </c>
      <c r="B103" t="s">
        <v>1222</v>
      </c>
      <c r="C103" t="s">
        <v>2849</v>
      </c>
      <c r="D103" t="s">
        <v>1222</v>
      </c>
      <c r="E103" t="s">
        <v>2666</v>
      </c>
      <c r="F103" t="s">
        <v>2819</v>
      </c>
      <c r="G103" t="s">
        <v>2666</v>
      </c>
      <c r="H103" t="s">
        <v>2054</v>
      </c>
      <c r="I103" t="s">
        <v>2778</v>
      </c>
      <c r="J103" t="s">
        <v>2054</v>
      </c>
      <c r="K103" t="s">
        <v>2665</v>
      </c>
      <c r="L103" t="s">
        <v>1179</v>
      </c>
      <c r="M103" t="s">
        <v>2827</v>
      </c>
      <c r="N103" t="s">
        <v>2665</v>
      </c>
      <c r="O103" t="s">
        <v>2828</v>
      </c>
      <c r="P103" t="s">
        <v>2671</v>
      </c>
      <c r="Q103" t="s">
        <v>2672</v>
      </c>
      <c r="R103" t="s">
        <v>2665</v>
      </c>
      <c r="S103" t="s">
        <v>2671</v>
      </c>
      <c r="T103" t="s">
        <v>2673</v>
      </c>
      <c r="U103" t="s">
        <v>2665</v>
      </c>
      <c r="V103" t="s">
        <v>2834</v>
      </c>
      <c r="W103" t="s">
        <v>2835</v>
      </c>
      <c r="X103" t="s">
        <v>2665</v>
      </c>
      <c r="Y103" t="s">
        <v>2054</v>
      </c>
      <c r="Z103" t="s">
        <v>1179</v>
      </c>
      <c r="AA103" t="s">
        <v>2850</v>
      </c>
      <c r="AB103" t="s">
        <v>2850</v>
      </c>
      <c r="AC103" t="s">
        <v>2665</v>
      </c>
      <c r="AD103" t="s">
        <v>2054</v>
      </c>
      <c r="AE103" t="s">
        <v>2054</v>
      </c>
    </row>
    <row r="104" spans="1:31" x14ac:dyDescent="0.25">
      <c r="A104" t="s">
        <v>1225</v>
      </c>
      <c r="B104" t="s">
        <v>1224</v>
      </c>
      <c r="C104" t="s">
        <v>2851</v>
      </c>
      <c r="D104" t="s">
        <v>1224</v>
      </c>
      <c r="E104" t="s">
        <v>2666</v>
      </c>
      <c r="F104" t="s">
        <v>2852</v>
      </c>
      <c r="G104" t="s">
        <v>2666</v>
      </c>
      <c r="H104" t="s">
        <v>2054</v>
      </c>
      <c r="I104" t="s">
        <v>2778</v>
      </c>
      <c r="J104" t="s">
        <v>2054</v>
      </c>
      <c r="K104" t="s">
        <v>2665</v>
      </c>
      <c r="L104" t="s">
        <v>1179</v>
      </c>
      <c r="M104" t="s">
        <v>2827</v>
      </c>
      <c r="N104" t="s">
        <v>2665</v>
      </c>
      <c r="O104" t="s">
        <v>2828</v>
      </c>
      <c r="P104" t="s">
        <v>2671</v>
      </c>
      <c r="Q104" t="s">
        <v>2672</v>
      </c>
      <c r="R104" t="s">
        <v>2665</v>
      </c>
      <c r="S104" t="s">
        <v>2671</v>
      </c>
      <c r="T104" t="s">
        <v>2673</v>
      </c>
      <c r="U104" t="s">
        <v>2665</v>
      </c>
      <c r="V104" t="s">
        <v>2834</v>
      </c>
      <c r="W104" t="s">
        <v>2835</v>
      </c>
      <c r="X104" t="s">
        <v>2665</v>
      </c>
      <c r="Y104" t="s">
        <v>2054</v>
      </c>
      <c r="Z104" t="s">
        <v>1179</v>
      </c>
      <c r="AA104" t="s">
        <v>2797</v>
      </c>
      <c r="AB104" t="s">
        <v>2797</v>
      </c>
      <c r="AC104" t="s">
        <v>2665</v>
      </c>
      <c r="AD104" t="s">
        <v>2054</v>
      </c>
      <c r="AE104" t="s">
        <v>2054</v>
      </c>
    </row>
    <row r="105" spans="1:31" x14ac:dyDescent="0.25">
      <c r="A105" t="s">
        <v>1227</v>
      </c>
      <c r="B105" t="s">
        <v>1226</v>
      </c>
      <c r="C105" t="s">
        <v>2853</v>
      </c>
      <c r="D105" t="s">
        <v>1226</v>
      </c>
      <c r="E105" t="s">
        <v>2666</v>
      </c>
      <c r="F105" t="s">
        <v>2854</v>
      </c>
      <c r="G105" t="s">
        <v>2666</v>
      </c>
      <c r="H105" t="s">
        <v>2054</v>
      </c>
      <c r="I105" t="s">
        <v>2778</v>
      </c>
      <c r="J105" t="s">
        <v>2054</v>
      </c>
      <c r="K105" t="s">
        <v>2665</v>
      </c>
      <c r="L105" t="s">
        <v>1179</v>
      </c>
      <c r="M105" t="s">
        <v>2827</v>
      </c>
      <c r="N105" t="s">
        <v>2665</v>
      </c>
      <c r="O105" t="s">
        <v>2828</v>
      </c>
      <c r="P105" t="s">
        <v>2671</v>
      </c>
      <c r="Q105" t="s">
        <v>2672</v>
      </c>
      <c r="R105" t="s">
        <v>2665</v>
      </c>
      <c r="S105" t="s">
        <v>2671</v>
      </c>
      <c r="T105" t="s">
        <v>2673</v>
      </c>
      <c r="U105" t="s">
        <v>2665</v>
      </c>
      <c r="V105" t="s">
        <v>2834</v>
      </c>
      <c r="W105" t="s">
        <v>2835</v>
      </c>
      <c r="X105" t="s">
        <v>2665</v>
      </c>
      <c r="Y105" t="s">
        <v>2054</v>
      </c>
      <c r="Z105" t="s">
        <v>1179</v>
      </c>
      <c r="AA105" t="s">
        <v>2850</v>
      </c>
      <c r="AB105" t="s">
        <v>2850</v>
      </c>
      <c r="AC105" t="s">
        <v>2665</v>
      </c>
      <c r="AD105" t="s">
        <v>2054</v>
      </c>
      <c r="AE105" t="s">
        <v>2054</v>
      </c>
    </row>
    <row r="106" spans="1:31" x14ac:dyDescent="0.25">
      <c r="A106" t="s">
        <v>1229</v>
      </c>
      <c r="B106" t="s">
        <v>1228</v>
      </c>
      <c r="C106" t="s">
        <v>2855</v>
      </c>
      <c r="D106" t="s">
        <v>1228</v>
      </c>
      <c r="E106" t="s">
        <v>2666</v>
      </c>
      <c r="F106" t="s">
        <v>2819</v>
      </c>
      <c r="G106" t="s">
        <v>2666</v>
      </c>
      <c r="H106" t="s">
        <v>2054</v>
      </c>
      <c r="I106" t="s">
        <v>2778</v>
      </c>
      <c r="J106" t="s">
        <v>2054</v>
      </c>
      <c r="K106" t="s">
        <v>2665</v>
      </c>
      <c r="L106" t="s">
        <v>1179</v>
      </c>
      <c r="M106" t="s">
        <v>2827</v>
      </c>
      <c r="N106" t="s">
        <v>2665</v>
      </c>
      <c r="O106" t="s">
        <v>2828</v>
      </c>
      <c r="P106" t="s">
        <v>2671</v>
      </c>
      <c r="Q106" t="s">
        <v>2672</v>
      </c>
      <c r="R106" t="s">
        <v>2665</v>
      </c>
      <c r="S106" t="s">
        <v>2671</v>
      </c>
      <c r="T106" t="s">
        <v>2673</v>
      </c>
      <c r="U106" t="s">
        <v>2665</v>
      </c>
      <c r="V106" t="s">
        <v>2834</v>
      </c>
      <c r="W106" t="s">
        <v>2835</v>
      </c>
      <c r="X106" t="s">
        <v>2665</v>
      </c>
      <c r="Y106" t="s">
        <v>2054</v>
      </c>
      <c r="Z106" t="s">
        <v>1179</v>
      </c>
      <c r="AA106" t="s">
        <v>2850</v>
      </c>
      <c r="AB106" t="s">
        <v>2850</v>
      </c>
      <c r="AC106" t="s">
        <v>2665</v>
      </c>
      <c r="AD106" t="s">
        <v>2054</v>
      </c>
      <c r="AE106" t="s">
        <v>2054</v>
      </c>
    </row>
    <row r="107" spans="1:31" x14ac:dyDescent="0.25">
      <c r="A107" t="s">
        <v>1231</v>
      </c>
      <c r="B107" t="s">
        <v>1230</v>
      </c>
      <c r="C107" t="s">
        <v>2856</v>
      </c>
      <c r="D107" t="s">
        <v>1230</v>
      </c>
      <c r="E107" t="s">
        <v>2666</v>
      </c>
      <c r="F107" t="s">
        <v>2857</v>
      </c>
      <c r="G107" t="s">
        <v>2666</v>
      </c>
      <c r="H107" t="s">
        <v>2054</v>
      </c>
      <c r="I107" t="s">
        <v>2778</v>
      </c>
      <c r="J107" t="s">
        <v>2054</v>
      </c>
      <c r="K107" t="s">
        <v>2665</v>
      </c>
      <c r="L107" t="s">
        <v>1179</v>
      </c>
      <c r="M107" t="s">
        <v>2827</v>
      </c>
      <c r="N107" t="s">
        <v>2665</v>
      </c>
      <c r="O107" t="s">
        <v>2828</v>
      </c>
      <c r="P107" t="s">
        <v>2671</v>
      </c>
      <c r="Q107" t="s">
        <v>2672</v>
      </c>
      <c r="R107" t="s">
        <v>2665</v>
      </c>
      <c r="S107" t="s">
        <v>2671</v>
      </c>
      <c r="T107" t="s">
        <v>2673</v>
      </c>
      <c r="U107" t="s">
        <v>2665</v>
      </c>
      <c r="V107" t="s">
        <v>2834</v>
      </c>
      <c r="W107" t="s">
        <v>2835</v>
      </c>
      <c r="X107" t="s">
        <v>2665</v>
      </c>
      <c r="Y107" t="s">
        <v>2054</v>
      </c>
      <c r="Z107" t="s">
        <v>1179</v>
      </c>
      <c r="AA107" t="s">
        <v>2850</v>
      </c>
      <c r="AB107" t="s">
        <v>2850</v>
      </c>
      <c r="AC107" t="s">
        <v>2665</v>
      </c>
      <c r="AD107" t="s">
        <v>2054</v>
      </c>
      <c r="AE107" t="s">
        <v>2054</v>
      </c>
    </row>
    <row r="108" spans="1:31" x14ac:dyDescent="0.25">
      <c r="A108" t="s">
        <v>1233</v>
      </c>
      <c r="B108" t="s">
        <v>1232</v>
      </c>
      <c r="C108" t="s">
        <v>2795</v>
      </c>
      <c r="D108" t="s">
        <v>1232</v>
      </c>
      <c r="E108" t="s">
        <v>2666</v>
      </c>
      <c r="F108" t="s">
        <v>2712</v>
      </c>
      <c r="G108" t="s">
        <v>2666</v>
      </c>
      <c r="H108" t="s">
        <v>2054</v>
      </c>
      <c r="I108" t="s">
        <v>2778</v>
      </c>
      <c r="J108" t="s">
        <v>2054</v>
      </c>
      <c r="K108" t="s">
        <v>2665</v>
      </c>
      <c r="L108" t="s">
        <v>1179</v>
      </c>
      <c r="M108" t="s">
        <v>2827</v>
      </c>
      <c r="N108" t="s">
        <v>2665</v>
      </c>
      <c r="O108" t="s">
        <v>2828</v>
      </c>
      <c r="P108" t="s">
        <v>2671</v>
      </c>
      <c r="Q108" t="s">
        <v>2672</v>
      </c>
      <c r="R108" t="s">
        <v>2665</v>
      </c>
      <c r="S108" t="s">
        <v>2671</v>
      </c>
      <c r="T108" t="s">
        <v>2673</v>
      </c>
      <c r="U108" t="s">
        <v>2665</v>
      </c>
      <c r="V108" t="s">
        <v>2834</v>
      </c>
      <c r="W108" t="s">
        <v>2835</v>
      </c>
      <c r="X108" t="s">
        <v>2665</v>
      </c>
      <c r="Y108" t="s">
        <v>2054</v>
      </c>
      <c r="Z108" t="s">
        <v>1179</v>
      </c>
      <c r="AA108" t="s">
        <v>2797</v>
      </c>
      <c r="AB108" t="s">
        <v>2797</v>
      </c>
      <c r="AC108" t="s">
        <v>2665</v>
      </c>
      <c r="AD108" t="s">
        <v>2054</v>
      </c>
      <c r="AE108" t="s">
        <v>2054</v>
      </c>
    </row>
    <row r="109" spans="1:31" x14ac:dyDescent="0.25">
      <c r="A109" t="s">
        <v>1235</v>
      </c>
      <c r="B109" t="s">
        <v>1234</v>
      </c>
      <c r="C109" t="s">
        <v>2858</v>
      </c>
      <c r="D109" t="s">
        <v>1234</v>
      </c>
      <c r="E109" t="s">
        <v>2666</v>
      </c>
      <c r="F109" t="s">
        <v>2859</v>
      </c>
      <c r="G109" t="s">
        <v>2666</v>
      </c>
      <c r="H109" t="s">
        <v>2054</v>
      </c>
      <c r="I109" t="s">
        <v>2778</v>
      </c>
      <c r="J109" t="s">
        <v>2054</v>
      </c>
      <c r="K109" t="s">
        <v>2665</v>
      </c>
      <c r="L109" t="s">
        <v>1179</v>
      </c>
      <c r="M109" t="s">
        <v>2827</v>
      </c>
      <c r="N109" t="s">
        <v>2665</v>
      </c>
      <c r="O109" t="s">
        <v>2828</v>
      </c>
      <c r="P109" t="s">
        <v>2671</v>
      </c>
      <c r="Q109" t="s">
        <v>2672</v>
      </c>
      <c r="R109" t="s">
        <v>2665</v>
      </c>
      <c r="S109" t="s">
        <v>2671</v>
      </c>
      <c r="T109" t="s">
        <v>2673</v>
      </c>
      <c r="U109" t="s">
        <v>2665</v>
      </c>
      <c r="V109" t="s">
        <v>2834</v>
      </c>
      <c r="W109" t="s">
        <v>2835</v>
      </c>
      <c r="X109" t="s">
        <v>2665</v>
      </c>
      <c r="Y109" t="s">
        <v>2054</v>
      </c>
      <c r="Z109" t="s">
        <v>1179</v>
      </c>
      <c r="AA109" t="s">
        <v>2797</v>
      </c>
      <c r="AB109" t="s">
        <v>2797</v>
      </c>
      <c r="AC109" t="s">
        <v>2665</v>
      </c>
      <c r="AD109" t="s">
        <v>2054</v>
      </c>
      <c r="AE109" t="s">
        <v>2054</v>
      </c>
    </row>
    <row r="110" spans="1:31" x14ac:dyDescent="0.25">
      <c r="A110" t="s">
        <v>1236</v>
      </c>
      <c r="B110" t="s">
        <v>474</v>
      </c>
      <c r="C110" t="s">
        <v>2860</v>
      </c>
      <c r="D110" t="s">
        <v>474</v>
      </c>
      <c r="E110" t="s">
        <v>2666</v>
      </c>
      <c r="F110" t="s">
        <v>2712</v>
      </c>
      <c r="G110" t="s">
        <v>2666</v>
      </c>
      <c r="H110" t="s">
        <v>2054</v>
      </c>
      <c r="I110" t="s">
        <v>2778</v>
      </c>
      <c r="J110" t="s">
        <v>2054</v>
      </c>
      <c r="K110" t="s">
        <v>2665</v>
      </c>
      <c r="L110" t="s">
        <v>1179</v>
      </c>
      <c r="M110" t="s">
        <v>2827</v>
      </c>
      <c r="N110" t="s">
        <v>2665</v>
      </c>
      <c r="O110" t="s">
        <v>2828</v>
      </c>
      <c r="P110" t="s">
        <v>2671</v>
      </c>
      <c r="Q110" t="s">
        <v>2672</v>
      </c>
      <c r="R110" t="s">
        <v>2665</v>
      </c>
      <c r="S110" t="s">
        <v>2671</v>
      </c>
      <c r="T110" t="s">
        <v>2673</v>
      </c>
      <c r="U110" t="s">
        <v>2665</v>
      </c>
      <c r="V110" t="s">
        <v>2834</v>
      </c>
      <c r="W110" t="s">
        <v>2835</v>
      </c>
      <c r="X110" t="s">
        <v>2665</v>
      </c>
      <c r="Y110" t="s">
        <v>2054</v>
      </c>
      <c r="Z110" t="s">
        <v>1179</v>
      </c>
      <c r="AA110" t="s">
        <v>2850</v>
      </c>
      <c r="AB110" t="s">
        <v>2850</v>
      </c>
      <c r="AC110" t="s">
        <v>2665</v>
      </c>
      <c r="AD110" t="s">
        <v>2054</v>
      </c>
      <c r="AE110" t="s">
        <v>2054</v>
      </c>
    </row>
    <row r="111" spans="1:31" x14ac:dyDescent="0.25">
      <c r="A111" t="s">
        <v>1237</v>
      </c>
      <c r="B111" t="s">
        <v>482</v>
      </c>
      <c r="C111" t="s">
        <v>2861</v>
      </c>
      <c r="D111" t="s">
        <v>482</v>
      </c>
      <c r="E111" t="s">
        <v>2666</v>
      </c>
      <c r="F111" t="s">
        <v>2819</v>
      </c>
      <c r="G111" t="s">
        <v>2666</v>
      </c>
      <c r="H111" t="s">
        <v>2054</v>
      </c>
      <c r="I111" t="s">
        <v>2778</v>
      </c>
      <c r="J111" t="s">
        <v>2054</v>
      </c>
      <c r="K111" t="s">
        <v>2665</v>
      </c>
      <c r="L111" t="s">
        <v>1179</v>
      </c>
      <c r="M111" t="s">
        <v>2827</v>
      </c>
      <c r="N111" t="s">
        <v>2665</v>
      </c>
      <c r="O111" t="s">
        <v>2828</v>
      </c>
      <c r="P111" t="s">
        <v>2671</v>
      </c>
      <c r="Q111" t="s">
        <v>2672</v>
      </c>
      <c r="R111" t="s">
        <v>2665</v>
      </c>
      <c r="S111" t="s">
        <v>2671</v>
      </c>
      <c r="T111" t="s">
        <v>2673</v>
      </c>
      <c r="U111" t="s">
        <v>2665</v>
      </c>
      <c r="V111" t="s">
        <v>2834</v>
      </c>
      <c r="W111" t="s">
        <v>2835</v>
      </c>
      <c r="X111" t="s">
        <v>2665</v>
      </c>
      <c r="Y111" t="s">
        <v>2054</v>
      </c>
      <c r="Z111" t="s">
        <v>1179</v>
      </c>
      <c r="AA111" t="s">
        <v>2850</v>
      </c>
      <c r="AB111" t="s">
        <v>2850</v>
      </c>
      <c r="AC111" t="s">
        <v>2665</v>
      </c>
      <c r="AD111" t="s">
        <v>2054</v>
      </c>
      <c r="AE111" t="s">
        <v>2054</v>
      </c>
    </row>
    <row r="112" spans="1:31" x14ac:dyDescent="0.25">
      <c r="A112" t="s">
        <v>1238</v>
      </c>
      <c r="B112" t="s">
        <v>483</v>
      </c>
      <c r="C112" t="s">
        <v>2862</v>
      </c>
      <c r="D112" t="s">
        <v>483</v>
      </c>
      <c r="E112" t="s">
        <v>2666</v>
      </c>
      <c r="F112" t="s">
        <v>2857</v>
      </c>
      <c r="G112" t="s">
        <v>2666</v>
      </c>
      <c r="H112" t="s">
        <v>2054</v>
      </c>
      <c r="I112" t="s">
        <v>2778</v>
      </c>
      <c r="J112" t="s">
        <v>2054</v>
      </c>
      <c r="K112" t="s">
        <v>2665</v>
      </c>
      <c r="L112" t="s">
        <v>1179</v>
      </c>
      <c r="M112" t="s">
        <v>2827</v>
      </c>
      <c r="N112" t="s">
        <v>2665</v>
      </c>
      <c r="O112" t="s">
        <v>2828</v>
      </c>
      <c r="P112" t="s">
        <v>2671</v>
      </c>
      <c r="Q112" t="s">
        <v>2672</v>
      </c>
      <c r="R112" t="s">
        <v>2665</v>
      </c>
      <c r="S112" t="s">
        <v>2671</v>
      </c>
      <c r="T112" t="s">
        <v>2673</v>
      </c>
      <c r="U112" t="s">
        <v>2665</v>
      </c>
      <c r="V112" t="s">
        <v>2834</v>
      </c>
      <c r="W112" t="s">
        <v>2835</v>
      </c>
      <c r="X112" t="s">
        <v>2665</v>
      </c>
      <c r="Y112" t="s">
        <v>2054</v>
      </c>
      <c r="Z112" t="s">
        <v>1179</v>
      </c>
      <c r="AA112" t="s">
        <v>2850</v>
      </c>
      <c r="AB112" t="s">
        <v>2850</v>
      </c>
      <c r="AC112" t="s">
        <v>2665</v>
      </c>
      <c r="AD112" t="s">
        <v>2054</v>
      </c>
      <c r="AE112" t="s">
        <v>2054</v>
      </c>
    </row>
    <row r="113" spans="1:31" x14ac:dyDescent="0.25">
      <c r="A113" t="s">
        <v>1239</v>
      </c>
      <c r="B113" t="s">
        <v>484</v>
      </c>
      <c r="C113" t="s">
        <v>2863</v>
      </c>
      <c r="D113" t="s">
        <v>484</v>
      </c>
      <c r="E113" t="s">
        <v>2666</v>
      </c>
      <c r="F113" t="s">
        <v>2819</v>
      </c>
      <c r="G113" t="s">
        <v>2666</v>
      </c>
      <c r="H113" t="s">
        <v>2054</v>
      </c>
      <c r="I113" t="s">
        <v>2778</v>
      </c>
      <c r="J113" t="s">
        <v>2054</v>
      </c>
      <c r="K113" t="s">
        <v>2665</v>
      </c>
      <c r="L113" t="s">
        <v>1179</v>
      </c>
      <c r="M113" t="s">
        <v>2827</v>
      </c>
      <c r="N113" t="s">
        <v>2665</v>
      </c>
      <c r="O113" t="s">
        <v>2828</v>
      </c>
      <c r="P113" t="s">
        <v>2671</v>
      </c>
      <c r="Q113" t="s">
        <v>2672</v>
      </c>
      <c r="R113" t="s">
        <v>2665</v>
      </c>
      <c r="S113" t="s">
        <v>2671</v>
      </c>
      <c r="T113" t="s">
        <v>2673</v>
      </c>
      <c r="U113" t="s">
        <v>2665</v>
      </c>
      <c r="V113" t="s">
        <v>2834</v>
      </c>
      <c r="W113" t="s">
        <v>2835</v>
      </c>
      <c r="X113" t="s">
        <v>2665</v>
      </c>
      <c r="Y113" t="s">
        <v>2054</v>
      </c>
      <c r="Z113" t="s">
        <v>1179</v>
      </c>
      <c r="AA113" t="s">
        <v>2797</v>
      </c>
      <c r="AB113" t="s">
        <v>2797</v>
      </c>
      <c r="AC113" t="s">
        <v>2665</v>
      </c>
      <c r="AD113" t="s">
        <v>2054</v>
      </c>
      <c r="AE113" t="s">
        <v>2054</v>
      </c>
    </row>
    <row r="114" spans="1:31" x14ac:dyDescent="0.25">
      <c r="A114" t="s">
        <v>1240</v>
      </c>
      <c r="B114" t="s">
        <v>469</v>
      </c>
      <c r="C114" t="s">
        <v>2864</v>
      </c>
      <c r="D114" t="s">
        <v>469</v>
      </c>
      <c r="E114" t="s">
        <v>2666</v>
      </c>
      <c r="F114" t="s">
        <v>2859</v>
      </c>
      <c r="G114" t="s">
        <v>2666</v>
      </c>
      <c r="H114" t="s">
        <v>2054</v>
      </c>
      <c r="I114" t="s">
        <v>2778</v>
      </c>
      <c r="J114" t="s">
        <v>2054</v>
      </c>
      <c r="K114" t="s">
        <v>2665</v>
      </c>
      <c r="L114" t="s">
        <v>1179</v>
      </c>
      <c r="M114" t="s">
        <v>2827</v>
      </c>
      <c r="N114" t="s">
        <v>2665</v>
      </c>
      <c r="O114" t="s">
        <v>2828</v>
      </c>
      <c r="P114" t="s">
        <v>2671</v>
      </c>
      <c r="Q114" t="s">
        <v>2672</v>
      </c>
      <c r="R114" t="s">
        <v>2665</v>
      </c>
      <c r="S114" t="s">
        <v>2671</v>
      </c>
      <c r="T114" t="s">
        <v>2673</v>
      </c>
      <c r="U114" t="s">
        <v>2665</v>
      </c>
      <c r="V114" t="s">
        <v>2834</v>
      </c>
      <c r="W114" t="s">
        <v>2835</v>
      </c>
      <c r="X114" t="s">
        <v>2665</v>
      </c>
      <c r="Y114" t="s">
        <v>2054</v>
      </c>
      <c r="Z114" t="s">
        <v>1179</v>
      </c>
      <c r="AA114" t="s">
        <v>2797</v>
      </c>
      <c r="AB114" t="s">
        <v>2797</v>
      </c>
      <c r="AC114" t="s">
        <v>2665</v>
      </c>
      <c r="AD114" t="s">
        <v>2054</v>
      </c>
      <c r="AE114" t="s">
        <v>2054</v>
      </c>
    </row>
    <row r="115" spans="1:31" x14ac:dyDescent="0.25">
      <c r="A115" t="s">
        <v>1241</v>
      </c>
      <c r="B115" t="s">
        <v>470</v>
      </c>
      <c r="C115" t="s">
        <v>2865</v>
      </c>
      <c r="D115" t="s">
        <v>470</v>
      </c>
      <c r="E115" t="s">
        <v>2666</v>
      </c>
      <c r="F115" t="s">
        <v>2866</v>
      </c>
      <c r="G115" t="s">
        <v>2666</v>
      </c>
      <c r="H115" t="s">
        <v>2054</v>
      </c>
      <c r="I115" t="s">
        <v>2778</v>
      </c>
      <c r="J115" t="s">
        <v>2054</v>
      </c>
      <c r="K115" t="s">
        <v>2665</v>
      </c>
      <c r="L115" t="s">
        <v>1179</v>
      </c>
      <c r="M115" t="s">
        <v>2827</v>
      </c>
      <c r="N115" t="s">
        <v>2665</v>
      </c>
      <c r="O115" t="s">
        <v>2828</v>
      </c>
      <c r="P115" t="s">
        <v>2671</v>
      </c>
      <c r="Q115" t="s">
        <v>2672</v>
      </c>
      <c r="R115" t="s">
        <v>2665</v>
      </c>
      <c r="S115" t="s">
        <v>2671</v>
      </c>
      <c r="T115" t="s">
        <v>2673</v>
      </c>
      <c r="U115" t="s">
        <v>2665</v>
      </c>
      <c r="V115" t="s">
        <v>2834</v>
      </c>
      <c r="W115" t="s">
        <v>2835</v>
      </c>
      <c r="X115" t="s">
        <v>2665</v>
      </c>
      <c r="Y115" t="s">
        <v>2054</v>
      </c>
      <c r="Z115" t="s">
        <v>1179</v>
      </c>
      <c r="AA115" t="s">
        <v>2797</v>
      </c>
      <c r="AB115" t="s">
        <v>2797</v>
      </c>
      <c r="AC115" t="s">
        <v>2665</v>
      </c>
      <c r="AD115" t="s">
        <v>2054</v>
      </c>
      <c r="AE115" t="s">
        <v>2054</v>
      </c>
    </row>
    <row r="116" spans="1:31" x14ac:dyDescent="0.25">
      <c r="A116" t="s">
        <v>1243</v>
      </c>
      <c r="B116" t="s">
        <v>1242</v>
      </c>
      <c r="C116" t="s">
        <v>2867</v>
      </c>
      <c r="D116" t="s">
        <v>1242</v>
      </c>
      <c r="E116" t="s">
        <v>2666</v>
      </c>
      <c r="F116" t="s">
        <v>2712</v>
      </c>
      <c r="G116" t="s">
        <v>2666</v>
      </c>
      <c r="H116" t="s">
        <v>2054</v>
      </c>
      <c r="I116" t="s">
        <v>2741</v>
      </c>
      <c r="J116" t="s">
        <v>2054</v>
      </c>
      <c r="K116" t="s">
        <v>2665</v>
      </c>
      <c r="L116" t="s">
        <v>1136</v>
      </c>
      <c r="M116" t="s">
        <v>2827</v>
      </c>
      <c r="N116" t="s">
        <v>2665</v>
      </c>
      <c r="O116" t="s">
        <v>2828</v>
      </c>
      <c r="P116" t="s">
        <v>2671</v>
      </c>
      <c r="Q116" t="s">
        <v>2672</v>
      </c>
      <c r="R116" t="s">
        <v>2665</v>
      </c>
      <c r="S116" t="s">
        <v>2779</v>
      </c>
      <c r="T116" t="s">
        <v>2780</v>
      </c>
      <c r="U116" t="s">
        <v>2665</v>
      </c>
      <c r="V116" t="s">
        <v>2827</v>
      </c>
      <c r="W116" t="s">
        <v>2868</v>
      </c>
      <c r="X116" t="s">
        <v>2665</v>
      </c>
      <c r="Y116" t="s">
        <v>2054</v>
      </c>
      <c r="Z116" t="s">
        <v>1136</v>
      </c>
      <c r="AA116" t="s">
        <v>2665</v>
      </c>
      <c r="AB116" t="s">
        <v>2665</v>
      </c>
      <c r="AC116" t="s">
        <v>2665</v>
      </c>
      <c r="AD116" t="s">
        <v>2054</v>
      </c>
      <c r="AE116" t="s">
        <v>2054</v>
      </c>
    </row>
    <row r="117" spans="1:31" x14ac:dyDescent="0.25">
      <c r="A117" t="s">
        <v>1245</v>
      </c>
      <c r="B117" t="s">
        <v>1244</v>
      </c>
      <c r="C117" t="s">
        <v>2869</v>
      </c>
      <c r="D117" t="s">
        <v>1244</v>
      </c>
      <c r="E117" t="s">
        <v>2666</v>
      </c>
      <c r="F117" t="s">
        <v>2712</v>
      </c>
      <c r="G117" t="s">
        <v>2666</v>
      </c>
      <c r="H117" t="s">
        <v>2054</v>
      </c>
      <c r="I117" t="s">
        <v>2741</v>
      </c>
      <c r="J117" t="s">
        <v>2054</v>
      </c>
      <c r="K117" t="s">
        <v>2665</v>
      </c>
      <c r="L117" t="s">
        <v>1136</v>
      </c>
      <c r="M117" t="s">
        <v>2827</v>
      </c>
      <c r="N117" t="s">
        <v>2665</v>
      </c>
      <c r="O117" t="s">
        <v>2828</v>
      </c>
      <c r="P117" t="s">
        <v>2671</v>
      </c>
      <c r="Q117" t="s">
        <v>2672</v>
      </c>
      <c r="R117" t="s">
        <v>2665</v>
      </c>
      <c r="S117" t="s">
        <v>2779</v>
      </c>
      <c r="T117" t="s">
        <v>2780</v>
      </c>
      <c r="U117" t="s">
        <v>2665</v>
      </c>
      <c r="V117" t="s">
        <v>2827</v>
      </c>
      <c r="W117" t="s">
        <v>2868</v>
      </c>
      <c r="X117" t="s">
        <v>2665</v>
      </c>
      <c r="Y117" t="s">
        <v>2054</v>
      </c>
      <c r="Z117" t="s">
        <v>1136</v>
      </c>
      <c r="AA117" t="s">
        <v>2665</v>
      </c>
      <c r="AB117" t="s">
        <v>2665</v>
      </c>
      <c r="AC117" t="s">
        <v>2665</v>
      </c>
      <c r="AD117" t="s">
        <v>2054</v>
      </c>
      <c r="AE117" t="s">
        <v>2054</v>
      </c>
    </row>
    <row r="118" spans="1:31" x14ac:dyDescent="0.25">
      <c r="A118" t="s">
        <v>1247</v>
      </c>
      <c r="B118" t="s">
        <v>1246</v>
      </c>
      <c r="C118" t="s">
        <v>2870</v>
      </c>
      <c r="D118" t="s">
        <v>1246</v>
      </c>
      <c r="E118" t="s">
        <v>2666</v>
      </c>
      <c r="F118" t="s">
        <v>2712</v>
      </c>
      <c r="G118" t="s">
        <v>2666</v>
      </c>
      <c r="H118" t="s">
        <v>2054</v>
      </c>
      <c r="I118" t="s">
        <v>2741</v>
      </c>
      <c r="J118" t="s">
        <v>2054</v>
      </c>
      <c r="K118" t="s">
        <v>2665</v>
      </c>
      <c r="L118" t="s">
        <v>1136</v>
      </c>
      <c r="M118" t="s">
        <v>2827</v>
      </c>
      <c r="N118" t="s">
        <v>2665</v>
      </c>
      <c r="O118" t="s">
        <v>2828</v>
      </c>
      <c r="P118" t="s">
        <v>2671</v>
      </c>
      <c r="Q118" t="s">
        <v>2672</v>
      </c>
      <c r="R118" t="s">
        <v>2665</v>
      </c>
      <c r="S118" t="s">
        <v>2779</v>
      </c>
      <c r="T118" t="s">
        <v>2780</v>
      </c>
      <c r="U118" t="s">
        <v>2665</v>
      </c>
      <c r="V118" t="s">
        <v>2827</v>
      </c>
      <c r="W118" t="s">
        <v>2868</v>
      </c>
      <c r="X118" t="s">
        <v>2665</v>
      </c>
      <c r="Y118" t="s">
        <v>2054</v>
      </c>
      <c r="Z118" t="s">
        <v>1136</v>
      </c>
      <c r="AA118" t="s">
        <v>2665</v>
      </c>
      <c r="AB118" t="s">
        <v>2665</v>
      </c>
      <c r="AC118" t="s">
        <v>2665</v>
      </c>
      <c r="AD118" t="s">
        <v>2054</v>
      </c>
      <c r="AE118" t="s">
        <v>2054</v>
      </c>
    </row>
    <row r="119" spans="1:31" x14ac:dyDescent="0.25">
      <c r="A119" t="s">
        <v>1249</v>
      </c>
      <c r="B119" t="s">
        <v>1248</v>
      </c>
      <c r="C119" t="s">
        <v>2871</v>
      </c>
      <c r="D119" t="s">
        <v>1248</v>
      </c>
      <c r="E119" t="s">
        <v>2666</v>
      </c>
      <c r="F119" t="s">
        <v>2667</v>
      </c>
      <c r="G119" t="s">
        <v>2666</v>
      </c>
      <c r="H119" t="s">
        <v>2054</v>
      </c>
      <c r="I119" t="s">
        <v>2741</v>
      </c>
      <c r="J119" t="s">
        <v>2054</v>
      </c>
      <c r="K119" t="s">
        <v>2665</v>
      </c>
      <c r="L119" t="s">
        <v>1136</v>
      </c>
      <c r="M119" t="s">
        <v>2827</v>
      </c>
      <c r="N119" t="s">
        <v>2665</v>
      </c>
      <c r="O119" t="s">
        <v>2828</v>
      </c>
      <c r="P119" t="s">
        <v>2671</v>
      </c>
      <c r="Q119" t="s">
        <v>2672</v>
      </c>
      <c r="R119" t="s">
        <v>2665</v>
      </c>
      <c r="S119" t="s">
        <v>2671</v>
      </c>
      <c r="T119" t="s">
        <v>2673</v>
      </c>
      <c r="U119" t="s">
        <v>2665</v>
      </c>
      <c r="V119" t="s">
        <v>2827</v>
      </c>
      <c r="W119" t="s">
        <v>2868</v>
      </c>
      <c r="X119" t="s">
        <v>2665</v>
      </c>
      <c r="Y119" t="s">
        <v>2054</v>
      </c>
      <c r="Z119" t="s">
        <v>1136</v>
      </c>
      <c r="AA119" t="s">
        <v>2665</v>
      </c>
      <c r="AB119" t="s">
        <v>2665</v>
      </c>
      <c r="AC119" t="s">
        <v>2665</v>
      </c>
      <c r="AD119" t="s">
        <v>2054</v>
      </c>
      <c r="AE119" t="s">
        <v>2054</v>
      </c>
    </row>
    <row r="120" spans="1:31" x14ac:dyDescent="0.25">
      <c r="A120" t="s">
        <v>2872</v>
      </c>
      <c r="B120" t="s">
        <v>2873</v>
      </c>
      <c r="C120" t="s">
        <v>2874</v>
      </c>
      <c r="D120" t="s">
        <v>2873</v>
      </c>
      <c r="E120" t="s">
        <v>2666</v>
      </c>
      <c r="F120" t="s">
        <v>2667</v>
      </c>
      <c r="G120" t="s">
        <v>2666</v>
      </c>
      <c r="H120" t="s">
        <v>2054</v>
      </c>
      <c r="I120" t="s">
        <v>2778</v>
      </c>
      <c r="J120" t="s">
        <v>2054</v>
      </c>
      <c r="K120" t="s">
        <v>2665</v>
      </c>
      <c r="L120" t="s">
        <v>1179</v>
      </c>
      <c r="M120" t="s">
        <v>2875</v>
      </c>
      <c r="N120" t="s">
        <v>2665</v>
      </c>
      <c r="O120" t="s">
        <v>2876</v>
      </c>
      <c r="P120" t="s">
        <v>2781</v>
      </c>
      <c r="Q120" t="s">
        <v>2877</v>
      </c>
      <c r="R120" t="s">
        <v>2665</v>
      </c>
      <c r="S120" t="s">
        <v>2671</v>
      </c>
      <c r="T120" t="s">
        <v>2673</v>
      </c>
      <c r="U120" t="s">
        <v>2665</v>
      </c>
      <c r="V120" t="s">
        <v>2878</v>
      </c>
      <c r="W120" t="s">
        <v>2879</v>
      </c>
      <c r="X120" t="s">
        <v>2665</v>
      </c>
      <c r="Y120" t="s">
        <v>2054</v>
      </c>
      <c r="Z120" t="s">
        <v>1179</v>
      </c>
      <c r="AA120" t="s">
        <v>2742</v>
      </c>
      <c r="AB120" t="s">
        <v>2742</v>
      </c>
      <c r="AC120" t="s">
        <v>2665</v>
      </c>
      <c r="AD120" t="s">
        <v>2054</v>
      </c>
      <c r="AE120" t="s">
        <v>2054</v>
      </c>
    </row>
    <row r="121" spans="1:31" x14ac:dyDescent="0.25">
      <c r="A121" t="s">
        <v>1251</v>
      </c>
      <c r="B121" t="s">
        <v>1250</v>
      </c>
      <c r="C121" t="s">
        <v>2880</v>
      </c>
      <c r="D121" t="s">
        <v>1250</v>
      </c>
      <c r="E121" t="s">
        <v>2666</v>
      </c>
      <c r="F121" t="s">
        <v>2790</v>
      </c>
      <c r="G121" t="s">
        <v>2666</v>
      </c>
      <c r="H121" t="s">
        <v>2054</v>
      </c>
      <c r="I121" t="s">
        <v>2741</v>
      </c>
      <c r="J121" t="s">
        <v>2054</v>
      </c>
      <c r="K121" t="s">
        <v>2665</v>
      </c>
      <c r="L121" t="s">
        <v>1136</v>
      </c>
      <c r="M121" t="s">
        <v>2827</v>
      </c>
      <c r="N121" t="s">
        <v>2665</v>
      </c>
      <c r="O121" t="s">
        <v>2828</v>
      </c>
      <c r="P121" t="s">
        <v>2671</v>
      </c>
      <c r="Q121" t="s">
        <v>2672</v>
      </c>
      <c r="R121" t="s">
        <v>2665</v>
      </c>
      <c r="S121" t="s">
        <v>2779</v>
      </c>
      <c r="T121" t="s">
        <v>2780</v>
      </c>
      <c r="U121" t="s">
        <v>2665</v>
      </c>
      <c r="V121" t="s">
        <v>2875</v>
      </c>
      <c r="W121" t="s">
        <v>2881</v>
      </c>
      <c r="X121" t="s">
        <v>2665</v>
      </c>
      <c r="Y121" t="s">
        <v>2054</v>
      </c>
      <c r="Z121" t="s">
        <v>1136</v>
      </c>
      <c r="AA121" t="s">
        <v>2745</v>
      </c>
      <c r="AB121" t="s">
        <v>2745</v>
      </c>
      <c r="AC121" t="s">
        <v>2665</v>
      </c>
      <c r="AD121" t="s">
        <v>2054</v>
      </c>
      <c r="AE121" t="s">
        <v>2054</v>
      </c>
    </row>
    <row r="122" spans="1:31" x14ac:dyDescent="0.25">
      <c r="A122" t="s">
        <v>1253</v>
      </c>
      <c r="B122" t="s">
        <v>1252</v>
      </c>
      <c r="C122" t="s">
        <v>2882</v>
      </c>
      <c r="D122" t="s">
        <v>1252</v>
      </c>
      <c r="E122" t="s">
        <v>2666</v>
      </c>
      <c r="F122" t="s">
        <v>2883</v>
      </c>
      <c r="G122" t="s">
        <v>2666</v>
      </c>
      <c r="H122" t="s">
        <v>2054</v>
      </c>
      <c r="I122" t="s">
        <v>2741</v>
      </c>
      <c r="J122" t="s">
        <v>2054</v>
      </c>
      <c r="K122" t="s">
        <v>2665</v>
      </c>
      <c r="L122" t="s">
        <v>1136</v>
      </c>
      <c r="M122" t="s">
        <v>2827</v>
      </c>
      <c r="N122" t="s">
        <v>2665</v>
      </c>
      <c r="O122" t="s">
        <v>2828</v>
      </c>
      <c r="P122" t="s">
        <v>2671</v>
      </c>
      <c r="Q122" t="s">
        <v>2672</v>
      </c>
      <c r="R122" t="s">
        <v>2665</v>
      </c>
      <c r="S122" t="s">
        <v>2779</v>
      </c>
      <c r="T122" t="s">
        <v>2780</v>
      </c>
      <c r="U122" t="s">
        <v>2665</v>
      </c>
      <c r="V122" t="s">
        <v>2875</v>
      </c>
      <c r="W122" t="s">
        <v>2881</v>
      </c>
      <c r="X122" t="s">
        <v>2665</v>
      </c>
      <c r="Y122" t="s">
        <v>2054</v>
      </c>
      <c r="Z122" t="s">
        <v>1136</v>
      </c>
      <c r="AA122" t="s">
        <v>2745</v>
      </c>
      <c r="AB122" t="s">
        <v>2745</v>
      </c>
      <c r="AC122" t="s">
        <v>2665</v>
      </c>
      <c r="AD122" t="s">
        <v>2054</v>
      </c>
      <c r="AE122" t="s">
        <v>2054</v>
      </c>
    </row>
    <row r="123" spans="1:31" x14ac:dyDescent="0.25">
      <c r="A123" t="s">
        <v>1255</v>
      </c>
      <c r="B123" t="s">
        <v>1254</v>
      </c>
      <c r="C123" t="s">
        <v>2884</v>
      </c>
      <c r="D123" t="s">
        <v>1254</v>
      </c>
      <c r="E123" t="s">
        <v>2666</v>
      </c>
      <c r="F123" t="s">
        <v>2885</v>
      </c>
      <c r="G123" t="s">
        <v>2666</v>
      </c>
      <c r="H123" t="s">
        <v>2054</v>
      </c>
      <c r="I123" t="s">
        <v>2741</v>
      </c>
      <c r="J123" t="s">
        <v>2054</v>
      </c>
      <c r="K123" t="s">
        <v>2665</v>
      </c>
      <c r="L123" t="s">
        <v>1136</v>
      </c>
      <c r="M123" t="s">
        <v>2827</v>
      </c>
      <c r="N123" t="s">
        <v>2665</v>
      </c>
      <c r="O123" t="s">
        <v>2828</v>
      </c>
      <c r="P123" t="s">
        <v>2671</v>
      </c>
      <c r="Q123" t="s">
        <v>2672</v>
      </c>
      <c r="R123" t="s">
        <v>2665</v>
      </c>
      <c r="S123" t="s">
        <v>2779</v>
      </c>
      <c r="T123" t="s">
        <v>2780</v>
      </c>
      <c r="U123" t="s">
        <v>2665</v>
      </c>
      <c r="V123" t="s">
        <v>2875</v>
      </c>
      <c r="W123" t="s">
        <v>2881</v>
      </c>
      <c r="X123" t="s">
        <v>2665</v>
      </c>
      <c r="Y123" t="s">
        <v>2054</v>
      </c>
      <c r="Z123" t="s">
        <v>1136</v>
      </c>
      <c r="AA123" t="s">
        <v>2745</v>
      </c>
      <c r="AB123" t="s">
        <v>2745</v>
      </c>
      <c r="AC123" t="s">
        <v>2665</v>
      </c>
      <c r="AD123" t="s">
        <v>2054</v>
      </c>
      <c r="AE123" t="s">
        <v>2726</v>
      </c>
    </row>
    <row r="124" spans="1:31" x14ac:dyDescent="0.25">
      <c r="A124" t="s">
        <v>1257</v>
      </c>
      <c r="B124" t="s">
        <v>1256</v>
      </c>
      <c r="C124" t="s">
        <v>2886</v>
      </c>
      <c r="D124" t="s">
        <v>1256</v>
      </c>
      <c r="E124" t="s">
        <v>2666</v>
      </c>
      <c r="F124" t="s">
        <v>2887</v>
      </c>
      <c r="G124" t="s">
        <v>2666</v>
      </c>
      <c r="H124" t="s">
        <v>2054</v>
      </c>
      <c r="I124" t="s">
        <v>2741</v>
      </c>
      <c r="J124" t="s">
        <v>2054</v>
      </c>
      <c r="K124" t="s">
        <v>2665</v>
      </c>
      <c r="L124" t="s">
        <v>1136</v>
      </c>
      <c r="M124" t="s">
        <v>2827</v>
      </c>
      <c r="N124" t="s">
        <v>2665</v>
      </c>
      <c r="O124" t="s">
        <v>2828</v>
      </c>
      <c r="P124" t="s">
        <v>2671</v>
      </c>
      <c r="Q124" t="s">
        <v>2672</v>
      </c>
      <c r="R124" t="s">
        <v>2665</v>
      </c>
      <c r="S124" t="s">
        <v>2779</v>
      </c>
      <c r="T124" t="s">
        <v>2780</v>
      </c>
      <c r="U124" t="s">
        <v>2665</v>
      </c>
      <c r="V124" t="s">
        <v>2875</v>
      </c>
      <c r="W124" t="s">
        <v>2881</v>
      </c>
      <c r="X124" t="s">
        <v>2665</v>
      </c>
      <c r="Y124" t="s">
        <v>2054</v>
      </c>
      <c r="Z124" t="s">
        <v>1136</v>
      </c>
      <c r="AA124" t="s">
        <v>2795</v>
      </c>
      <c r="AB124" t="s">
        <v>2795</v>
      </c>
      <c r="AC124" t="s">
        <v>2665</v>
      </c>
      <c r="AD124" t="s">
        <v>2054</v>
      </c>
      <c r="AE124" t="s">
        <v>2054</v>
      </c>
    </row>
    <row r="125" spans="1:31" x14ac:dyDescent="0.25">
      <c r="A125" t="s">
        <v>1259</v>
      </c>
      <c r="B125" t="s">
        <v>1258</v>
      </c>
      <c r="C125" t="s">
        <v>2888</v>
      </c>
      <c r="D125" t="s">
        <v>1258</v>
      </c>
      <c r="E125" t="s">
        <v>2666</v>
      </c>
      <c r="F125" t="s">
        <v>2889</v>
      </c>
      <c r="G125" t="s">
        <v>2666</v>
      </c>
      <c r="H125" t="s">
        <v>2054</v>
      </c>
      <c r="I125" t="s">
        <v>2741</v>
      </c>
      <c r="J125" t="s">
        <v>2054</v>
      </c>
      <c r="K125" t="s">
        <v>2665</v>
      </c>
      <c r="L125" t="s">
        <v>1136</v>
      </c>
      <c r="M125" t="s">
        <v>2827</v>
      </c>
      <c r="N125" t="s">
        <v>2665</v>
      </c>
      <c r="O125" t="s">
        <v>2828</v>
      </c>
      <c r="P125" t="s">
        <v>2671</v>
      </c>
      <c r="Q125" t="s">
        <v>2672</v>
      </c>
      <c r="R125" t="s">
        <v>2665</v>
      </c>
      <c r="S125" t="s">
        <v>2779</v>
      </c>
      <c r="T125" t="s">
        <v>2780</v>
      </c>
      <c r="U125" t="s">
        <v>2665</v>
      </c>
      <c r="V125" t="s">
        <v>2875</v>
      </c>
      <c r="W125" t="s">
        <v>2881</v>
      </c>
      <c r="X125" t="s">
        <v>2665</v>
      </c>
      <c r="Y125" t="s">
        <v>2054</v>
      </c>
      <c r="Z125" t="s">
        <v>1136</v>
      </c>
      <c r="AA125" t="s">
        <v>2745</v>
      </c>
      <c r="AB125" t="s">
        <v>2745</v>
      </c>
      <c r="AC125" t="s">
        <v>2665</v>
      </c>
      <c r="AD125" t="s">
        <v>2054</v>
      </c>
      <c r="AE125" t="s">
        <v>2054</v>
      </c>
    </row>
    <row r="126" spans="1:31" x14ac:dyDescent="0.25">
      <c r="A126" t="s">
        <v>1261</v>
      </c>
      <c r="B126" t="s">
        <v>1260</v>
      </c>
      <c r="C126" t="s">
        <v>2890</v>
      </c>
      <c r="D126" t="s">
        <v>1260</v>
      </c>
      <c r="E126" t="s">
        <v>2666</v>
      </c>
      <c r="F126" t="s">
        <v>2762</v>
      </c>
      <c r="G126" t="s">
        <v>2666</v>
      </c>
      <c r="H126" t="s">
        <v>2054</v>
      </c>
      <c r="I126" t="s">
        <v>2741</v>
      </c>
      <c r="J126" t="s">
        <v>2054</v>
      </c>
      <c r="K126" t="s">
        <v>2665</v>
      </c>
      <c r="L126" t="s">
        <v>1136</v>
      </c>
      <c r="M126" t="s">
        <v>2827</v>
      </c>
      <c r="N126" t="s">
        <v>2665</v>
      </c>
      <c r="O126" t="s">
        <v>2828</v>
      </c>
      <c r="P126" t="s">
        <v>2671</v>
      </c>
      <c r="Q126" t="s">
        <v>2672</v>
      </c>
      <c r="R126" t="s">
        <v>2665</v>
      </c>
      <c r="S126" t="s">
        <v>2779</v>
      </c>
      <c r="T126" t="s">
        <v>2780</v>
      </c>
      <c r="U126" t="s">
        <v>2665</v>
      </c>
      <c r="V126" t="s">
        <v>2875</v>
      </c>
      <c r="W126" t="s">
        <v>2881</v>
      </c>
      <c r="X126" t="s">
        <v>2665</v>
      </c>
      <c r="Y126" t="s">
        <v>2054</v>
      </c>
      <c r="Z126" t="s">
        <v>1136</v>
      </c>
      <c r="AA126" t="s">
        <v>2745</v>
      </c>
      <c r="AB126" t="s">
        <v>2745</v>
      </c>
      <c r="AC126" t="s">
        <v>2665</v>
      </c>
      <c r="AD126" t="s">
        <v>2054</v>
      </c>
      <c r="AE126" t="s">
        <v>2054</v>
      </c>
    </row>
    <row r="127" spans="1:31" x14ac:dyDescent="0.25">
      <c r="A127" t="s">
        <v>1263</v>
      </c>
      <c r="B127" t="s">
        <v>1262</v>
      </c>
      <c r="C127" t="s">
        <v>2891</v>
      </c>
      <c r="D127" t="s">
        <v>1262</v>
      </c>
      <c r="E127" t="s">
        <v>2666</v>
      </c>
      <c r="F127" t="s">
        <v>2892</v>
      </c>
      <c r="G127" t="s">
        <v>2666</v>
      </c>
      <c r="H127" t="s">
        <v>2054</v>
      </c>
      <c r="I127" t="s">
        <v>2741</v>
      </c>
      <c r="J127" t="s">
        <v>2054</v>
      </c>
      <c r="K127" t="s">
        <v>2665</v>
      </c>
      <c r="L127" t="s">
        <v>1136</v>
      </c>
      <c r="M127" t="s">
        <v>2827</v>
      </c>
      <c r="N127" t="s">
        <v>2665</v>
      </c>
      <c r="O127" t="s">
        <v>2828</v>
      </c>
      <c r="P127" t="s">
        <v>2671</v>
      </c>
      <c r="Q127" t="s">
        <v>2672</v>
      </c>
      <c r="R127" t="s">
        <v>2665</v>
      </c>
      <c r="S127" t="s">
        <v>2779</v>
      </c>
      <c r="T127" t="s">
        <v>2780</v>
      </c>
      <c r="U127" t="s">
        <v>2665</v>
      </c>
      <c r="V127" t="s">
        <v>2875</v>
      </c>
      <c r="W127" t="s">
        <v>2881</v>
      </c>
      <c r="X127" t="s">
        <v>2665</v>
      </c>
      <c r="Y127" t="s">
        <v>2054</v>
      </c>
      <c r="Z127" t="s">
        <v>1136</v>
      </c>
      <c r="AA127" t="s">
        <v>2745</v>
      </c>
      <c r="AB127" t="s">
        <v>2745</v>
      </c>
      <c r="AC127" t="s">
        <v>2665</v>
      </c>
      <c r="AD127" t="s">
        <v>2054</v>
      </c>
      <c r="AE127" t="s">
        <v>2054</v>
      </c>
    </row>
    <row r="128" spans="1:31" x14ac:dyDescent="0.25">
      <c r="A128" t="s">
        <v>1265</v>
      </c>
      <c r="B128" t="s">
        <v>1264</v>
      </c>
      <c r="C128" t="s">
        <v>2893</v>
      </c>
      <c r="D128" t="s">
        <v>1264</v>
      </c>
      <c r="E128" t="s">
        <v>2666</v>
      </c>
      <c r="F128" t="s">
        <v>2854</v>
      </c>
      <c r="G128" t="s">
        <v>2666</v>
      </c>
      <c r="H128" t="s">
        <v>2054</v>
      </c>
      <c r="I128" t="s">
        <v>2741</v>
      </c>
      <c r="J128" t="s">
        <v>2054</v>
      </c>
      <c r="K128" t="s">
        <v>2665</v>
      </c>
      <c r="L128" t="s">
        <v>1136</v>
      </c>
      <c r="M128" t="s">
        <v>2827</v>
      </c>
      <c r="N128" t="s">
        <v>2665</v>
      </c>
      <c r="O128" t="s">
        <v>2828</v>
      </c>
      <c r="P128" t="s">
        <v>2671</v>
      </c>
      <c r="Q128" t="s">
        <v>2672</v>
      </c>
      <c r="R128" t="s">
        <v>2665</v>
      </c>
      <c r="S128" t="s">
        <v>2779</v>
      </c>
      <c r="T128" t="s">
        <v>2780</v>
      </c>
      <c r="U128" t="s">
        <v>2665</v>
      </c>
      <c r="V128" t="s">
        <v>2875</v>
      </c>
      <c r="W128" t="s">
        <v>2881</v>
      </c>
      <c r="X128" t="s">
        <v>2665</v>
      </c>
      <c r="Y128" t="s">
        <v>2054</v>
      </c>
      <c r="Z128" t="s">
        <v>1136</v>
      </c>
      <c r="AA128" t="s">
        <v>2745</v>
      </c>
      <c r="AB128" t="s">
        <v>2745</v>
      </c>
      <c r="AC128" t="s">
        <v>2665</v>
      </c>
      <c r="AD128" t="s">
        <v>2054</v>
      </c>
      <c r="AE128" t="s">
        <v>2054</v>
      </c>
    </row>
    <row r="129" spans="1:31" x14ac:dyDescent="0.25">
      <c r="A129" t="s">
        <v>1267</v>
      </c>
      <c r="B129" t="s">
        <v>1266</v>
      </c>
      <c r="C129" t="s">
        <v>2894</v>
      </c>
      <c r="D129" t="s">
        <v>1266</v>
      </c>
      <c r="E129" t="s">
        <v>2666</v>
      </c>
      <c r="F129" t="s">
        <v>2895</v>
      </c>
      <c r="G129" t="s">
        <v>2666</v>
      </c>
      <c r="H129" t="s">
        <v>2054</v>
      </c>
      <c r="I129" t="s">
        <v>2741</v>
      </c>
      <c r="J129" t="s">
        <v>2054</v>
      </c>
      <c r="K129" t="s">
        <v>2665</v>
      </c>
      <c r="L129" t="s">
        <v>1136</v>
      </c>
      <c r="M129" t="s">
        <v>2827</v>
      </c>
      <c r="N129" t="s">
        <v>2665</v>
      </c>
      <c r="O129" t="s">
        <v>2828</v>
      </c>
      <c r="P129" t="s">
        <v>2671</v>
      </c>
      <c r="Q129" t="s">
        <v>2672</v>
      </c>
      <c r="R129" t="s">
        <v>2665</v>
      </c>
      <c r="S129" t="s">
        <v>2779</v>
      </c>
      <c r="T129" t="s">
        <v>2780</v>
      </c>
      <c r="U129" t="s">
        <v>2665</v>
      </c>
      <c r="V129" t="s">
        <v>2875</v>
      </c>
      <c r="W129" t="s">
        <v>2881</v>
      </c>
      <c r="X129" t="s">
        <v>2665</v>
      </c>
      <c r="Y129" t="s">
        <v>2054</v>
      </c>
      <c r="Z129" t="s">
        <v>1136</v>
      </c>
      <c r="AA129" t="s">
        <v>2745</v>
      </c>
      <c r="AB129" t="s">
        <v>2745</v>
      </c>
      <c r="AC129" t="s">
        <v>2665</v>
      </c>
      <c r="AD129" t="s">
        <v>2054</v>
      </c>
      <c r="AE129" t="s">
        <v>2054</v>
      </c>
    </row>
    <row r="130" spans="1:31" x14ac:dyDescent="0.25">
      <c r="A130" t="s">
        <v>1269</v>
      </c>
      <c r="B130" t="s">
        <v>1268</v>
      </c>
      <c r="C130" t="s">
        <v>2896</v>
      </c>
      <c r="D130" t="s">
        <v>1268</v>
      </c>
      <c r="E130" t="s">
        <v>2666</v>
      </c>
      <c r="F130" t="s">
        <v>2897</v>
      </c>
      <c r="G130" t="s">
        <v>2666</v>
      </c>
      <c r="H130" t="s">
        <v>2054</v>
      </c>
      <c r="I130" t="s">
        <v>2741</v>
      </c>
      <c r="J130" t="s">
        <v>2054</v>
      </c>
      <c r="K130" t="s">
        <v>2665</v>
      </c>
      <c r="L130" t="s">
        <v>1136</v>
      </c>
      <c r="M130" t="s">
        <v>2827</v>
      </c>
      <c r="N130" t="s">
        <v>2665</v>
      </c>
      <c r="O130" t="s">
        <v>2828</v>
      </c>
      <c r="P130" t="s">
        <v>2671</v>
      </c>
      <c r="Q130" t="s">
        <v>2672</v>
      </c>
      <c r="R130" t="s">
        <v>2665</v>
      </c>
      <c r="S130" t="s">
        <v>2779</v>
      </c>
      <c r="T130" t="s">
        <v>2780</v>
      </c>
      <c r="U130" t="s">
        <v>2665</v>
      </c>
      <c r="V130" t="s">
        <v>2898</v>
      </c>
      <c r="W130" t="s">
        <v>2899</v>
      </c>
      <c r="X130" t="s">
        <v>2665</v>
      </c>
      <c r="Y130" t="s">
        <v>2054</v>
      </c>
      <c r="Z130" t="s">
        <v>1136</v>
      </c>
      <c r="AA130" t="s">
        <v>2795</v>
      </c>
      <c r="AB130" t="s">
        <v>2795</v>
      </c>
      <c r="AC130" t="s">
        <v>2665</v>
      </c>
      <c r="AD130" t="s">
        <v>2054</v>
      </c>
      <c r="AE130" t="s">
        <v>2726</v>
      </c>
    </row>
    <row r="131" spans="1:31" x14ac:dyDescent="0.25">
      <c r="A131" t="s">
        <v>1271</v>
      </c>
      <c r="B131" t="s">
        <v>1270</v>
      </c>
      <c r="C131" t="s">
        <v>2900</v>
      </c>
      <c r="D131" t="s">
        <v>1270</v>
      </c>
      <c r="E131" t="s">
        <v>2666</v>
      </c>
      <c r="F131" t="s">
        <v>2901</v>
      </c>
      <c r="G131" t="s">
        <v>2666</v>
      </c>
      <c r="H131" t="s">
        <v>2054</v>
      </c>
      <c r="I131" t="s">
        <v>2741</v>
      </c>
      <c r="J131" t="s">
        <v>2054</v>
      </c>
      <c r="K131" t="s">
        <v>2665</v>
      </c>
      <c r="L131" t="s">
        <v>1136</v>
      </c>
      <c r="M131" t="s">
        <v>2827</v>
      </c>
      <c r="N131" t="s">
        <v>2665</v>
      </c>
      <c r="O131" t="s">
        <v>2828</v>
      </c>
      <c r="P131" t="s">
        <v>2671</v>
      </c>
      <c r="Q131" t="s">
        <v>2672</v>
      </c>
      <c r="R131" t="s">
        <v>2665</v>
      </c>
      <c r="S131" t="s">
        <v>2779</v>
      </c>
      <c r="T131" t="s">
        <v>2780</v>
      </c>
      <c r="U131" t="s">
        <v>2665</v>
      </c>
      <c r="V131" t="s">
        <v>2898</v>
      </c>
      <c r="W131" t="s">
        <v>2899</v>
      </c>
      <c r="X131" t="s">
        <v>2665</v>
      </c>
      <c r="Y131" t="s">
        <v>2054</v>
      </c>
      <c r="Z131" t="s">
        <v>1136</v>
      </c>
      <c r="AA131" t="s">
        <v>2795</v>
      </c>
      <c r="AB131" t="s">
        <v>2795</v>
      </c>
      <c r="AC131" t="s">
        <v>2665</v>
      </c>
      <c r="AD131" t="s">
        <v>2054</v>
      </c>
      <c r="AE131" t="s">
        <v>2726</v>
      </c>
    </row>
    <row r="132" spans="1:31" x14ac:dyDescent="0.25">
      <c r="A132" t="s">
        <v>1273</v>
      </c>
      <c r="B132" t="s">
        <v>1272</v>
      </c>
      <c r="C132" t="s">
        <v>2902</v>
      </c>
      <c r="D132" t="s">
        <v>1272</v>
      </c>
      <c r="E132" t="s">
        <v>2666</v>
      </c>
      <c r="F132" t="s">
        <v>2903</v>
      </c>
      <c r="G132" t="s">
        <v>2666</v>
      </c>
      <c r="H132" t="s">
        <v>2054</v>
      </c>
      <c r="I132" t="s">
        <v>2741</v>
      </c>
      <c r="J132" t="s">
        <v>2054</v>
      </c>
      <c r="K132" t="s">
        <v>2665</v>
      </c>
      <c r="L132" t="s">
        <v>1136</v>
      </c>
      <c r="M132" t="s">
        <v>2827</v>
      </c>
      <c r="N132" t="s">
        <v>2665</v>
      </c>
      <c r="O132" t="s">
        <v>2828</v>
      </c>
      <c r="P132" t="s">
        <v>2671</v>
      </c>
      <c r="Q132" t="s">
        <v>2672</v>
      </c>
      <c r="R132" t="s">
        <v>2665</v>
      </c>
      <c r="S132" t="s">
        <v>2779</v>
      </c>
      <c r="T132" t="s">
        <v>2780</v>
      </c>
      <c r="U132" t="s">
        <v>2665</v>
      </c>
      <c r="V132" t="s">
        <v>2898</v>
      </c>
      <c r="W132" t="s">
        <v>2899</v>
      </c>
      <c r="X132" t="s">
        <v>2665</v>
      </c>
      <c r="Y132" t="s">
        <v>2054</v>
      </c>
      <c r="Z132" t="s">
        <v>1136</v>
      </c>
      <c r="AA132" t="s">
        <v>2795</v>
      </c>
      <c r="AB132" t="s">
        <v>2795</v>
      </c>
      <c r="AC132" t="s">
        <v>2665</v>
      </c>
      <c r="AD132" t="s">
        <v>2054</v>
      </c>
      <c r="AE132" t="s">
        <v>2726</v>
      </c>
    </row>
    <row r="133" spans="1:31" x14ac:dyDescent="0.25">
      <c r="A133" t="s">
        <v>1275</v>
      </c>
      <c r="B133" t="s">
        <v>1274</v>
      </c>
      <c r="C133" t="s">
        <v>2904</v>
      </c>
      <c r="D133" t="s">
        <v>1274</v>
      </c>
      <c r="E133" t="s">
        <v>2666</v>
      </c>
      <c r="F133" t="s">
        <v>2905</v>
      </c>
      <c r="G133" t="s">
        <v>2666</v>
      </c>
      <c r="H133" t="s">
        <v>2054</v>
      </c>
      <c r="I133" t="s">
        <v>2741</v>
      </c>
      <c r="J133" t="s">
        <v>2054</v>
      </c>
      <c r="K133" t="s">
        <v>2665</v>
      </c>
      <c r="L133" t="s">
        <v>1136</v>
      </c>
      <c r="M133" t="s">
        <v>2827</v>
      </c>
      <c r="N133" t="s">
        <v>2665</v>
      </c>
      <c r="O133" t="s">
        <v>2828</v>
      </c>
      <c r="P133" t="s">
        <v>2671</v>
      </c>
      <c r="Q133" t="s">
        <v>2672</v>
      </c>
      <c r="R133" t="s">
        <v>2665</v>
      </c>
      <c r="S133" t="s">
        <v>2779</v>
      </c>
      <c r="T133" t="s">
        <v>2780</v>
      </c>
      <c r="U133" t="s">
        <v>2665</v>
      </c>
      <c r="V133" t="s">
        <v>2898</v>
      </c>
      <c r="W133" t="s">
        <v>2899</v>
      </c>
      <c r="X133" t="s">
        <v>2665</v>
      </c>
      <c r="Y133" t="s">
        <v>2054</v>
      </c>
      <c r="Z133" t="s">
        <v>1136</v>
      </c>
      <c r="AA133" t="s">
        <v>2795</v>
      </c>
      <c r="AB133" t="s">
        <v>2795</v>
      </c>
      <c r="AC133" t="s">
        <v>2665</v>
      </c>
      <c r="AD133" t="s">
        <v>2054</v>
      </c>
      <c r="AE133" t="s">
        <v>2726</v>
      </c>
    </row>
    <row r="134" spans="1:31" x14ac:dyDescent="0.25">
      <c r="A134" t="s">
        <v>1277</v>
      </c>
      <c r="B134" t="s">
        <v>1276</v>
      </c>
      <c r="C134" t="s">
        <v>2906</v>
      </c>
      <c r="D134" t="s">
        <v>1276</v>
      </c>
      <c r="E134" t="s">
        <v>2666</v>
      </c>
      <c r="F134" t="s">
        <v>2712</v>
      </c>
      <c r="G134" t="s">
        <v>2666</v>
      </c>
      <c r="H134" t="s">
        <v>2054</v>
      </c>
      <c r="I134" t="s">
        <v>2741</v>
      </c>
      <c r="J134" t="s">
        <v>2054</v>
      </c>
      <c r="K134" t="s">
        <v>2665</v>
      </c>
      <c r="L134" t="s">
        <v>1136</v>
      </c>
      <c r="M134" t="s">
        <v>2827</v>
      </c>
      <c r="N134" t="s">
        <v>2665</v>
      </c>
      <c r="O134" t="s">
        <v>2828</v>
      </c>
      <c r="P134" t="s">
        <v>2671</v>
      </c>
      <c r="Q134" t="s">
        <v>2672</v>
      </c>
      <c r="R134" t="s">
        <v>2665</v>
      </c>
      <c r="S134" t="s">
        <v>2779</v>
      </c>
      <c r="T134" t="s">
        <v>2780</v>
      </c>
      <c r="U134" t="s">
        <v>2665</v>
      </c>
      <c r="V134" t="s">
        <v>2898</v>
      </c>
      <c r="W134" t="s">
        <v>2899</v>
      </c>
      <c r="X134" t="s">
        <v>2665</v>
      </c>
      <c r="Y134" t="s">
        <v>2054</v>
      </c>
      <c r="Z134" t="s">
        <v>1136</v>
      </c>
      <c r="AA134" t="s">
        <v>2795</v>
      </c>
      <c r="AB134" t="s">
        <v>2795</v>
      </c>
      <c r="AC134" t="s">
        <v>2665</v>
      </c>
      <c r="AD134" t="s">
        <v>2054</v>
      </c>
      <c r="AE134" t="s">
        <v>2726</v>
      </c>
    </row>
    <row r="135" spans="1:31" x14ac:dyDescent="0.25">
      <c r="A135" t="s">
        <v>1279</v>
      </c>
      <c r="B135" t="s">
        <v>1278</v>
      </c>
      <c r="C135" t="s">
        <v>2907</v>
      </c>
      <c r="D135" t="s">
        <v>1278</v>
      </c>
      <c r="E135" t="s">
        <v>2666</v>
      </c>
      <c r="F135" t="s">
        <v>2908</v>
      </c>
      <c r="G135" t="s">
        <v>2666</v>
      </c>
      <c r="H135" t="s">
        <v>2054</v>
      </c>
      <c r="I135" t="s">
        <v>2909</v>
      </c>
      <c r="J135" t="s">
        <v>2054</v>
      </c>
      <c r="K135" t="s">
        <v>2665</v>
      </c>
      <c r="L135" t="s">
        <v>1280</v>
      </c>
      <c r="M135" t="s">
        <v>2827</v>
      </c>
      <c r="N135" t="s">
        <v>2665</v>
      </c>
      <c r="O135" t="s">
        <v>2828</v>
      </c>
      <c r="P135" t="s">
        <v>2671</v>
      </c>
      <c r="Q135" t="s">
        <v>2672</v>
      </c>
      <c r="R135" t="s">
        <v>2665</v>
      </c>
      <c r="S135" t="s">
        <v>2779</v>
      </c>
      <c r="T135" t="s">
        <v>2780</v>
      </c>
      <c r="U135" t="s">
        <v>2665</v>
      </c>
      <c r="V135" t="s">
        <v>2910</v>
      </c>
      <c r="W135" t="s">
        <v>2911</v>
      </c>
      <c r="X135" t="s">
        <v>2665</v>
      </c>
      <c r="Y135" t="s">
        <v>2054</v>
      </c>
      <c r="Z135" t="s">
        <v>1280</v>
      </c>
      <c r="AA135" t="s">
        <v>2665</v>
      </c>
      <c r="AB135" t="s">
        <v>2665</v>
      </c>
      <c r="AC135" t="s">
        <v>2665</v>
      </c>
      <c r="AD135" t="s">
        <v>2054</v>
      </c>
      <c r="AE135" t="s">
        <v>2726</v>
      </c>
    </row>
    <row r="136" spans="1:31" x14ac:dyDescent="0.25">
      <c r="A136" t="s">
        <v>1282</v>
      </c>
      <c r="B136" t="s">
        <v>1281</v>
      </c>
      <c r="C136" t="s">
        <v>2912</v>
      </c>
      <c r="D136" t="s">
        <v>1281</v>
      </c>
      <c r="E136" t="s">
        <v>2666</v>
      </c>
      <c r="F136" t="s">
        <v>2852</v>
      </c>
      <c r="G136" t="s">
        <v>2666</v>
      </c>
      <c r="H136" t="s">
        <v>2054</v>
      </c>
      <c r="I136" t="s">
        <v>2909</v>
      </c>
      <c r="J136" t="s">
        <v>2054</v>
      </c>
      <c r="K136" t="s">
        <v>2665</v>
      </c>
      <c r="L136" t="s">
        <v>1280</v>
      </c>
      <c r="M136" t="s">
        <v>2827</v>
      </c>
      <c r="N136" t="s">
        <v>2665</v>
      </c>
      <c r="O136" t="s">
        <v>2828</v>
      </c>
      <c r="P136" t="s">
        <v>2671</v>
      </c>
      <c r="Q136" t="s">
        <v>2672</v>
      </c>
      <c r="R136" t="s">
        <v>2665</v>
      </c>
      <c r="S136" t="s">
        <v>2779</v>
      </c>
      <c r="T136" t="s">
        <v>2780</v>
      </c>
      <c r="U136" t="s">
        <v>2665</v>
      </c>
      <c r="V136" t="s">
        <v>2910</v>
      </c>
      <c r="W136" t="s">
        <v>2911</v>
      </c>
      <c r="X136" t="s">
        <v>2665</v>
      </c>
      <c r="Y136" t="s">
        <v>2054</v>
      </c>
      <c r="Z136" t="s">
        <v>1280</v>
      </c>
      <c r="AA136" t="s">
        <v>2665</v>
      </c>
      <c r="AB136" t="s">
        <v>2665</v>
      </c>
      <c r="AC136" t="s">
        <v>2665</v>
      </c>
      <c r="AD136" t="s">
        <v>2054</v>
      </c>
      <c r="AE136" t="s">
        <v>2726</v>
      </c>
    </row>
    <row r="137" spans="1:31" x14ac:dyDescent="0.25">
      <c r="A137" t="s">
        <v>1284</v>
      </c>
      <c r="B137" t="s">
        <v>1283</v>
      </c>
      <c r="C137" t="s">
        <v>2913</v>
      </c>
      <c r="D137" t="s">
        <v>1283</v>
      </c>
      <c r="E137" t="s">
        <v>2666</v>
      </c>
      <c r="F137" t="s">
        <v>2914</v>
      </c>
      <c r="G137" t="s">
        <v>2666</v>
      </c>
      <c r="H137" t="s">
        <v>2054</v>
      </c>
      <c r="I137" t="s">
        <v>2909</v>
      </c>
      <c r="J137" t="s">
        <v>2054</v>
      </c>
      <c r="K137" t="s">
        <v>2665</v>
      </c>
      <c r="L137" t="s">
        <v>1280</v>
      </c>
      <c r="M137" t="s">
        <v>2827</v>
      </c>
      <c r="N137" t="s">
        <v>2665</v>
      </c>
      <c r="O137" t="s">
        <v>2828</v>
      </c>
      <c r="P137" t="s">
        <v>2671</v>
      </c>
      <c r="Q137" t="s">
        <v>2672</v>
      </c>
      <c r="R137" t="s">
        <v>2665</v>
      </c>
      <c r="S137" t="s">
        <v>2779</v>
      </c>
      <c r="T137" t="s">
        <v>2780</v>
      </c>
      <c r="U137" t="s">
        <v>2665</v>
      </c>
      <c r="V137" t="s">
        <v>2910</v>
      </c>
      <c r="W137" t="s">
        <v>2911</v>
      </c>
      <c r="X137" t="s">
        <v>2665</v>
      </c>
      <c r="Y137" t="s">
        <v>2054</v>
      </c>
      <c r="Z137" t="s">
        <v>1280</v>
      </c>
      <c r="AA137" t="s">
        <v>2665</v>
      </c>
      <c r="AB137" t="s">
        <v>2665</v>
      </c>
      <c r="AC137" t="s">
        <v>2665</v>
      </c>
      <c r="AD137" t="s">
        <v>2054</v>
      </c>
      <c r="AE137" t="s">
        <v>2726</v>
      </c>
    </row>
    <row r="138" spans="1:31" x14ac:dyDescent="0.25">
      <c r="A138" t="s">
        <v>1286</v>
      </c>
      <c r="B138" t="s">
        <v>1285</v>
      </c>
      <c r="C138" t="s">
        <v>2915</v>
      </c>
      <c r="D138" t="s">
        <v>1285</v>
      </c>
      <c r="E138" t="s">
        <v>2666</v>
      </c>
      <c r="F138" t="s">
        <v>2916</v>
      </c>
      <c r="G138" t="s">
        <v>2666</v>
      </c>
      <c r="H138" t="s">
        <v>2054</v>
      </c>
      <c r="I138" t="s">
        <v>2909</v>
      </c>
      <c r="J138" t="s">
        <v>2054</v>
      </c>
      <c r="K138" t="s">
        <v>2665</v>
      </c>
      <c r="L138" t="s">
        <v>1280</v>
      </c>
      <c r="M138" t="s">
        <v>2827</v>
      </c>
      <c r="N138" t="s">
        <v>2665</v>
      </c>
      <c r="O138" t="s">
        <v>2828</v>
      </c>
      <c r="P138" t="s">
        <v>2671</v>
      </c>
      <c r="Q138" t="s">
        <v>2672</v>
      </c>
      <c r="R138" t="s">
        <v>2665</v>
      </c>
      <c r="S138" t="s">
        <v>2779</v>
      </c>
      <c r="T138" t="s">
        <v>2780</v>
      </c>
      <c r="U138" t="s">
        <v>2665</v>
      </c>
      <c r="V138" t="s">
        <v>2910</v>
      </c>
      <c r="W138" t="s">
        <v>2911</v>
      </c>
      <c r="X138" t="s">
        <v>2665</v>
      </c>
      <c r="Y138" t="s">
        <v>2054</v>
      </c>
      <c r="Z138" t="s">
        <v>1280</v>
      </c>
      <c r="AA138" t="s">
        <v>2665</v>
      </c>
      <c r="AB138" t="s">
        <v>2665</v>
      </c>
      <c r="AC138" t="s">
        <v>2665</v>
      </c>
      <c r="AD138" t="s">
        <v>2054</v>
      </c>
      <c r="AE138" t="s">
        <v>2726</v>
      </c>
    </row>
    <row r="139" spans="1:31" x14ac:dyDescent="0.25">
      <c r="A139" t="s">
        <v>2917</v>
      </c>
      <c r="B139" t="s">
        <v>2918</v>
      </c>
      <c r="C139" t="s">
        <v>2919</v>
      </c>
      <c r="D139" t="s">
        <v>2918</v>
      </c>
      <c r="E139" t="s">
        <v>2666</v>
      </c>
      <c r="F139" t="s">
        <v>2819</v>
      </c>
      <c r="G139" t="s">
        <v>2666</v>
      </c>
      <c r="H139" t="s">
        <v>2054</v>
      </c>
      <c r="I139" t="s">
        <v>2909</v>
      </c>
      <c r="J139" t="s">
        <v>2054</v>
      </c>
      <c r="K139" t="s">
        <v>2665</v>
      </c>
      <c r="L139" t="s">
        <v>1280</v>
      </c>
      <c r="M139" t="s">
        <v>2827</v>
      </c>
      <c r="N139" t="s">
        <v>2665</v>
      </c>
      <c r="O139" t="s">
        <v>2828</v>
      </c>
      <c r="P139" t="s">
        <v>2671</v>
      </c>
      <c r="Q139" t="s">
        <v>2672</v>
      </c>
      <c r="R139" t="s">
        <v>2665</v>
      </c>
      <c r="S139" t="s">
        <v>2779</v>
      </c>
      <c r="T139" t="s">
        <v>2780</v>
      </c>
      <c r="U139" t="s">
        <v>2665</v>
      </c>
      <c r="V139" t="s">
        <v>2910</v>
      </c>
      <c r="W139" t="s">
        <v>2911</v>
      </c>
      <c r="X139" t="s">
        <v>2665</v>
      </c>
      <c r="Y139" t="s">
        <v>2054</v>
      </c>
      <c r="Z139" t="s">
        <v>1280</v>
      </c>
      <c r="AA139" t="s">
        <v>2665</v>
      </c>
      <c r="AB139" t="s">
        <v>2665</v>
      </c>
      <c r="AC139" t="s">
        <v>2665</v>
      </c>
      <c r="AD139" t="s">
        <v>2054</v>
      </c>
      <c r="AE139" t="s">
        <v>2718</v>
      </c>
    </row>
    <row r="140" spans="1:31" x14ac:dyDescent="0.25">
      <c r="A140" t="s">
        <v>1043</v>
      </c>
      <c r="B140" t="s">
        <v>1010</v>
      </c>
      <c r="C140" t="s">
        <v>2920</v>
      </c>
      <c r="D140" t="s">
        <v>1011</v>
      </c>
      <c r="E140" t="s">
        <v>2666</v>
      </c>
      <c r="F140" t="s">
        <v>2921</v>
      </c>
      <c r="G140" t="s">
        <v>2666</v>
      </c>
      <c r="H140" t="s">
        <v>2054</v>
      </c>
      <c r="I140" t="s">
        <v>2741</v>
      </c>
      <c r="J140" t="s">
        <v>2054</v>
      </c>
      <c r="K140" t="s">
        <v>2665</v>
      </c>
      <c r="L140" t="s">
        <v>1136</v>
      </c>
      <c r="M140" t="s">
        <v>2827</v>
      </c>
      <c r="N140" t="s">
        <v>2665</v>
      </c>
      <c r="O140" t="s">
        <v>2828</v>
      </c>
      <c r="P140" t="s">
        <v>2671</v>
      </c>
      <c r="Q140" t="s">
        <v>2672</v>
      </c>
      <c r="R140" t="s">
        <v>2665</v>
      </c>
      <c r="S140" t="s">
        <v>2781</v>
      </c>
      <c r="T140" t="s">
        <v>2922</v>
      </c>
      <c r="U140" t="s">
        <v>2665</v>
      </c>
      <c r="V140" t="s">
        <v>2923</v>
      </c>
      <c r="W140" t="s">
        <v>2924</v>
      </c>
      <c r="X140" t="s">
        <v>2665</v>
      </c>
      <c r="Y140" t="s">
        <v>2054</v>
      </c>
      <c r="Z140" t="s">
        <v>1136</v>
      </c>
      <c r="AA140" t="s">
        <v>2797</v>
      </c>
      <c r="AB140" t="s">
        <v>2797</v>
      </c>
      <c r="AC140" t="s">
        <v>2665</v>
      </c>
      <c r="AD140" t="s">
        <v>2054</v>
      </c>
      <c r="AE140" t="s">
        <v>2054</v>
      </c>
    </row>
    <row r="141" spans="1:31" x14ac:dyDescent="0.25">
      <c r="A141" t="s">
        <v>1044</v>
      </c>
      <c r="B141" t="s">
        <v>1012</v>
      </c>
      <c r="C141" t="s">
        <v>2742</v>
      </c>
      <c r="D141" t="s">
        <v>1013</v>
      </c>
      <c r="E141" t="s">
        <v>2666</v>
      </c>
      <c r="F141" t="s">
        <v>2925</v>
      </c>
      <c r="G141" t="s">
        <v>2666</v>
      </c>
      <c r="H141" t="s">
        <v>2054</v>
      </c>
      <c r="I141" t="s">
        <v>2741</v>
      </c>
      <c r="J141" t="s">
        <v>2054</v>
      </c>
      <c r="K141" t="s">
        <v>2665</v>
      </c>
      <c r="L141" t="s">
        <v>1136</v>
      </c>
      <c r="M141" t="s">
        <v>2827</v>
      </c>
      <c r="N141" t="s">
        <v>2665</v>
      </c>
      <c r="O141" t="s">
        <v>2828</v>
      </c>
      <c r="P141" t="s">
        <v>2671</v>
      </c>
      <c r="Q141" t="s">
        <v>2672</v>
      </c>
      <c r="R141" t="s">
        <v>2665</v>
      </c>
      <c r="S141" t="s">
        <v>2781</v>
      </c>
      <c r="T141" t="s">
        <v>2922</v>
      </c>
      <c r="U141" t="s">
        <v>2665</v>
      </c>
      <c r="V141" t="s">
        <v>2923</v>
      </c>
      <c r="W141" t="s">
        <v>2924</v>
      </c>
      <c r="X141" t="s">
        <v>2665</v>
      </c>
      <c r="Y141" t="s">
        <v>2054</v>
      </c>
      <c r="Z141" t="s">
        <v>1136</v>
      </c>
      <c r="AA141" t="s">
        <v>2797</v>
      </c>
      <c r="AB141" t="s">
        <v>2797</v>
      </c>
      <c r="AC141" t="s">
        <v>2665</v>
      </c>
      <c r="AD141" t="s">
        <v>2054</v>
      </c>
      <c r="AE141" t="s">
        <v>2054</v>
      </c>
    </row>
    <row r="142" spans="1:31" x14ac:dyDescent="0.25">
      <c r="A142" t="s">
        <v>2079</v>
      </c>
      <c r="B142" t="s">
        <v>2000</v>
      </c>
      <c r="C142" t="s">
        <v>2926</v>
      </c>
      <c r="D142" t="s">
        <v>2001</v>
      </c>
      <c r="E142" t="s">
        <v>2666</v>
      </c>
      <c r="F142" t="s">
        <v>2927</v>
      </c>
      <c r="G142" t="s">
        <v>2666</v>
      </c>
      <c r="H142" t="s">
        <v>2054</v>
      </c>
      <c r="I142" t="s">
        <v>2741</v>
      </c>
      <c r="J142" t="s">
        <v>2054</v>
      </c>
      <c r="K142" t="s">
        <v>2665</v>
      </c>
      <c r="L142" t="s">
        <v>1136</v>
      </c>
      <c r="M142" t="s">
        <v>2827</v>
      </c>
      <c r="N142" t="s">
        <v>2665</v>
      </c>
      <c r="O142" t="s">
        <v>2828</v>
      </c>
      <c r="P142" t="s">
        <v>2671</v>
      </c>
      <c r="Q142" t="s">
        <v>2672</v>
      </c>
      <c r="R142" t="s">
        <v>2665</v>
      </c>
      <c r="S142" t="s">
        <v>2781</v>
      </c>
      <c r="T142" t="s">
        <v>2922</v>
      </c>
      <c r="U142" t="s">
        <v>2665</v>
      </c>
      <c r="V142" t="s">
        <v>2923</v>
      </c>
      <c r="W142" t="s">
        <v>2924</v>
      </c>
      <c r="X142" t="s">
        <v>2665</v>
      </c>
      <c r="Y142" t="s">
        <v>2054</v>
      </c>
      <c r="Z142" t="s">
        <v>1136</v>
      </c>
      <c r="AA142" t="s">
        <v>2797</v>
      </c>
      <c r="AB142" t="s">
        <v>2797</v>
      </c>
      <c r="AC142" t="s">
        <v>2665</v>
      </c>
      <c r="AD142" t="s">
        <v>2054</v>
      </c>
      <c r="AE142" t="s">
        <v>2054</v>
      </c>
    </row>
    <row r="143" spans="1:31" x14ac:dyDescent="0.25">
      <c r="A143" t="s">
        <v>1045</v>
      </c>
      <c r="B143" t="s">
        <v>1014</v>
      </c>
      <c r="C143" t="s">
        <v>2928</v>
      </c>
      <c r="D143" t="s">
        <v>1015</v>
      </c>
      <c r="E143" t="s">
        <v>2666</v>
      </c>
      <c r="F143" t="s">
        <v>2929</v>
      </c>
      <c r="G143" t="s">
        <v>2666</v>
      </c>
      <c r="H143" t="s">
        <v>2054</v>
      </c>
      <c r="I143" t="s">
        <v>2741</v>
      </c>
      <c r="J143" t="s">
        <v>2054</v>
      </c>
      <c r="K143" t="s">
        <v>2665</v>
      </c>
      <c r="L143" t="s">
        <v>1136</v>
      </c>
      <c r="M143" t="s">
        <v>2827</v>
      </c>
      <c r="N143" t="s">
        <v>2665</v>
      </c>
      <c r="O143" t="s">
        <v>2828</v>
      </c>
      <c r="P143" t="s">
        <v>2671</v>
      </c>
      <c r="Q143" t="s">
        <v>2672</v>
      </c>
      <c r="R143" t="s">
        <v>2665</v>
      </c>
      <c r="S143" t="s">
        <v>2781</v>
      </c>
      <c r="T143" t="s">
        <v>2922</v>
      </c>
      <c r="U143" t="s">
        <v>2665</v>
      </c>
      <c r="V143" t="s">
        <v>2923</v>
      </c>
      <c r="W143" t="s">
        <v>2924</v>
      </c>
      <c r="X143" t="s">
        <v>2665</v>
      </c>
      <c r="Y143" t="s">
        <v>2054</v>
      </c>
      <c r="Z143" t="s">
        <v>1136</v>
      </c>
      <c r="AA143" t="s">
        <v>2797</v>
      </c>
      <c r="AB143" t="s">
        <v>2797</v>
      </c>
      <c r="AC143" t="s">
        <v>2665</v>
      </c>
      <c r="AD143" t="s">
        <v>2054</v>
      </c>
      <c r="AE143" t="s">
        <v>2054</v>
      </c>
    </row>
    <row r="144" spans="1:31" x14ac:dyDescent="0.25">
      <c r="A144" t="s">
        <v>2080</v>
      </c>
      <c r="B144" t="s">
        <v>2002</v>
      </c>
      <c r="C144" t="s">
        <v>2930</v>
      </c>
      <c r="D144" t="s">
        <v>2003</v>
      </c>
      <c r="E144" t="s">
        <v>2666</v>
      </c>
      <c r="F144" t="s">
        <v>2931</v>
      </c>
      <c r="G144" t="s">
        <v>2666</v>
      </c>
      <c r="H144" t="s">
        <v>2054</v>
      </c>
      <c r="I144" t="s">
        <v>2741</v>
      </c>
      <c r="J144" t="s">
        <v>2054</v>
      </c>
      <c r="K144" t="s">
        <v>2665</v>
      </c>
      <c r="L144" t="s">
        <v>1136</v>
      </c>
      <c r="M144" t="s">
        <v>2827</v>
      </c>
      <c r="N144" t="s">
        <v>2665</v>
      </c>
      <c r="O144" t="s">
        <v>2828</v>
      </c>
      <c r="P144" t="s">
        <v>2671</v>
      </c>
      <c r="Q144" t="s">
        <v>2672</v>
      </c>
      <c r="R144" t="s">
        <v>2665</v>
      </c>
      <c r="S144" t="s">
        <v>2781</v>
      </c>
      <c r="T144" t="s">
        <v>2922</v>
      </c>
      <c r="U144" t="s">
        <v>2665</v>
      </c>
      <c r="V144" t="s">
        <v>2923</v>
      </c>
      <c r="W144" t="s">
        <v>2924</v>
      </c>
      <c r="X144" t="s">
        <v>2665</v>
      </c>
      <c r="Y144" t="s">
        <v>2054</v>
      </c>
      <c r="Z144" t="s">
        <v>1136</v>
      </c>
      <c r="AA144" t="s">
        <v>2795</v>
      </c>
      <c r="AB144" t="s">
        <v>2795</v>
      </c>
      <c r="AC144" t="s">
        <v>2665</v>
      </c>
      <c r="AD144" t="s">
        <v>2054</v>
      </c>
      <c r="AE144" t="s">
        <v>2054</v>
      </c>
    </row>
    <row r="145" spans="1:31" x14ac:dyDescent="0.25">
      <c r="A145" t="s">
        <v>2081</v>
      </c>
      <c r="B145" t="s">
        <v>1994</v>
      </c>
      <c r="C145" t="s">
        <v>2932</v>
      </c>
      <c r="D145" t="s">
        <v>1995</v>
      </c>
      <c r="E145" t="s">
        <v>2666</v>
      </c>
      <c r="F145" t="s">
        <v>2933</v>
      </c>
      <c r="G145" t="s">
        <v>2666</v>
      </c>
      <c r="H145" t="s">
        <v>2054</v>
      </c>
      <c r="I145" t="s">
        <v>2741</v>
      </c>
      <c r="J145" t="s">
        <v>2054</v>
      </c>
      <c r="K145" t="s">
        <v>2665</v>
      </c>
      <c r="L145" t="s">
        <v>1136</v>
      </c>
      <c r="M145" t="s">
        <v>2827</v>
      </c>
      <c r="N145" t="s">
        <v>2665</v>
      </c>
      <c r="O145" t="s">
        <v>2828</v>
      </c>
      <c r="P145" t="s">
        <v>2671</v>
      </c>
      <c r="Q145" t="s">
        <v>2672</v>
      </c>
      <c r="R145" t="s">
        <v>2665</v>
      </c>
      <c r="S145" t="s">
        <v>2781</v>
      </c>
      <c r="T145" t="s">
        <v>2922</v>
      </c>
      <c r="U145" t="s">
        <v>2665</v>
      </c>
      <c r="V145" t="s">
        <v>2923</v>
      </c>
      <c r="W145" t="s">
        <v>2924</v>
      </c>
      <c r="X145" t="s">
        <v>2665</v>
      </c>
      <c r="Y145" t="s">
        <v>2054</v>
      </c>
      <c r="Z145" t="s">
        <v>1136</v>
      </c>
      <c r="AA145" t="s">
        <v>2795</v>
      </c>
      <c r="AB145" t="s">
        <v>2795</v>
      </c>
      <c r="AC145" t="s">
        <v>2665</v>
      </c>
      <c r="AD145" t="s">
        <v>2054</v>
      </c>
      <c r="AE145" t="s">
        <v>2054</v>
      </c>
    </row>
    <row r="146" spans="1:31" x14ac:dyDescent="0.25">
      <c r="A146" t="s">
        <v>1046</v>
      </c>
      <c r="B146" t="s">
        <v>1016</v>
      </c>
      <c r="C146" t="s">
        <v>2934</v>
      </c>
      <c r="D146" t="s">
        <v>1017</v>
      </c>
      <c r="E146" t="s">
        <v>2666</v>
      </c>
      <c r="F146" t="s">
        <v>2921</v>
      </c>
      <c r="G146" t="s">
        <v>2666</v>
      </c>
      <c r="H146" t="s">
        <v>2054</v>
      </c>
      <c r="I146" t="s">
        <v>2741</v>
      </c>
      <c r="J146" t="s">
        <v>2054</v>
      </c>
      <c r="K146" t="s">
        <v>2665</v>
      </c>
      <c r="L146" t="s">
        <v>1136</v>
      </c>
      <c r="M146" t="s">
        <v>2827</v>
      </c>
      <c r="N146" t="s">
        <v>2665</v>
      </c>
      <c r="O146" t="s">
        <v>2828</v>
      </c>
      <c r="P146" t="s">
        <v>2671</v>
      </c>
      <c r="Q146" t="s">
        <v>2672</v>
      </c>
      <c r="R146" t="s">
        <v>2665</v>
      </c>
      <c r="S146" t="s">
        <v>2781</v>
      </c>
      <c r="T146" t="s">
        <v>2922</v>
      </c>
      <c r="U146" t="s">
        <v>2665</v>
      </c>
      <c r="V146" t="s">
        <v>2923</v>
      </c>
      <c r="W146" t="s">
        <v>2924</v>
      </c>
      <c r="X146" t="s">
        <v>2665</v>
      </c>
      <c r="Y146" t="s">
        <v>2054</v>
      </c>
      <c r="Z146" t="s">
        <v>1136</v>
      </c>
      <c r="AA146" t="s">
        <v>2847</v>
      </c>
      <c r="AB146" t="s">
        <v>2847</v>
      </c>
      <c r="AC146" t="s">
        <v>2665</v>
      </c>
      <c r="AD146" t="s">
        <v>2054</v>
      </c>
      <c r="AE146" t="s">
        <v>2054</v>
      </c>
    </row>
    <row r="147" spans="1:31" x14ac:dyDescent="0.25">
      <c r="A147" t="s">
        <v>1047</v>
      </c>
      <c r="B147" t="s">
        <v>1018</v>
      </c>
      <c r="C147" t="s">
        <v>2935</v>
      </c>
      <c r="D147" t="s">
        <v>1019</v>
      </c>
      <c r="E147" t="s">
        <v>2666</v>
      </c>
      <c r="F147" t="s">
        <v>2921</v>
      </c>
      <c r="G147" t="s">
        <v>2666</v>
      </c>
      <c r="H147" t="s">
        <v>2054</v>
      </c>
      <c r="I147" t="s">
        <v>2741</v>
      </c>
      <c r="J147" t="s">
        <v>2054</v>
      </c>
      <c r="K147" t="s">
        <v>2665</v>
      </c>
      <c r="L147" t="s">
        <v>1136</v>
      </c>
      <c r="M147" t="s">
        <v>2827</v>
      </c>
      <c r="N147" t="s">
        <v>2665</v>
      </c>
      <c r="O147" t="s">
        <v>2828</v>
      </c>
      <c r="P147" t="s">
        <v>2671</v>
      </c>
      <c r="Q147" t="s">
        <v>2672</v>
      </c>
      <c r="R147" t="s">
        <v>2665</v>
      </c>
      <c r="S147" t="s">
        <v>2781</v>
      </c>
      <c r="T147" t="s">
        <v>2922</v>
      </c>
      <c r="U147" t="s">
        <v>2665</v>
      </c>
      <c r="V147" t="s">
        <v>2923</v>
      </c>
      <c r="W147" t="s">
        <v>2924</v>
      </c>
      <c r="X147" t="s">
        <v>2665</v>
      </c>
      <c r="Y147" t="s">
        <v>2054</v>
      </c>
      <c r="Z147" t="s">
        <v>1136</v>
      </c>
      <c r="AA147" t="s">
        <v>2847</v>
      </c>
      <c r="AB147" t="s">
        <v>2847</v>
      </c>
      <c r="AC147" t="s">
        <v>2665</v>
      </c>
      <c r="AD147" t="s">
        <v>2054</v>
      </c>
      <c r="AE147" t="s">
        <v>2054</v>
      </c>
    </row>
    <row r="148" spans="1:31" x14ac:dyDescent="0.25">
      <c r="A148" t="s">
        <v>1048</v>
      </c>
      <c r="B148" t="s">
        <v>1020</v>
      </c>
      <c r="C148" t="s">
        <v>2936</v>
      </c>
      <c r="D148" t="s">
        <v>1021</v>
      </c>
      <c r="E148" t="s">
        <v>2666</v>
      </c>
      <c r="F148" t="s">
        <v>2921</v>
      </c>
      <c r="G148" t="s">
        <v>2666</v>
      </c>
      <c r="H148" t="s">
        <v>2054</v>
      </c>
      <c r="I148" t="s">
        <v>2741</v>
      </c>
      <c r="J148" t="s">
        <v>2054</v>
      </c>
      <c r="K148" t="s">
        <v>2665</v>
      </c>
      <c r="L148" t="s">
        <v>1136</v>
      </c>
      <c r="M148" t="s">
        <v>2827</v>
      </c>
      <c r="N148" t="s">
        <v>2665</v>
      </c>
      <c r="O148" t="s">
        <v>2828</v>
      </c>
      <c r="P148" t="s">
        <v>2671</v>
      </c>
      <c r="Q148" t="s">
        <v>2672</v>
      </c>
      <c r="R148" t="s">
        <v>2665</v>
      </c>
      <c r="S148" t="s">
        <v>2781</v>
      </c>
      <c r="T148" t="s">
        <v>2922</v>
      </c>
      <c r="U148" t="s">
        <v>2665</v>
      </c>
      <c r="V148" t="s">
        <v>2923</v>
      </c>
      <c r="W148" t="s">
        <v>2924</v>
      </c>
      <c r="X148" t="s">
        <v>2665</v>
      </c>
      <c r="Y148" t="s">
        <v>2054</v>
      </c>
      <c r="Z148" t="s">
        <v>1136</v>
      </c>
      <c r="AA148" t="s">
        <v>2847</v>
      </c>
      <c r="AB148" t="s">
        <v>2847</v>
      </c>
      <c r="AC148" t="s">
        <v>2665</v>
      </c>
      <c r="AD148" t="s">
        <v>2054</v>
      </c>
      <c r="AE148" t="s">
        <v>2054</v>
      </c>
    </row>
    <row r="149" spans="1:31" x14ac:dyDescent="0.25">
      <c r="A149" t="s">
        <v>2082</v>
      </c>
      <c r="B149" t="s">
        <v>2004</v>
      </c>
      <c r="C149" t="s">
        <v>2937</v>
      </c>
      <c r="D149" t="s">
        <v>2005</v>
      </c>
      <c r="E149" t="s">
        <v>2666</v>
      </c>
      <c r="F149" t="s">
        <v>2938</v>
      </c>
      <c r="G149" t="s">
        <v>2666</v>
      </c>
      <c r="H149" t="s">
        <v>2054</v>
      </c>
      <c r="I149" t="s">
        <v>2741</v>
      </c>
      <c r="J149" t="s">
        <v>2054</v>
      </c>
      <c r="K149" t="s">
        <v>2665</v>
      </c>
      <c r="L149" t="s">
        <v>1136</v>
      </c>
      <c r="M149" t="s">
        <v>2827</v>
      </c>
      <c r="N149" t="s">
        <v>2665</v>
      </c>
      <c r="O149" t="s">
        <v>2828</v>
      </c>
      <c r="P149" t="s">
        <v>2671</v>
      </c>
      <c r="Q149" t="s">
        <v>2672</v>
      </c>
      <c r="R149" t="s">
        <v>2665</v>
      </c>
      <c r="S149" t="s">
        <v>2781</v>
      </c>
      <c r="T149" t="s">
        <v>2922</v>
      </c>
      <c r="U149" t="s">
        <v>2665</v>
      </c>
      <c r="V149" t="s">
        <v>2923</v>
      </c>
      <c r="W149" t="s">
        <v>2924</v>
      </c>
      <c r="X149" t="s">
        <v>2665</v>
      </c>
      <c r="Y149" t="s">
        <v>2054</v>
      </c>
      <c r="Z149" t="s">
        <v>1136</v>
      </c>
      <c r="AA149" t="s">
        <v>2795</v>
      </c>
      <c r="AB149" t="s">
        <v>2795</v>
      </c>
      <c r="AC149" t="s">
        <v>2665</v>
      </c>
      <c r="AD149" t="s">
        <v>2054</v>
      </c>
      <c r="AE149" t="s">
        <v>2054</v>
      </c>
    </row>
    <row r="150" spans="1:31" x14ac:dyDescent="0.25">
      <c r="A150" t="s">
        <v>2083</v>
      </c>
      <c r="B150" t="s">
        <v>1996</v>
      </c>
      <c r="C150" t="s">
        <v>2939</v>
      </c>
      <c r="D150" t="s">
        <v>1997</v>
      </c>
      <c r="E150" t="s">
        <v>2666</v>
      </c>
      <c r="F150" t="s">
        <v>2940</v>
      </c>
      <c r="G150" t="s">
        <v>2666</v>
      </c>
      <c r="H150" t="s">
        <v>2054</v>
      </c>
      <c r="I150" t="s">
        <v>2741</v>
      </c>
      <c r="J150" t="s">
        <v>2054</v>
      </c>
      <c r="K150" t="s">
        <v>2665</v>
      </c>
      <c r="L150" t="s">
        <v>1136</v>
      </c>
      <c r="M150" t="s">
        <v>2827</v>
      </c>
      <c r="N150" t="s">
        <v>2665</v>
      </c>
      <c r="O150" t="s">
        <v>2828</v>
      </c>
      <c r="P150" t="s">
        <v>2671</v>
      </c>
      <c r="Q150" t="s">
        <v>2672</v>
      </c>
      <c r="R150" t="s">
        <v>2665</v>
      </c>
      <c r="S150" t="s">
        <v>2781</v>
      </c>
      <c r="T150" t="s">
        <v>2922</v>
      </c>
      <c r="U150" t="s">
        <v>2665</v>
      </c>
      <c r="V150" t="s">
        <v>2923</v>
      </c>
      <c r="W150" t="s">
        <v>2924</v>
      </c>
      <c r="X150" t="s">
        <v>2665</v>
      </c>
      <c r="Y150" t="s">
        <v>2054</v>
      </c>
      <c r="Z150" t="s">
        <v>1136</v>
      </c>
      <c r="AA150" t="s">
        <v>2795</v>
      </c>
      <c r="AB150" t="s">
        <v>2795</v>
      </c>
      <c r="AC150" t="s">
        <v>2665</v>
      </c>
      <c r="AD150" t="s">
        <v>2054</v>
      </c>
      <c r="AE150" t="s">
        <v>2054</v>
      </c>
    </row>
    <row r="151" spans="1:31" x14ac:dyDescent="0.25">
      <c r="A151" t="s">
        <v>1049</v>
      </c>
      <c r="B151" t="s">
        <v>1022</v>
      </c>
      <c r="C151" t="s">
        <v>2941</v>
      </c>
      <c r="D151" t="s">
        <v>1023</v>
      </c>
      <c r="E151" t="s">
        <v>2666</v>
      </c>
      <c r="F151" t="s">
        <v>2942</v>
      </c>
      <c r="G151" t="s">
        <v>2666</v>
      </c>
      <c r="H151" t="s">
        <v>2054</v>
      </c>
      <c r="I151" t="s">
        <v>2741</v>
      </c>
      <c r="J151" t="s">
        <v>2054</v>
      </c>
      <c r="K151" t="s">
        <v>2665</v>
      </c>
      <c r="L151" t="s">
        <v>1136</v>
      </c>
      <c r="M151" t="s">
        <v>2827</v>
      </c>
      <c r="N151" t="s">
        <v>2665</v>
      </c>
      <c r="O151" t="s">
        <v>2828</v>
      </c>
      <c r="P151" t="s">
        <v>2671</v>
      </c>
      <c r="Q151" t="s">
        <v>2672</v>
      </c>
      <c r="R151" t="s">
        <v>2665</v>
      </c>
      <c r="S151" t="s">
        <v>2781</v>
      </c>
      <c r="T151" t="s">
        <v>2922</v>
      </c>
      <c r="U151" t="s">
        <v>2665</v>
      </c>
      <c r="V151" t="s">
        <v>2923</v>
      </c>
      <c r="W151" t="s">
        <v>2924</v>
      </c>
      <c r="X151" t="s">
        <v>2665</v>
      </c>
      <c r="Y151" t="s">
        <v>2054</v>
      </c>
      <c r="Z151" t="s">
        <v>1136</v>
      </c>
      <c r="AA151" t="s">
        <v>2797</v>
      </c>
      <c r="AB151" t="s">
        <v>2797</v>
      </c>
      <c r="AC151" t="s">
        <v>2665</v>
      </c>
      <c r="AD151" t="s">
        <v>2054</v>
      </c>
      <c r="AE151" t="s">
        <v>2054</v>
      </c>
    </row>
    <row r="152" spans="1:31" x14ac:dyDescent="0.25">
      <c r="A152" t="s">
        <v>1050</v>
      </c>
      <c r="B152" t="s">
        <v>1024</v>
      </c>
      <c r="C152" t="s">
        <v>2943</v>
      </c>
      <c r="D152" t="s">
        <v>1025</v>
      </c>
      <c r="E152" t="s">
        <v>2666</v>
      </c>
      <c r="F152" t="s">
        <v>2944</v>
      </c>
      <c r="G152" t="s">
        <v>2666</v>
      </c>
      <c r="H152" t="s">
        <v>2054</v>
      </c>
      <c r="I152" t="s">
        <v>2741</v>
      </c>
      <c r="J152" t="s">
        <v>2054</v>
      </c>
      <c r="K152" t="s">
        <v>2665</v>
      </c>
      <c r="L152" t="s">
        <v>1136</v>
      </c>
      <c r="M152" t="s">
        <v>2827</v>
      </c>
      <c r="N152" t="s">
        <v>2665</v>
      </c>
      <c r="O152" t="s">
        <v>2828</v>
      </c>
      <c r="P152" t="s">
        <v>2671</v>
      </c>
      <c r="Q152" t="s">
        <v>2672</v>
      </c>
      <c r="R152" t="s">
        <v>2665</v>
      </c>
      <c r="S152" t="s">
        <v>2781</v>
      </c>
      <c r="T152" t="s">
        <v>2922</v>
      </c>
      <c r="U152" t="s">
        <v>2665</v>
      </c>
      <c r="V152" t="s">
        <v>2923</v>
      </c>
      <c r="W152" t="s">
        <v>2924</v>
      </c>
      <c r="X152" t="s">
        <v>2665</v>
      </c>
      <c r="Y152" t="s">
        <v>2054</v>
      </c>
      <c r="Z152" t="s">
        <v>1136</v>
      </c>
      <c r="AA152" t="s">
        <v>2797</v>
      </c>
      <c r="AB152" t="s">
        <v>2797</v>
      </c>
      <c r="AC152" t="s">
        <v>2665</v>
      </c>
      <c r="AD152" t="s">
        <v>2054</v>
      </c>
      <c r="AE152" t="s">
        <v>2054</v>
      </c>
    </row>
    <row r="153" spans="1:31" x14ac:dyDescent="0.25">
      <c r="A153" t="s">
        <v>1051</v>
      </c>
      <c r="B153" t="s">
        <v>1026</v>
      </c>
      <c r="C153" t="s">
        <v>2945</v>
      </c>
      <c r="D153" t="s">
        <v>1027</v>
      </c>
      <c r="E153" t="s">
        <v>2666</v>
      </c>
      <c r="F153" t="s">
        <v>2946</v>
      </c>
      <c r="G153" t="s">
        <v>2666</v>
      </c>
      <c r="H153" t="s">
        <v>2054</v>
      </c>
      <c r="I153" t="s">
        <v>2741</v>
      </c>
      <c r="J153" t="s">
        <v>2054</v>
      </c>
      <c r="K153" t="s">
        <v>2665</v>
      </c>
      <c r="L153" t="s">
        <v>1136</v>
      </c>
      <c r="M153" t="s">
        <v>2827</v>
      </c>
      <c r="N153" t="s">
        <v>2665</v>
      </c>
      <c r="O153" t="s">
        <v>2828</v>
      </c>
      <c r="P153" t="s">
        <v>2671</v>
      </c>
      <c r="Q153" t="s">
        <v>2672</v>
      </c>
      <c r="R153" t="s">
        <v>2665</v>
      </c>
      <c r="S153" t="s">
        <v>2781</v>
      </c>
      <c r="T153" t="s">
        <v>2922</v>
      </c>
      <c r="U153" t="s">
        <v>2665</v>
      </c>
      <c r="V153" t="s">
        <v>2923</v>
      </c>
      <c r="W153" t="s">
        <v>2924</v>
      </c>
      <c r="X153" t="s">
        <v>2665</v>
      </c>
      <c r="Y153" t="s">
        <v>2054</v>
      </c>
      <c r="Z153" t="s">
        <v>1136</v>
      </c>
      <c r="AA153" t="s">
        <v>2797</v>
      </c>
      <c r="AB153" t="s">
        <v>2797</v>
      </c>
      <c r="AC153" t="s">
        <v>2665</v>
      </c>
      <c r="AD153" t="s">
        <v>2054</v>
      </c>
      <c r="AE153" t="s">
        <v>2054</v>
      </c>
    </row>
    <row r="154" spans="1:31" x14ac:dyDescent="0.25">
      <c r="A154" t="s">
        <v>1052</v>
      </c>
      <c r="B154" t="s">
        <v>1028</v>
      </c>
      <c r="C154" t="s">
        <v>2947</v>
      </c>
      <c r="D154" t="s">
        <v>1029</v>
      </c>
      <c r="E154" t="s">
        <v>2666</v>
      </c>
      <c r="F154" t="s">
        <v>2948</v>
      </c>
      <c r="G154" t="s">
        <v>2666</v>
      </c>
      <c r="H154" t="s">
        <v>2054</v>
      </c>
      <c r="I154" t="s">
        <v>2741</v>
      </c>
      <c r="J154" t="s">
        <v>2054</v>
      </c>
      <c r="K154" t="s">
        <v>2665</v>
      </c>
      <c r="L154" t="s">
        <v>1136</v>
      </c>
      <c r="M154" t="s">
        <v>2827</v>
      </c>
      <c r="N154" t="s">
        <v>2665</v>
      </c>
      <c r="O154" t="s">
        <v>2828</v>
      </c>
      <c r="P154" t="s">
        <v>2671</v>
      </c>
      <c r="Q154" t="s">
        <v>2672</v>
      </c>
      <c r="R154" t="s">
        <v>2665</v>
      </c>
      <c r="S154" t="s">
        <v>2781</v>
      </c>
      <c r="T154" t="s">
        <v>2922</v>
      </c>
      <c r="U154" t="s">
        <v>2665</v>
      </c>
      <c r="V154" t="s">
        <v>2923</v>
      </c>
      <c r="W154" t="s">
        <v>2924</v>
      </c>
      <c r="X154" t="s">
        <v>2665</v>
      </c>
      <c r="Y154" t="s">
        <v>2054</v>
      </c>
      <c r="Z154" t="s">
        <v>1136</v>
      </c>
      <c r="AA154" t="s">
        <v>2797</v>
      </c>
      <c r="AB154" t="s">
        <v>2797</v>
      </c>
      <c r="AC154" t="s">
        <v>2665</v>
      </c>
      <c r="AD154" t="s">
        <v>2054</v>
      </c>
      <c r="AE154" t="s">
        <v>2054</v>
      </c>
    </row>
    <row r="155" spans="1:31" x14ac:dyDescent="0.25">
      <c r="A155" t="s">
        <v>1053</v>
      </c>
      <c r="B155" t="s">
        <v>1030</v>
      </c>
      <c r="C155" t="s">
        <v>2949</v>
      </c>
      <c r="D155" t="s">
        <v>2950</v>
      </c>
      <c r="E155" t="s">
        <v>2666</v>
      </c>
      <c r="F155" t="s">
        <v>2921</v>
      </c>
      <c r="G155" t="s">
        <v>2666</v>
      </c>
      <c r="H155" t="s">
        <v>2054</v>
      </c>
      <c r="I155" t="s">
        <v>2741</v>
      </c>
      <c r="J155" t="s">
        <v>2054</v>
      </c>
      <c r="K155" t="s">
        <v>2665</v>
      </c>
      <c r="L155" t="s">
        <v>1136</v>
      </c>
      <c r="M155" t="s">
        <v>2827</v>
      </c>
      <c r="N155" t="s">
        <v>2665</v>
      </c>
      <c r="O155" t="s">
        <v>2828</v>
      </c>
      <c r="P155" t="s">
        <v>2671</v>
      </c>
      <c r="Q155" t="s">
        <v>2672</v>
      </c>
      <c r="R155" t="s">
        <v>2665</v>
      </c>
      <c r="S155" t="s">
        <v>2781</v>
      </c>
      <c r="T155" t="s">
        <v>2922</v>
      </c>
      <c r="U155" t="s">
        <v>2665</v>
      </c>
      <c r="V155" t="s">
        <v>2923</v>
      </c>
      <c r="W155" t="s">
        <v>2924</v>
      </c>
      <c r="X155" t="s">
        <v>2665</v>
      </c>
      <c r="Y155" t="s">
        <v>2054</v>
      </c>
      <c r="Z155" t="s">
        <v>1136</v>
      </c>
      <c r="AA155" t="s">
        <v>2847</v>
      </c>
      <c r="AB155" t="s">
        <v>2847</v>
      </c>
      <c r="AC155" t="s">
        <v>2665</v>
      </c>
      <c r="AD155" t="s">
        <v>2054</v>
      </c>
      <c r="AE155" t="s">
        <v>2054</v>
      </c>
    </row>
    <row r="156" spans="1:31" x14ac:dyDescent="0.25">
      <c r="A156" t="s">
        <v>1054</v>
      </c>
      <c r="B156" t="s">
        <v>1031</v>
      </c>
      <c r="C156" t="s">
        <v>2951</v>
      </c>
      <c r="D156" t="s">
        <v>1032</v>
      </c>
      <c r="E156" t="s">
        <v>2666</v>
      </c>
      <c r="F156" t="s">
        <v>2746</v>
      </c>
      <c r="G156" t="s">
        <v>2666</v>
      </c>
      <c r="H156" t="s">
        <v>2054</v>
      </c>
      <c r="I156" t="s">
        <v>2741</v>
      </c>
      <c r="J156" t="s">
        <v>2054</v>
      </c>
      <c r="K156" t="s">
        <v>2665</v>
      </c>
      <c r="L156" t="s">
        <v>1136</v>
      </c>
      <c r="M156" t="s">
        <v>2827</v>
      </c>
      <c r="N156" t="s">
        <v>2665</v>
      </c>
      <c r="O156" t="s">
        <v>2828</v>
      </c>
      <c r="P156" t="s">
        <v>2671</v>
      </c>
      <c r="Q156" t="s">
        <v>2672</v>
      </c>
      <c r="R156" t="s">
        <v>2665</v>
      </c>
      <c r="S156" t="s">
        <v>2781</v>
      </c>
      <c r="T156" t="s">
        <v>2922</v>
      </c>
      <c r="U156" t="s">
        <v>2665</v>
      </c>
      <c r="V156" t="s">
        <v>2923</v>
      </c>
      <c r="W156" t="s">
        <v>2924</v>
      </c>
      <c r="X156" t="s">
        <v>2665</v>
      </c>
      <c r="Y156" t="s">
        <v>2054</v>
      </c>
      <c r="Z156" t="s">
        <v>1136</v>
      </c>
      <c r="AA156" t="s">
        <v>2797</v>
      </c>
      <c r="AB156" t="s">
        <v>2797</v>
      </c>
      <c r="AC156" t="s">
        <v>2665</v>
      </c>
      <c r="AD156" t="s">
        <v>2054</v>
      </c>
      <c r="AE156" t="s">
        <v>2054</v>
      </c>
    </row>
    <row r="157" spans="1:31" x14ac:dyDescent="0.25">
      <c r="A157" t="s">
        <v>1055</v>
      </c>
      <c r="B157" t="s">
        <v>1033</v>
      </c>
      <c r="C157" t="s">
        <v>2952</v>
      </c>
      <c r="D157" t="s">
        <v>1034</v>
      </c>
      <c r="E157" t="s">
        <v>2666</v>
      </c>
      <c r="F157" t="s">
        <v>2921</v>
      </c>
      <c r="G157" t="s">
        <v>2666</v>
      </c>
      <c r="H157" t="s">
        <v>2054</v>
      </c>
      <c r="I157" t="s">
        <v>2741</v>
      </c>
      <c r="J157" t="s">
        <v>2054</v>
      </c>
      <c r="K157" t="s">
        <v>2665</v>
      </c>
      <c r="L157" t="s">
        <v>1136</v>
      </c>
      <c r="M157" t="s">
        <v>2827</v>
      </c>
      <c r="N157" t="s">
        <v>2665</v>
      </c>
      <c r="O157" t="s">
        <v>2828</v>
      </c>
      <c r="P157" t="s">
        <v>2671</v>
      </c>
      <c r="Q157" t="s">
        <v>2672</v>
      </c>
      <c r="R157" t="s">
        <v>2665</v>
      </c>
      <c r="S157" t="s">
        <v>2781</v>
      </c>
      <c r="T157" t="s">
        <v>2922</v>
      </c>
      <c r="U157" t="s">
        <v>2665</v>
      </c>
      <c r="V157" t="s">
        <v>2923</v>
      </c>
      <c r="W157" t="s">
        <v>2924</v>
      </c>
      <c r="X157" t="s">
        <v>2665</v>
      </c>
      <c r="Y157" t="s">
        <v>2054</v>
      </c>
      <c r="Z157" t="s">
        <v>1136</v>
      </c>
      <c r="AA157" t="s">
        <v>2797</v>
      </c>
      <c r="AB157" t="s">
        <v>2797</v>
      </c>
      <c r="AC157" t="s">
        <v>2665</v>
      </c>
      <c r="AD157" t="s">
        <v>2054</v>
      </c>
      <c r="AE157" t="s">
        <v>2054</v>
      </c>
    </row>
    <row r="158" spans="1:31" x14ac:dyDescent="0.25">
      <c r="A158" t="s">
        <v>1056</v>
      </c>
      <c r="B158" t="s">
        <v>1035</v>
      </c>
      <c r="C158" t="s">
        <v>2953</v>
      </c>
      <c r="D158" t="s">
        <v>1036</v>
      </c>
      <c r="E158" t="s">
        <v>2666</v>
      </c>
      <c r="F158" t="s">
        <v>2954</v>
      </c>
      <c r="G158" t="s">
        <v>2666</v>
      </c>
      <c r="H158" t="s">
        <v>2054</v>
      </c>
      <c r="I158" t="s">
        <v>2741</v>
      </c>
      <c r="J158" t="s">
        <v>2054</v>
      </c>
      <c r="K158" t="s">
        <v>2665</v>
      </c>
      <c r="L158" t="s">
        <v>1136</v>
      </c>
      <c r="M158" t="s">
        <v>2827</v>
      </c>
      <c r="N158" t="s">
        <v>2665</v>
      </c>
      <c r="O158" t="s">
        <v>2828</v>
      </c>
      <c r="P158" t="s">
        <v>2671</v>
      </c>
      <c r="Q158" t="s">
        <v>2672</v>
      </c>
      <c r="R158" t="s">
        <v>2665</v>
      </c>
      <c r="S158" t="s">
        <v>2781</v>
      </c>
      <c r="T158" t="s">
        <v>2922</v>
      </c>
      <c r="U158" t="s">
        <v>2665</v>
      </c>
      <c r="V158" t="s">
        <v>2923</v>
      </c>
      <c r="W158" t="s">
        <v>2924</v>
      </c>
      <c r="X158" t="s">
        <v>2665</v>
      </c>
      <c r="Y158" t="s">
        <v>2054</v>
      </c>
      <c r="Z158" t="s">
        <v>1136</v>
      </c>
      <c r="AA158" t="s">
        <v>2797</v>
      </c>
      <c r="AB158" t="s">
        <v>2797</v>
      </c>
      <c r="AC158" t="s">
        <v>2665</v>
      </c>
      <c r="AD158" t="s">
        <v>2054</v>
      </c>
      <c r="AE158" t="s">
        <v>2054</v>
      </c>
    </row>
    <row r="159" spans="1:31" x14ac:dyDescent="0.25">
      <c r="A159" t="s">
        <v>2084</v>
      </c>
      <c r="B159" t="s">
        <v>1998</v>
      </c>
      <c r="C159" t="s">
        <v>2955</v>
      </c>
      <c r="D159" t="s">
        <v>1999</v>
      </c>
      <c r="E159" t="s">
        <v>2666</v>
      </c>
      <c r="F159" t="s">
        <v>2956</v>
      </c>
      <c r="G159" t="s">
        <v>2666</v>
      </c>
      <c r="H159" t="s">
        <v>2054</v>
      </c>
      <c r="I159" t="s">
        <v>2741</v>
      </c>
      <c r="J159" t="s">
        <v>2054</v>
      </c>
      <c r="K159" t="s">
        <v>2665</v>
      </c>
      <c r="L159" t="s">
        <v>1136</v>
      </c>
      <c r="M159" t="s">
        <v>2827</v>
      </c>
      <c r="N159" t="s">
        <v>2665</v>
      </c>
      <c r="O159" t="s">
        <v>2828</v>
      </c>
      <c r="P159" t="s">
        <v>2671</v>
      </c>
      <c r="Q159" t="s">
        <v>2672</v>
      </c>
      <c r="R159" t="s">
        <v>2665</v>
      </c>
      <c r="S159" t="s">
        <v>2781</v>
      </c>
      <c r="T159" t="s">
        <v>2922</v>
      </c>
      <c r="U159" t="s">
        <v>2665</v>
      </c>
      <c r="V159" t="s">
        <v>2923</v>
      </c>
      <c r="W159" t="s">
        <v>2924</v>
      </c>
      <c r="X159" t="s">
        <v>2665</v>
      </c>
      <c r="Y159" t="s">
        <v>2054</v>
      </c>
      <c r="Z159" t="s">
        <v>1136</v>
      </c>
      <c r="AA159" t="s">
        <v>2797</v>
      </c>
      <c r="AB159" t="s">
        <v>2797</v>
      </c>
      <c r="AC159" t="s">
        <v>2665</v>
      </c>
      <c r="AD159" t="s">
        <v>2054</v>
      </c>
      <c r="AE159" t="s">
        <v>2054</v>
      </c>
    </row>
    <row r="160" spans="1:31" x14ac:dyDescent="0.25">
      <c r="A160" t="s">
        <v>1057</v>
      </c>
      <c r="B160" t="s">
        <v>1037</v>
      </c>
      <c r="C160" t="s">
        <v>2957</v>
      </c>
      <c r="D160" t="s">
        <v>1038</v>
      </c>
      <c r="E160" t="s">
        <v>2666</v>
      </c>
      <c r="F160" t="s">
        <v>2958</v>
      </c>
      <c r="G160" t="s">
        <v>2666</v>
      </c>
      <c r="H160" t="s">
        <v>2054</v>
      </c>
      <c r="I160" t="s">
        <v>2741</v>
      </c>
      <c r="J160" t="s">
        <v>2054</v>
      </c>
      <c r="K160" t="s">
        <v>2665</v>
      </c>
      <c r="L160" t="s">
        <v>1136</v>
      </c>
      <c r="M160" t="s">
        <v>2827</v>
      </c>
      <c r="N160" t="s">
        <v>2665</v>
      </c>
      <c r="O160" t="s">
        <v>2828</v>
      </c>
      <c r="P160" t="s">
        <v>2671</v>
      </c>
      <c r="Q160" t="s">
        <v>2672</v>
      </c>
      <c r="R160" t="s">
        <v>2665</v>
      </c>
      <c r="S160" t="s">
        <v>2781</v>
      </c>
      <c r="T160" t="s">
        <v>2922</v>
      </c>
      <c r="U160" t="s">
        <v>2665</v>
      </c>
      <c r="V160" t="s">
        <v>2923</v>
      </c>
      <c r="W160" t="s">
        <v>2924</v>
      </c>
      <c r="X160" t="s">
        <v>2665</v>
      </c>
      <c r="Y160" t="s">
        <v>2054</v>
      </c>
      <c r="Z160" t="s">
        <v>1136</v>
      </c>
      <c r="AA160" t="s">
        <v>2959</v>
      </c>
      <c r="AB160" t="s">
        <v>2959</v>
      </c>
      <c r="AC160" t="s">
        <v>2665</v>
      </c>
      <c r="AD160" t="s">
        <v>2054</v>
      </c>
      <c r="AE160" t="s">
        <v>2054</v>
      </c>
    </row>
    <row r="161" spans="1:31" x14ac:dyDescent="0.25">
      <c r="A161" t="s">
        <v>1058</v>
      </c>
      <c r="B161" t="s">
        <v>1039</v>
      </c>
      <c r="C161" t="s">
        <v>2960</v>
      </c>
      <c r="D161" t="s">
        <v>1040</v>
      </c>
      <c r="E161" t="s">
        <v>2666</v>
      </c>
      <c r="F161" t="s">
        <v>2942</v>
      </c>
      <c r="G161" t="s">
        <v>2666</v>
      </c>
      <c r="H161" t="s">
        <v>2054</v>
      </c>
      <c r="I161" t="s">
        <v>2741</v>
      </c>
      <c r="J161" t="s">
        <v>2054</v>
      </c>
      <c r="K161" t="s">
        <v>2665</v>
      </c>
      <c r="L161" t="s">
        <v>1136</v>
      </c>
      <c r="M161" t="s">
        <v>2827</v>
      </c>
      <c r="N161" t="s">
        <v>2665</v>
      </c>
      <c r="O161" t="s">
        <v>2828</v>
      </c>
      <c r="P161" t="s">
        <v>2671</v>
      </c>
      <c r="Q161" t="s">
        <v>2672</v>
      </c>
      <c r="R161" t="s">
        <v>2665</v>
      </c>
      <c r="S161" t="s">
        <v>2781</v>
      </c>
      <c r="T161" t="s">
        <v>2922</v>
      </c>
      <c r="U161" t="s">
        <v>2665</v>
      </c>
      <c r="V161" t="s">
        <v>2923</v>
      </c>
      <c r="W161" t="s">
        <v>2924</v>
      </c>
      <c r="X161" t="s">
        <v>2665</v>
      </c>
      <c r="Y161" t="s">
        <v>2054</v>
      </c>
      <c r="Z161" t="s">
        <v>1136</v>
      </c>
      <c r="AA161" t="s">
        <v>2959</v>
      </c>
      <c r="AB161" t="s">
        <v>2959</v>
      </c>
      <c r="AC161" t="s">
        <v>2665</v>
      </c>
      <c r="AD161" t="s">
        <v>2054</v>
      </c>
      <c r="AE161" t="s">
        <v>2054</v>
      </c>
    </row>
    <row r="162" spans="1:31" x14ac:dyDescent="0.25">
      <c r="A162" t="s">
        <v>1059</v>
      </c>
      <c r="B162" t="s">
        <v>1041</v>
      </c>
      <c r="C162" t="s">
        <v>2961</v>
      </c>
      <c r="D162" t="s">
        <v>1042</v>
      </c>
      <c r="E162" t="s">
        <v>2666</v>
      </c>
      <c r="F162" t="s">
        <v>2962</v>
      </c>
      <c r="G162" t="s">
        <v>2666</v>
      </c>
      <c r="H162" t="s">
        <v>2054</v>
      </c>
      <c r="I162" t="s">
        <v>2741</v>
      </c>
      <c r="J162" t="s">
        <v>2054</v>
      </c>
      <c r="K162" t="s">
        <v>2665</v>
      </c>
      <c r="L162" t="s">
        <v>1136</v>
      </c>
      <c r="M162" t="s">
        <v>2827</v>
      </c>
      <c r="N162" t="s">
        <v>2665</v>
      </c>
      <c r="O162" t="s">
        <v>2828</v>
      </c>
      <c r="P162" t="s">
        <v>2671</v>
      </c>
      <c r="Q162" t="s">
        <v>2672</v>
      </c>
      <c r="R162" t="s">
        <v>2665</v>
      </c>
      <c r="S162" t="s">
        <v>2781</v>
      </c>
      <c r="T162" t="s">
        <v>2922</v>
      </c>
      <c r="U162" t="s">
        <v>2665</v>
      </c>
      <c r="V162" t="s">
        <v>2923</v>
      </c>
      <c r="W162" t="s">
        <v>2924</v>
      </c>
      <c r="X162" t="s">
        <v>2665</v>
      </c>
      <c r="Y162" t="s">
        <v>2054</v>
      </c>
      <c r="Z162" t="s">
        <v>1136</v>
      </c>
      <c r="AA162" t="s">
        <v>2797</v>
      </c>
      <c r="AB162" t="s">
        <v>2797</v>
      </c>
      <c r="AC162" t="s">
        <v>2665</v>
      </c>
      <c r="AD162" t="s">
        <v>2054</v>
      </c>
      <c r="AE162" t="s">
        <v>2054</v>
      </c>
    </row>
    <row r="163" spans="1:31" x14ac:dyDescent="0.25">
      <c r="A163" t="s">
        <v>2963</v>
      </c>
      <c r="B163" t="s">
        <v>2964</v>
      </c>
      <c r="C163" t="s">
        <v>2965</v>
      </c>
      <c r="D163" t="s">
        <v>2964</v>
      </c>
      <c r="E163" t="s">
        <v>2666</v>
      </c>
      <c r="F163" t="s">
        <v>2966</v>
      </c>
      <c r="G163" t="s">
        <v>2666</v>
      </c>
      <c r="H163" t="s">
        <v>2054</v>
      </c>
      <c r="I163" t="s">
        <v>2778</v>
      </c>
      <c r="J163" t="s">
        <v>2054</v>
      </c>
      <c r="K163" t="s">
        <v>2665</v>
      </c>
      <c r="L163" t="s">
        <v>1179</v>
      </c>
      <c r="M163" t="s">
        <v>2827</v>
      </c>
      <c r="N163" t="s">
        <v>2665</v>
      </c>
      <c r="O163" t="s">
        <v>2828</v>
      </c>
      <c r="P163" t="s">
        <v>2671</v>
      </c>
      <c r="Q163" t="s">
        <v>2672</v>
      </c>
      <c r="R163" t="s">
        <v>2665</v>
      </c>
      <c r="S163" t="s">
        <v>2671</v>
      </c>
      <c r="T163" t="s">
        <v>2673</v>
      </c>
      <c r="U163" t="s">
        <v>2665</v>
      </c>
      <c r="V163" t="s">
        <v>2923</v>
      </c>
      <c r="W163" t="s">
        <v>2924</v>
      </c>
      <c r="X163" t="s">
        <v>2665</v>
      </c>
      <c r="Y163" t="s">
        <v>2054</v>
      </c>
      <c r="Z163" t="s">
        <v>1179</v>
      </c>
      <c r="AA163" t="s">
        <v>2791</v>
      </c>
      <c r="AB163" t="s">
        <v>2791</v>
      </c>
      <c r="AC163" t="s">
        <v>2665</v>
      </c>
      <c r="AD163" t="s">
        <v>2054</v>
      </c>
      <c r="AE163" t="s">
        <v>2718</v>
      </c>
    </row>
    <row r="164" spans="1:31" x14ac:dyDescent="0.25">
      <c r="A164" t="s">
        <v>2967</v>
      </c>
      <c r="B164" t="s">
        <v>2968</v>
      </c>
      <c r="C164" t="s">
        <v>2969</v>
      </c>
      <c r="D164" t="s">
        <v>2968</v>
      </c>
      <c r="E164" t="s">
        <v>2666</v>
      </c>
      <c r="F164" t="s">
        <v>2966</v>
      </c>
      <c r="G164" t="s">
        <v>2666</v>
      </c>
      <c r="H164" t="s">
        <v>2054</v>
      </c>
      <c r="I164" t="s">
        <v>2778</v>
      </c>
      <c r="J164" t="s">
        <v>2054</v>
      </c>
      <c r="K164" t="s">
        <v>2665</v>
      </c>
      <c r="L164" t="s">
        <v>1179</v>
      </c>
      <c r="M164" t="s">
        <v>2827</v>
      </c>
      <c r="N164" t="s">
        <v>2665</v>
      </c>
      <c r="O164" t="s">
        <v>2828</v>
      </c>
      <c r="P164" t="s">
        <v>2671</v>
      </c>
      <c r="Q164" t="s">
        <v>2672</v>
      </c>
      <c r="R164" t="s">
        <v>2665</v>
      </c>
      <c r="S164" t="s">
        <v>2671</v>
      </c>
      <c r="T164" t="s">
        <v>2673</v>
      </c>
      <c r="U164" t="s">
        <v>2665</v>
      </c>
      <c r="V164" t="s">
        <v>2923</v>
      </c>
      <c r="W164" t="s">
        <v>2924</v>
      </c>
      <c r="X164" t="s">
        <v>2665</v>
      </c>
      <c r="Y164" t="s">
        <v>2054</v>
      </c>
      <c r="Z164" t="s">
        <v>1179</v>
      </c>
      <c r="AA164" t="s">
        <v>2791</v>
      </c>
      <c r="AB164" t="s">
        <v>2791</v>
      </c>
      <c r="AC164" t="s">
        <v>2665</v>
      </c>
      <c r="AD164" t="s">
        <v>2054</v>
      </c>
      <c r="AE164" t="s">
        <v>2054</v>
      </c>
    </row>
    <row r="165" spans="1:31" x14ac:dyDescent="0.25">
      <c r="A165" t="s">
        <v>1288</v>
      </c>
      <c r="B165" t="s">
        <v>1287</v>
      </c>
      <c r="C165" t="s">
        <v>2970</v>
      </c>
      <c r="D165" t="s">
        <v>1287</v>
      </c>
      <c r="E165" t="s">
        <v>2666</v>
      </c>
      <c r="F165" t="s">
        <v>2971</v>
      </c>
      <c r="G165" t="s">
        <v>2666</v>
      </c>
      <c r="H165" t="s">
        <v>2054</v>
      </c>
      <c r="I165" t="s">
        <v>2778</v>
      </c>
      <c r="J165" t="s">
        <v>2054</v>
      </c>
      <c r="K165" t="s">
        <v>2665</v>
      </c>
      <c r="L165" t="s">
        <v>1179</v>
      </c>
      <c r="M165" t="s">
        <v>2827</v>
      </c>
      <c r="N165" t="s">
        <v>2665</v>
      </c>
      <c r="O165" t="s">
        <v>2828</v>
      </c>
      <c r="P165" t="s">
        <v>2671</v>
      </c>
      <c r="Q165" t="s">
        <v>2672</v>
      </c>
      <c r="R165" t="s">
        <v>2665</v>
      </c>
      <c r="S165" t="s">
        <v>2671</v>
      </c>
      <c r="T165" t="s">
        <v>2673</v>
      </c>
      <c r="U165" t="s">
        <v>2665</v>
      </c>
      <c r="V165" t="s">
        <v>2923</v>
      </c>
      <c r="W165" t="s">
        <v>2924</v>
      </c>
      <c r="X165" t="s">
        <v>2665</v>
      </c>
      <c r="Y165" t="s">
        <v>2054</v>
      </c>
      <c r="Z165" t="s">
        <v>1179</v>
      </c>
      <c r="AA165" t="s">
        <v>2972</v>
      </c>
      <c r="AB165" t="s">
        <v>2972</v>
      </c>
      <c r="AC165" t="s">
        <v>2665</v>
      </c>
      <c r="AD165" t="s">
        <v>2054</v>
      </c>
      <c r="AE165" t="s">
        <v>2054</v>
      </c>
    </row>
    <row r="166" spans="1:31" x14ac:dyDescent="0.25">
      <c r="A166" t="s">
        <v>1289</v>
      </c>
      <c r="B166" t="s">
        <v>465</v>
      </c>
      <c r="C166" t="s">
        <v>2973</v>
      </c>
      <c r="D166" t="s">
        <v>465</v>
      </c>
      <c r="E166" t="s">
        <v>2666</v>
      </c>
      <c r="F166" t="s">
        <v>2962</v>
      </c>
      <c r="G166" t="s">
        <v>2666</v>
      </c>
      <c r="H166" t="s">
        <v>2054</v>
      </c>
      <c r="I166" t="s">
        <v>2741</v>
      </c>
      <c r="J166" t="s">
        <v>2054</v>
      </c>
      <c r="K166" t="s">
        <v>2665</v>
      </c>
      <c r="L166" t="s">
        <v>1136</v>
      </c>
      <c r="M166" t="s">
        <v>2827</v>
      </c>
      <c r="N166" t="s">
        <v>2665</v>
      </c>
      <c r="O166" t="s">
        <v>2828</v>
      </c>
      <c r="P166" t="s">
        <v>2671</v>
      </c>
      <c r="Q166" t="s">
        <v>2672</v>
      </c>
      <c r="R166" t="s">
        <v>2665</v>
      </c>
      <c r="S166" t="s">
        <v>2671</v>
      </c>
      <c r="T166" t="s">
        <v>2673</v>
      </c>
      <c r="U166" t="s">
        <v>2665</v>
      </c>
      <c r="V166" t="s">
        <v>2923</v>
      </c>
      <c r="W166" t="s">
        <v>2924</v>
      </c>
      <c r="X166" t="s">
        <v>2665</v>
      </c>
      <c r="Y166" t="s">
        <v>2054</v>
      </c>
      <c r="Z166" t="s">
        <v>1136</v>
      </c>
      <c r="AA166" t="s">
        <v>2742</v>
      </c>
      <c r="AB166" t="s">
        <v>2742</v>
      </c>
      <c r="AC166" t="s">
        <v>2665</v>
      </c>
      <c r="AD166" t="s">
        <v>2054</v>
      </c>
      <c r="AE166" t="s">
        <v>2054</v>
      </c>
    </row>
    <row r="167" spans="1:31" x14ac:dyDescent="0.25">
      <c r="A167" t="s">
        <v>1290</v>
      </c>
      <c r="B167" t="s">
        <v>485</v>
      </c>
      <c r="C167" t="s">
        <v>2974</v>
      </c>
      <c r="D167" t="s">
        <v>485</v>
      </c>
      <c r="E167" t="s">
        <v>2666</v>
      </c>
      <c r="F167" t="s">
        <v>2975</v>
      </c>
      <c r="G167" t="s">
        <v>2666</v>
      </c>
      <c r="H167" t="s">
        <v>2054</v>
      </c>
      <c r="I167" t="s">
        <v>2778</v>
      </c>
      <c r="J167" t="s">
        <v>2054</v>
      </c>
      <c r="K167" t="s">
        <v>2665</v>
      </c>
      <c r="L167" t="s">
        <v>1179</v>
      </c>
      <c r="M167" t="s">
        <v>2827</v>
      </c>
      <c r="N167" t="s">
        <v>2665</v>
      </c>
      <c r="O167" t="s">
        <v>2828</v>
      </c>
      <c r="P167" t="s">
        <v>2671</v>
      </c>
      <c r="Q167" t="s">
        <v>2672</v>
      </c>
      <c r="R167" t="s">
        <v>2665</v>
      </c>
      <c r="S167" t="s">
        <v>2779</v>
      </c>
      <c r="T167" t="s">
        <v>2780</v>
      </c>
      <c r="U167" t="s">
        <v>2665</v>
      </c>
      <c r="V167" t="s">
        <v>2923</v>
      </c>
      <c r="W167" t="s">
        <v>2924</v>
      </c>
      <c r="X167" t="s">
        <v>2665</v>
      </c>
      <c r="Y167" t="s">
        <v>2054</v>
      </c>
      <c r="Z167" t="s">
        <v>1179</v>
      </c>
      <c r="AA167" t="s">
        <v>2850</v>
      </c>
      <c r="AB167" t="s">
        <v>2850</v>
      </c>
      <c r="AC167" t="s">
        <v>2665</v>
      </c>
      <c r="AD167" t="s">
        <v>2054</v>
      </c>
      <c r="AE167" t="s">
        <v>2054</v>
      </c>
    </row>
    <row r="168" spans="1:31" x14ac:dyDescent="0.25">
      <c r="A168" t="s">
        <v>2976</v>
      </c>
      <c r="B168" t="s">
        <v>2977</v>
      </c>
      <c r="C168" t="s">
        <v>2978</v>
      </c>
      <c r="D168" t="s">
        <v>2977</v>
      </c>
      <c r="E168" t="s">
        <v>2666</v>
      </c>
      <c r="F168" t="s">
        <v>2979</v>
      </c>
      <c r="G168" t="s">
        <v>2666</v>
      </c>
      <c r="H168" t="s">
        <v>2054</v>
      </c>
      <c r="I168" t="s">
        <v>2778</v>
      </c>
      <c r="J168" t="s">
        <v>2054</v>
      </c>
      <c r="K168" t="s">
        <v>2665</v>
      </c>
      <c r="L168" t="s">
        <v>1179</v>
      </c>
      <c r="M168" t="s">
        <v>2827</v>
      </c>
      <c r="N168" t="s">
        <v>2665</v>
      </c>
      <c r="O168" t="s">
        <v>2828</v>
      </c>
      <c r="P168" t="s">
        <v>2671</v>
      </c>
      <c r="Q168" t="s">
        <v>2672</v>
      </c>
      <c r="R168" t="s">
        <v>2665</v>
      </c>
      <c r="S168" t="s">
        <v>2779</v>
      </c>
      <c r="T168" t="s">
        <v>2780</v>
      </c>
      <c r="U168" t="s">
        <v>2665</v>
      </c>
      <c r="V168" t="s">
        <v>2923</v>
      </c>
      <c r="W168" t="s">
        <v>2924</v>
      </c>
      <c r="X168" t="s">
        <v>2665</v>
      </c>
      <c r="Y168" t="s">
        <v>2054</v>
      </c>
      <c r="Z168" t="s">
        <v>1179</v>
      </c>
      <c r="AA168" t="s">
        <v>2795</v>
      </c>
      <c r="AB168" t="s">
        <v>2795</v>
      </c>
      <c r="AC168" t="s">
        <v>2665</v>
      </c>
      <c r="AD168" t="s">
        <v>2054</v>
      </c>
      <c r="AE168" t="s">
        <v>2054</v>
      </c>
    </row>
    <row r="169" spans="1:31" x14ac:dyDescent="0.25">
      <c r="A169" t="s">
        <v>2980</v>
      </c>
      <c r="B169" t="s">
        <v>2981</v>
      </c>
      <c r="C169" t="s">
        <v>2982</v>
      </c>
      <c r="D169" t="s">
        <v>2981</v>
      </c>
      <c r="E169" t="s">
        <v>2666</v>
      </c>
      <c r="F169" t="s">
        <v>2983</v>
      </c>
      <c r="G169" t="s">
        <v>2666</v>
      </c>
      <c r="H169" t="s">
        <v>2054</v>
      </c>
      <c r="I169" t="s">
        <v>2909</v>
      </c>
      <c r="J169" t="s">
        <v>2054</v>
      </c>
      <c r="K169" t="s">
        <v>2665</v>
      </c>
      <c r="L169" t="s">
        <v>1280</v>
      </c>
      <c r="M169" t="s">
        <v>2898</v>
      </c>
      <c r="N169" t="s">
        <v>2665</v>
      </c>
      <c r="O169" t="s">
        <v>2984</v>
      </c>
      <c r="P169" t="s">
        <v>2781</v>
      </c>
      <c r="Q169" t="s">
        <v>2877</v>
      </c>
      <c r="R169" t="s">
        <v>2665</v>
      </c>
      <c r="S169" t="s">
        <v>2779</v>
      </c>
      <c r="T169" t="s">
        <v>2780</v>
      </c>
      <c r="U169" t="s">
        <v>2665</v>
      </c>
      <c r="V169" t="s">
        <v>2985</v>
      </c>
      <c r="W169" t="s">
        <v>2986</v>
      </c>
      <c r="X169" t="s">
        <v>2665</v>
      </c>
      <c r="Y169" t="s">
        <v>2054</v>
      </c>
      <c r="Z169" t="s">
        <v>1280</v>
      </c>
      <c r="AA169" t="s">
        <v>2665</v>
      </c>
      <c r="AB169" t="s">
        <v>2665</v>
      </c>
      <c r="AC169" t="s">
        <v>2665</v>
      </c>
      <c r="AD169" t="s">
        <v>2054</v>
      </c>
      <c r="AE169" t="s">
        <v>2726</v>
      </c>
    </row>
    <row r="170" spans="1:31" x14ac:dyDescent="0.25">
      <c r="A170" t="s">
        <v>2987</v>
      </c>
      <c r="B170" t="s">
        <v>2988</v>
      </c>
      <c r="C170" t="s">
        <v>2989</v>
      </c>
      <c r="D170" t="s">
        <v>2988</v>
      </c>
      <c r="E170" t="s">
        <v>2666</v>
      </c>
      <c r="F170" t="s">
        <v>2983</v>
      </c>
      <c r="G170" t="s">
        <v>2666</v>
      </c>
      <c r="H170" t="s">
        <v>2054</v>
      </c>
      <c r="I170" t="s">
        <v>2909</v>
      </c>
      <c r="J170" t="s">
        <v>2054</v>
      </c>
      <c r="K170" t="s">
        <v>2665</v>
      </c>
      <c r="L170" t="s">
        <v>1280</v>
      </c>
      <c r="M170" t="s">
        <v>2898</v>
      </c>
      <c r="N170" t="s">
        <v>2665</v>
      </c>
      <c r="O170" t="s">
        <v>2984</v>
      </c>
      <c r="P170" t="s">
        <v>2781</v>
      </c>
      <c r="Q170" t="s">
        <v>2877</v>
      </c>
      <c r="R170" t="s">
        <v>2665</v>
      </c>
      <c r="S170" t="s">
        <v>2779</v>
      </c>
      <c r="T170" t="s">
        <v>2780</v>
      </c>
      <c r="U170" t="s">
        <v>2665</v>
      </c>
      <c r="V170" t="s">
        <v>2985</v>
      </c>
      <c r="W170" t="s">
        <v>2986</v>
      </c>
      <c r="X170" t="s">
        <v>2665</v>
      </c>
      <c r="Y170" t="s">
        <v>2054</v>
      </c>
      <c r="Z170" t="s">
        <v>1280</v>
      </c>
      <c r="AA170" t="s">
        <v>2665</v>
      </c>
      <c r="AB170" t="s">
        <v>2665</v>
      </c>
      <c r="AC170" t="s">
        <v>2665</v>
      </c>
      <c r="AD170" t="s">
        <v>2054</v>
      </c>
      <c r="AE170" t="s">
        <v>2726</v>
      </c>
    </row>
    <row r="171" spans="1:31" x14ac:dyDescent="0.25">
      <c r="A171" t="s">
        <v>1292</v>
      </c>
      <c r="B171" t="s">
        <v>1291</v>
      </c>
      <c r="C171" t="s">
        <v>2990</v>
      </c>
      <c r="D171" t="s">
        <v>1291</v>
      </c>
      <c r="E171" t="s">
        <v>2666</v>
      </c>
      <c r="F171" t="s">
        <v>2821</v>
      </c>
      <c r="G171" t="s">
        <v>2666</v>
      </c>
      <c r="H171" t="s">
        <v>2054</v>
      </c>
      <c r="I171" t="s">
        <v>2909</v>
      </c>
      <c r="J171" t="s">
        <v>2054</v>
      </c>
      <c r="K171" t="s">
        <v>2665</v>
      </c>
      <c r="L171" t="s">
        <v>1280</v>
      </c>
      <c r="M171" t="s">
        <v>2898</v>
      </c>
      <c r="N171" t="s">
        <v>2665</v>
      </c>
      <c r="O171" t="s">
        <v>2984</v>
      </c>
      <c r="P171" t="s">
        <v>2781</v>
      </c>
      <c r="Q171" t="s">
        <v>2877</v>
      </c>
      <c r="R171" t="s">
        <v>2665</v>
      </c>
      <c r="S171" t="s">
        <v>2779</v>
      </c>
      <c r="T171" t="s">
        <v>2780</v>
      </c>
      <c r="U171" t="s">
        <v>2665</v>
      </c>
      <c r="V171" t="s">
        <v>2985</v>
      </c>
      <c r="W171" t="s">
        <v>2986</v>
      </c>
      <c r="X171" t="s">
        <v>2665</v>
      </c>
      <c r="Y171" t="s">
        <v>2054</v>
      </c>
      <c r="Z171" t="s">
        <v>1280</v>
      </c>
      <c r="AA171" t="s">
        <v>2665</v>
      </c>
      <c r="AB171" t="s">
        <v>2665</v>
      </c>
      <c r="AC171" t="s">
        <v>2665</v>
      </c>
      <c r="AD171" t="s">
        <v>2054</v>
      </c>
      <c r="AE171" t="s">
        <v>2726</v>
      </c>
    </row>
    <row r="172" spans="1:31" x14ac:dyDescent="0.25">
      <c r="A172" t="s">
        <v>1294</v>
      </c>
      <c r="B172" t="s">
        <v>1293</v>
      </c>
      <c r="C172" t="s">
        <v>2991</v>
      </c>
      <c r="D172" t="s">
        <v>1293</v>
      </c>
      <c r="E172" t="s">
        <v>2666</v>
      </c>
      <c r="F172" t="s">
        <v>2889</v>
      </c>
      <c r="G172" t="s">
        <v>2666</v>
      </c>
      <c r="H172" t="s">
        <v>2054</v>
      </c>
      <c r="I172" t="s">
        <v>2909</v>
      </c>
      <c r="J172" t="s">
        <v>2054</v>
      </c>
      <c r="K172" t="s">
        <v>2665</v>
      </c>
      <c r="L172" t="s">
        <v>1280</v>
      </c>
      <c r="M172" t="s">
        <v>2898</v>
      </c>
      <c r="N172" t="s">
        <v>2665</v>
      </c>
      <c r="O172" t="s">
        <v>2984</v>
      </c>
      <c r="P172" t="s">
        <v>2781</v>
      </c>
      <c r="Q172" t="s">
        <v>2877</v>
      </c>
      <c r="R172" t="s">
        <v>2665</v>
      </c>
      <c r="S172" t="s">
        <v>2779</v>
      </c>
      <c r="T172" t="s">
        <v>2780</v>
      </c>
      <c r="U172" t="s">
        <v>2665</v>
      </c>
      <c r="V172" t="s">
        <v>2985</v>
      </c>
      <c r="W172" t="s">
        <v>2986</v>
      </c>
      <c r="X172" t="s">
        <v>2665</v>
      </c>
      <c r="Y172" t="s">
        <v>2054</v>
      </c>
      <c r="Z172" t="s">
        <v>1280</v>
      </c>
      <c r="AA172" t="s">
        <v>2665</v>
      </c>
      <c r="AB172" t="s">
        <v>2665</v>
      </c>
      <c r="AC172" t="s">
        <v>2665</v>
      </c>
      <c r="AD172" t="s">
        <v>2054</v>
      </c>
      <c r="AE172" t="s">
        <v>2054</v>
      </c>
    </row>
    <row r="173" spans="1:31" x14ac:dyDescent="0.25">
      <c r="A173" t="s">
        <v>1296</v>
      </c>
      <c r="B173" t="s">
        <v>1295</v>
      </c>
      <c r="C173" t="s">
        <v>2992</v>
      </c>
      <c r="D173" t="s">
        <v>1295</v>
      </c>
      <c r="E173" t="s">
        <v>2666</v>
      </c>
      <c r="F173" t="s">
        <v>2889</v>
      </c>
      <c r="G173" t="s">
        <v>2666</v>
      </c>
      <c r="H173" t="s">
        <v>2054</v>
      </c>
      <c r="I173" t="s">
        <v>2909</v>
      </c>
      <c r="J173" t="s">
        <v>2054</v>
      </c>
      <c r="K173" t="s">
        <v>2665</v>
      </c>
      <c r="L173" t="s">
        <v>1280</v>
      </c>
      <c r="M173" t="s">
        <v>2898</v>
      </c>
      <c r="N173" t="s">
        <v>2665</v>
      </c>
      <c r="O173" t="s">
        <v>2984</v>
      </c>
      <c r="P173" t="s">
        <v>2781</v>
      </c>
      <c r="Q173" t="s">
        <v>2877</v>
      </c>
      <c r="R173" t="s">
        <v>2665</v>
      </c>
      <c r="S173" t="s">
        <v>2779</v>
      </c>
      <c r="T173" t="s">
        <v>2780</v>
      </c>
      <c r="U173" t="s">
        <v>2665</v>
      </c>
      <c r="V173" t="s">
        <v>2985</v>
      </c>
      <c r="W173" t="s">
        <v>2986</v>
      </c>
      <c r="X173" t="s">
        <v>2665</v>
      </c>
      <c r="Y173" t="s">
        <v>2054</v>
      </c>
      <c r="Z173" t="s">
        <v>1280</v>
      </c>
      <c r="AA173" t="s">
        <v>2665</v>
      </c>
      <c r="AB173" t="s">
        <v>2665</v>
      </c>
      <c r="AC173" t="s">
        <v>2665</v>
      </c>
      <c r="AD173" t="s">
        <v>2054</v>
      </c>
      <c r="AE173" t="s">
        <v>2054</v>
      </c>
    </row>
    <row r="174" spans="1:31" x14ac:dyDescent="0.25">
      <c r="A174" t="s">
        <v>1298</v>
      </c>
      <c r="B174" t="s">
        <v>1297</v>
      </c>
      <c r="C174" t="s">
        <v>2993</v>
      </c>
      <c r="D174" t="s">
        <v>1297</v>
      </c>
      <c r="E174" t="s">
        <v>2666</v>
      </c>
      <c r="F174" t="s">
        <v>2889</v>
      </c>
      <c r="G174" t="s">
        <v>2666</v>
      </c>
      <c r="H174" t="s">
        <v>2054</v>
      </c>
      <c r="I174" t="s">
        <v>2909</v>
      </c>
      <c r="J174" t="s">
        <v>2054</v>
      </c>
      <c r="K174" t="s">
        <v>2665</v>
      </c>
      <c r="L174" t="s">
        <v>1280</v>
      </c>
      <c r="M174" t="s">
        <v>2898</v>
      </c>
      <c r="N174" t="s">
        <v>2665</v>
      </c>
      <c r="O174" t="s">
        <v>2984</v>
      </c>
      <c r="P174" t="s">
        <v>2781</v>
      </c>
      <c r="Q174" t="s">
        <v>2877</v>
      </c>
      <c r="R174" t="s">
        <v>2665</v>
      </c>
      <c r="S174" t="s">
        <v>2779</v>
      </c>
      <c r="T174" t="s">
        <v>2780</v>
      </c>
      <c r="U174" t="s">
        <v>2665</v>
      </c>
      <c r="V174" t="s">
        <v>2985</v>
      </c>
      <c r="W174" t="s">
        <v>2986</v>
      </c>
      <c r="X174" t="s">
        <v>2665</v>
      </c>
      <c r="Y174" t="s">
        <v>2054</v>
      </c>
      <c r="Z174" t="s">
        <v>1280</v>
      </c>
      <c r="AA174" t="s">
        <v>2665</v>
      </c>
      <c r="AB174" t="s">
        <v>2665</v>
      </c>
      <c r="AC174" t="s">
        <v>2665</v>
      </c>
      <c r="AD174" t="s">
        <v>2054</v>
      </c>
      <c r="AE174" t="s">
        <v>2054</v>
      </c>
    </row>
    <row r="175" spans="1:31" x14ac:dyDescent="0.25">
      <c r="A175" t="s">
        <v>1300</v>
      </c>
      <c r="B175" t="s">
        <v>1299</v>
      </c>
      <c r="C175" t="s">
        <v>2994</v>
      </c>
      <c r="D175" t="s">
        <v>1299</v>
      </c>
      <c r="E175" t="s">
        <v>2666</v>
      </c>
      <c r="F175" t="s">
        <v>2889</v>
      </c>
      <c r="G175" t="s">
        <v>2666</v>
      </c>
      <c r="H175" t="s">
        <v>2054</v>
      </c>
      <c r="I175" t="s">
        <v>2909</v>
      </c>
      <c r="J175" t="s">
        <v>2054</v>
      </c>
      <c r="K175" t="s">
        <v>2665</v>
      </c>
      <c r="L175" t="s">
        <v>1280</v>
      </c>
      <c r="M175" t="s">
        <v>2898</v>
      </c>
      <c r="N175" t="s">
        <v>2665</v>
      </c>
      <c r="O175" t="s">
        <v>2984</v>
      </c>
      <c r="P175" t="s">
        <v>2781</v>
      </c>
      <c r="Q175" t="s">
        <v>2877</v>
      </c>
      <c r="R175" t="s">
        <v>2665</v>
      </c>
      <c r="S175" t="s">
        <v>2779</v>
      </c>
      <c r="T175" t="s">
        <v>2780</v>
      </c>
      <c r="U175" t="s">
        <v>2665</v>
      </c>
      <c r="V175" t="s">
        <v>2985</v>
      </c>
      <c r="W175" t="s">
        <v>2986</v>
      </c>
      <c r="X175" t="s">
        <v>2665</v>
      </c>
      <c r="Y175" t="s">
        <v>2054</v>
      </c>
      <c r="Z175" t="s">
        <v>1280</v>
      </c>
      <c r="AA175" t="s">
        <v>2665</v>
      </c>
      <c r="AB175" t="s">
        <v>2665</v>
      </c>
      <c r="AC175" t="s">
        <v>2665</v>
      </c>
      <c r="AD175" t="s">
        <v>2054</v>
      </c>
      <c r="AE175" t="s">
        <v>2054</v>
      </c>
    </row>
    <row r="176" spans="1:31" x14ac:dyDescent="0.25">
      <c r="A176" t="s">
        <v>1302</v>
      </c>
      <c r="B176" t="s">
        <v>1301</v>
      </c>
      <c r="C176" t="s">
        <v>2995</v>
      </c>
      <c r="D176" t="s">
        <v>1301</v>
      </c>
      <c r="E176" t="s">
        <v>2666</v>
      </c>
      <c r="F176" t="s">
        <v>2889</v>
      </c>
      <c r="G176" t="s">
        <v>2666</v>
      </c>
      <c r="H176" t="s">
        <v>2054</v>
      </c>
      <c r="I176" t="s">
        <v>2909</v>
      </c>
      <c r="J176" t="s">
        <v>2054</v>
      </c>
      <c r="K176" t="s">
        <v>2665</v>
      </c>
      <c r="L176" t="s">
        <v>1280</v>
      </c>
      <c r="M176" t="s">
        <v>2898</v>
      </c>
      <c r="N176" t="s">
        <v>2665</v>
      </c>
      <c r="O176" t="s">
        <v>2984</v>
      </c>
      <c r="P176" t="s">
        <v>2781</v>
      </c>
      <c r="Q176" t="s">
        <v>2877</v>
      </c>
      <c r="R176" t="s">
        <v>2665</v>
      </c>
      <c r="S176" t="s">
        <v>2779</v>
      </c>
      <c r="T176" t="s">
        <v>2780</v>
      </c>
      <c r="U176" t="s">
        <v>2665</v>
      </c>
      <c r="V176" t="s">
        <v>2985</v>
      </c>
      <c r="W176" t="s">
        <v>2986</v>
      </c>
      <c r="X176" t="s">
        <v>2665</v>
      </c>
      <c r="Y176" t="s">
        <v>2054</v>
      </c>
      <c r="Z176" t="s">
        <v>1280</v>
      </c>
      <c r="AA176" t="s">
        <v>2665</v>
      </c>
      <c r="AB176" t="s">
        <v>2665</v>
      </c>
      <c r="AC176" t="s">
        <v>2665</v>
      </c>
      <c r="AD176" t="s">
        <v>2054</v>
      </c>
      <c r="AE176" t="s">
        <v>2054</v>
      </c>
    </row>
    <row r="177" spans="1:31" x14ac:dyDescent="0.25">
      <c r="A177" t="s">
        <v>1304</v>
      </c>
      <c r="B177" t="s">
        <v>1303</v>
      </c>
      <c r="C177" t="s">
        <v>2996</v>
      </c>
      <c r="D177" t="s">
        <v>1303</v>
      </c>
      <c r="E177" t="s">
        <v>2666</v>
      </c>
      <c r="F177" t="s">
        <v>2889</v>
      </c>
      <c r="G177" t="s">
        <v>2666</v>
      </c>
      <c r="H177" t="s">
        <v>2054</v>
      </c>
      <c r="I177" t="s">
        <v>2909</v>
      </c>
      <c r="J177" t="s">
        <v>2054</v>
      </c>
      <c r="K177" t="s">
        <v>2665</v>
      </c>
      <c r="L177" t="s">
        <v>1280</v>
      </c>
      <c r="M177" t="s">
        <v>2898</v>
      </c>
      <c r="N177" t="s">
        <v>2665</v>
      </c>
      <c r="O177" t="s">
        <v>2984</v>
      </c>
      <c r="P177" t="s">
        <v>2781</v>
      </c>
      <c r="Q177" t="s">
        <v>2877</v>
      </c>
      <c r="R177" t="s">
        <v>2665</v>
      </c>
      <c r="S177" t="s">
        <v>2779</v>
      </c>
      <c r="T177" t="s">
        <v>2780</v>
      </c>
      <c r="U177" t="s">
        <v>2665</v>
      </c>
      <c r="V177" t="s">
        <v>2985</v>
      </c>
      <c r="W177" t="s">
        <v>2986</v>
      </c>
      <c r="X177" t="s">
        <v>2665</v>
      </c>
      <c r="Y177" t="s">
        <v>2054</v>
      </c>
      <c r="Z177" t="s">
        <v>1280</v>
      </c>
      <c r="AA177" t="s">
        <v>2665</v>
      </c>
      <c r="AB177" t="s">
        <v>2665</v>
      </c>
      <c r="AC177" t="s">
        <v>2665</v>
      </c>
      <c r="AD177" t="s">
        <v>2054</v>
      </c>
      <c r="AE177" t="s">
        <v>2054</v>
      </c>
    </row>
    <row r="178" spans="1:31" x14ac:dyDescent="0.25">
      <c r="A178" t="s">
        <v>2997</v>
      </c>
      <c r="B178" t="s">
        <v>2998</v>
      </c>
      <c r="C178" t="s">
        <v>2999</v>
      </c>
      <c r="D178" t="s">
        <v>2998</v>
      </c>
      <c r="E178" t="s">
        <v>2666</v>
      </c>
      <c r="F178" t="s">
        <v>2889</v>
      </c>
      <c r="G178" t="s">
        <v>2666</v>
      </c>
      <c r="H178" t="s">
        <v>2054</v>
      </c>
      <c r="I178" t="s">
        <v>2909</v>
      </c>
      <c r="J178" t="s">
        <v>2054</v>
      </c>
      <c r="K178" t="s">
        <v>2665</v>
      </c>
      <c r="L178" t="s">
        <v>1280</v>
      </c>
      <c r="M178" t="s">
        <v>2898</v>
      </c>
      <c r="N178" t="s">
        <v>2665</v>
      </c>
      <c r="O178" t="s">
        <v>2984</v>
      </c>
      <c r="P178" t="s">
        <v>2781</v>
      </c>
      <c r="Q178" t="s">
        <v>2877</v>
      </c>
      <c r="R178" t="s">
        <v>2665</v>
      </c>
      <c r="S178" t="s">
        <v>2779</v>
      </c>
      <c r="T178" t="s">
        <v>2780</v>
      </c>
      <c r="U178" t="s">
        <v>2665</v>
      </c>
      <c r="V178" t="s">
        <v>2985</v>
      </c>
      <c r="W178" t="s">
        <v>2986</v>
      </c>
      <c r="X178" t="s">
        <v>2665</v>
      </c>
      <c r="Y178" t="s">
        <v>2054</v>
      </c>
      <c r="Z178" t="s">
        <v>1280</v>
      </c>
      <c r="AA178" t="s">
        <v>2665</v>
      </c>
      <c r="AB178" t="s">
        <v>2665</v>
      </c>
      <c r="AC178" t="s">
        <v>2665</v>
      </c>
      <c r="AD178" t="s">
        <v>2054</v>
      </c>
      <c r="AE178" t="s">
        <v>2054</v>
      </c>
    </row>
    <row r="179" spans="1:31" x14ac:dyDescent="0.25">
      <c r="A179" t="s">
        <v>1306</v>
      </c>
      <c r="B179" t="s">
        <v>1305</v>
      </c>
      <c r="C179" t="s">
        <v>3000</v>
      </c>
      <c r="D179" t="s">
        <v>1305</v>
      </c>
      <c r="E179" t="s">
        <v>2666</v>
      </c>
      <c r="F179" t="s">
        <v>3001</v>
      </c>
      <c r="G179" t="s">
        <v>2666</v>
      </c>
      <c r="H179" t="s">
        <v>2054</v>
      </c>
      <c r="I179" t="s">
        <v>2741</v>
      </c>
      <c r="J179" t="s">
        <v>2054</v>
      </c>
      <c r="K179" t="s">
        <v>2665</v>
      </c>
      <c r="L179" t="s">
        <v>1136</v>
      </c>
      <c r="M179" t="s">
        <v>2898</v>
      </c>
      <c r="N179" t="s">
        <v>2665</v>
      </c>
      <c r="O179" t="s">
        <v>2984</v>
      </c>
      <c r="P179" t="s">
        <v>2781</v>
      </c>
      <c r="Q179" t="s">
        <v>2877</v>
      </c>
      <c r="R179" t="s">
        <v>2665</v>
      </c>
      <c r="S179" t="s">
        <v>2779</v>
      </c>
      <c r="T179" t="s">
        <v>2780</v>
      </c>
      <c r="U179" t="s">
        <v>2665</v>
      </c>
      <c r="V179" t="s">
        <v>2985</v>
      </c>
      <c r="W179" t="s">
        <v>2986</v>
      </c>
      <c r="X179" t="s">
        <v>2665</v>
      </c>
      <c r="Y179" t="s">
        <v>2054</v>
      </c>
      <c r="Z179" t="s">
        <v>1136</v>
      </c>
      <c r="AA179" t="s">
        <v>2820</v>
      </c>
      <c r="AB179" t="s">
        <v>2820</v>
      </c>
      <c r="AC179" t="s">
        <v>2665</v>
      </c>
      <c r="AD179" t="s">
        <v>2054</v>
      </c>
      <c r="AE179" t="s">
        <v>2726</v>
      </c>
    </row>
    <row r="180" spans="1:31" x14ac:dyDescent="0.25">
      <c r="A180" t="s">
        <v>1308</v>
      </c>
      <c r="B180" t="s">
        <v>1307</v>
      </c>
      <c r="C180" t="s">
        <v>3002</v>
      </c>
      <c r="D180" t="s">
        <v>1307</v>
      </c>
      <c r="E180" t="s">
        <v>2666</v>
      </c>
      <c r="F180" t="s">
        <v>3003</v>
      </c>
      <c r="G180" t="s">
        <v>2666</v>
      </c>
      <c r="H180" t="s">
        <v>2054</v>
      </c>
      <c r="I180" t="s">
        <v>2741</v>
      </c>
      <c r="J180" t="s">
        <v>2054</v>
      </c>
      <c r="K180" t="s">
        <v>2665</v>
      </c>
      <c r="L180" t="s">
        <v>1136</v>
      </c>
      <c r="M180" t="s">
        <v>2898</v>
      </c>
      <c r="N180" t="s">
        <v>2665</v>
      </c>
      <c r="O180" t="s">
        <v>2984</v>
      </c>
      <c r="P180" t="s">
        <v>2781</v>
      </c>
      <c r="Q180" t="s">
        <v>2877</v>
      </c>
      <c r="R180" t="s">
        <v>2665</v>
      </c>
      <c r="S180" t="s">
        <v>2779</v>
      </c>
      <c r="T180" t="s">
        <v>2780</v>
      </c>
      <c r="U180" t="s">
        <v>2665</v>
      </c>
      <c r="V180" t="s">
        <v>2985</v>
      </c>
      <c r="W180" t="s">
        <v>2986</v>
      </c>
      <c r="X180" t="s">
        <v>2665</v>
      </c>
      <c r="Y180" t="s">
        <v>2054</v>
      </c>
      <c r="Z180" t="s">
        <v>1136</v>
      </c>
      <c r="AA180" t="s">
        <v>2795</v>
      </c>
      <c r="AB180" t="s">
        <v>2795</v>
      </c>
      <c r="AC180" t="s">
        <v>2665</v>
      </c>
      <c r="AD180" t="s">
        <v>2054</v>
      </c>
      <c r="AE180" t="s">
        <v>2054</v>
      </c>
    </row>
    <row r="181" spans="1:31" x14ac:dyDescent="0.25">
      <c r="A181" t="s">
        <v>2525</v>
      </c>
      <c r="B181" t="s">
        <v>2524</v>
      </c>
      <c r="C181" t="s">
        <v>3004</v>
      </c>
      <c r="D181" t="s">
        <v>2524</v>
      </c>
      <c r="E181" t="s">
        <v>2666</v>
      </c>
      <c r="F181" t="s">
        <v>3005</v>
      </c>
      <c r="G181" t="s">
        <v>2666</v>
      </c>
      <c r="H181" t="s">
        <v>2054</v>
      </c>
      <c r="I181" t="s">
        <v>2741</v>
      </c>
      <c r="J181" t="s">
        <v>2054</v>
      </c>
      <c r="K181" t="s">
        <v>2665</v>
      </c>
      <c r="L181" t="s">
        <v>1136</v>
      </c>
      <c r="M181" t="s">
        <v>2898</v>
      </c>
      <c r="N181" t="s">
        <v>2665</v>
      </c>
      <c r="O181" t="s">
        <v>2984</v>
      </c>
      <c r="P181" t="s">
        <v>2781</v>
      </c>
      <c r="Q181" t="s">
        <v>2877</v>
      </c>
      <c r="R181" t="s">
        <v>2665</v>
      </c>
      <c r="S181" t="s">
        <v>2779</v>
      </c>
      <c r="T181" t="s">
        <v>2780</v>
      </c>
      <c r="U181" t="s">
        <v>2665</v>
      </c>
      <c r="V181" t="s">
        <v>2985</v>
      </c>
      <c r="W181" t="s">
        <v>2986</v>
      </c>
      <c r="X181" t="s">
        <v>2665</v>
      </c>
      <c r="Y181" t="s">
        <v>2054</v>
      </c>
      <c r="Z181" t="s">
        <v>1136</v>
      </c>
      <c r="AA181" t="s">
        <v>2795</v>
      </c>
      <c r="AB181" t="s">
        <v>2795</v>
      </c>
      <c r="AC181" t="s">
        <v>2665</v>
      </c>
      <c r="AD181" t="s">
        <v>2054</v>
      </c>
      <c r="AE181" t="s">
        <v>2054</v>
      </c>
    </row>
    <row r="182" spans="1:31" x14ac:dyDescent="0.25">
      <c r="A182" t="s">
        <v>1310</v>
      </c>
      <c r="B182" t="s">
        <v>1309</v>
      </c>
      <c r="C182" t="s">
        <v>3006</v>
      </c>
      <c r="D182" t="s">
        <v>1309</v>
      </c>
      <c r="E182" t="s">
        <v>2666</v>
      </c>
      <c r="F182" t="s">
        <v>3005</v>
      </c>
      <c r="G182" t="s">
        <v>2666</v>
      </c>
      <c r="H182" t="s">
        <v>2054</v>
      </c>
      <c r="I182" t="s">
        <v>2741</v>
      </c>
      <c r="J182" t="s">
        <v>2054</v>
      </c>
      <c r="K182" t="s">
        <v>2665</v>
      </c>
      <c r="L182" t="s">
        <v>1136</v>
      </c>
      <c r="M182" t="s">
        <v>2898</v>
      </c>
      <c r="N182" t="s">
        <v>2665</v>
      </c>
      <c r="O182" t="s">
        <v>2984</v>
      </c>
      <c r="P182" t="s">
        <v>2781</v>
      </c>
      <c r="Q182" t="s">
        <v>2877</v>
      </c>
      <c r="R182" t="s">
        <v>2665</v>
      </c>
      <c r="S182" t="s">
        <v>2779</v>
      </c>
      <c r="T182" t="s">
        <v>2780</v>
      </c>
      <c r="U182" t="s">
        <v>2665</v>
      </c>
      <c r="V182" t="s">
        <v>2985</v>
      </c>
      <c r="W182" t="s">
        <v>2986</v>
      </c>
      <c r="X182" t="s">
        <v>2665</v>
      </c>
      <c r="Y182" t="s">
        <v>2054</v>
      </c>
      <c r="Z182" t="s">
        <v>1136</v>
      </c>
      <c r="AA182" t="s">
        <v>2795</v>
      </c>
      <c r="AB182" t="s">
        <v>2795</v>
      </c>
      <c r="AC182" t="s">
        <v>2665</v>
      </c>
      <c r="AD182" t="s">
        <v>2054</v>
      </c>
      <c r="AE182" t="s">
        <v>2054</v>
      </c>
    </row>
    <row r="183" spans="1:31" x14ac:dyDescent="0.25">
      <c r="A183" t="s">
        <v>3007</v>
      </c>
      <c r="B183" t="s">
        <v>3008</v>
      </c>
      <c r="C183" t="s">
        <v>3009</v>
      </c>
      <c r="D183" t="s">
        <v>3008</v>
      </c>
      <c r="E183" t="s">
        <v>2666</v>
      </c>
      <c r="F183" t="s">
        <v>2889</v>
      </c>
      <c r="G183" t="s">
        <v>2666</v>
      </c>
      <c r="H183" t="s">
        <v>2054</v>
      </c>
      <c r="I183" t="s">
        <v>2909</v>
      </c>
      <c r="J183" t="s">
        <v>2054</v>
      </c>
      <c r="K183" t="s">
        <v>2665</v>
      </c>
      <c r="L183" t="s">
        <v>1280</v>
      </c>
      <c r="M183" t="s">
        <v>2898</v>
      </c>
      <c r="N183" t="s">
        <v>2665</v>
      </c>
      <c r="O183" t="s">
        <v>2984</v>
      </c>
      <c r="P183" t="s">
        <v>2781</v>
      </c>
      <c r="Q183" t="s">
        <v>2877</v>
      </c>
      <c r="R183" t="s">
        <v>2665</v>
      </c>
      <c r="S183" t="s">
        <v>2779</v>
      </c>
      <c r="T183" t="s">
        <v>2780</v>
      </c>
      <c r="U183" t="s">
        <v>2665</v>
      </c>
      <c r="V183" t="s">
        <v>2985</v>
      </c>
      <c r="W183" t="s">
        <v>2986</v>
      </c>
      <c r="X183" t="s">
        <v>2665</v>
      </c>
      <c r="Y183" t="s">
        <v>2054</v>
      </c>
      <c r="Z183" t="s">
        <v>1280</v>
      </c>
      <c r="AA183" t="s">
        <v>2665</v>
      </c>
      <c r="AB183" t="s">
        <v>2665</v>
      </c>
      <c r="AC183" t="s">
        <v>2665</v>
      </c>
      <c r="AD183" t="s">
        <v>2054</v>
      </c>
      <c r="AE183" t="s">
        <v>2054</v>
      </c>
    </row>
    <row r="184" spans="1:31" x14ac:dyDescent="0.25">
      <c r="A184" t="s">
        <v>3010</v>
      </c>
      <c r="B184" t="s">
        <v>3011</v>
      </c>
      <c r="C184" t="s">
        <v>3012</v>
      </c>
      <c r="D184" t="s">
        <v>3013</v>
      </c>
      <c r="E184" t="s">
        <v>2666</v>
      </c>
      <c r="F184" t="s">
        <v>3003</v>
      </c>
      <c r="G184" t="s">
        <v>2666</v>
      </c>
      <c r="H184" t="s">
        <v>2054</v>
      </c>
      <c r="I184" t="s">
        <v>2741</v>
      </c>
      <c r="J184" t="s">
        <v>2054</v>
      </c>
      <c r="K184" t="s">
        <v>2665</v>
      </c>
      <c r="L184" t="s">
        <v>1136</v>
      </c>
      <c r="M184" t="s">
        <v>2898</v>
      </c>
      <c r="N184" t="s">
        <v>2665</v>
      </c>
      <c r="O184" t="s">
        <v>2984</v>
      </c>
      <c r="P184" t="s">
        <v>2781</v>
      </c>
      <c r="Q184" t="s">
        <v>2877</v>
      </c>
      <c r="R184" t="s">
        <v>2665</v>
      </c>
      <c r="S184" t="s">
        <v>2779</v>
      </c>
      <c r="T184" t="s">
        <v>2780</v>
      </c>
      <c r="U184" t="s">
        <v>2665</v>
      </c>
      <c r="V184" t="s">
        <v>2985</v>
      </c>
      <c r="W184" t="s">
        <v>2986</v>
      </c>
      <c r="X184" t="s">
        <v>2665</v>
      </c>
      <c r="Y184" t="s">
        <v>2054</v>
      </c>
      <c r="Z184" t="s">
        <v>1136</v>
      </c>
      <c r="AA184" t="s">
        <v>2795</v>
      </c>
      <c r="AB184" t="s">
        <v>2795</v>
      </c>
      <c r="AC184" t="s">
        <v>2665</v>
      </c>
      <c r="AD184" t="s">
        <v>2054</v>
      </c>
      <c r="AE184" t="s">
        <v>2726</v>
      </c>
    </row>
    <row r="185" spans="1:31" x14ac:dyDescent="0.25">
      <c r="A185" t="s">
        <v>3014</v>
      </c>
      <c r="B185" t="s">
        <v>3015</v>
      </c>
      <c r="C185" t="s">
        <v>3016</v>
      </c>
      <c r="D185" t="s">
        <v>3015</v>
      </c>
      <c r="E185" t="s">
        <v>2666</v>
      </c>
      <c r="F185" t="s">
        <v>2667</v>
      </c>
      <c r="G185" t="s">
        <v>2666</v>
      </c>
      <c r="H185" t="s">
        <v>2054</v>
      </c>
      <c r="I185" t="s">
        <v>2741</v>
      </c>
      <c r="J185" t="s">
        <v>2054</v>
      </c>
      <c r="K185" t="s">
        <v>2665</v>
      </c>
      <c r="L185" t="s">
        <v>1136</v>
      </c>
      <c r="M185" t="s">
        <v>2875</v>
      </c>
      <c r="N185" t="s">
        <v>2665</v>
      </c>
      <c r="O185" t="s">
        <v>2876</v>
      </c>
      <c r="P185" t="s">
        <v>2781</v>
      </c>
      <c r="Q185" t="s">
        <v>2877</v>
      </c>
      <c r="R185" t="s">
        <v>2665</v>
      </c>
      <c r="S185" t="s">
        <v>2779</v>
      </c>
      <c r="T185" t="s">
        <v>2780</v>
      </c>
      <c r="U185" t="s">
        <v>2665</v>
      </c>
      <c r="V185" t="s">
        <v>3017</v>
      </c>
      <c r="W185" t="s">
        <v>3018</v>
      </c>
      <c r="X185" t="s">
        <v>2665</v>
      </c>
      <c r="Y185" t="s">
        <v>2054</v>
      </c>
      <c r="Z185" t="s">
        <v>1136</v>
      </c>
      <c r="AA185" t="s">
        <v>2683</v>
      </c>
      <c r="AB185" t="s">
        <v>2683</v>
      </c>
      <c r="AC185" t="s">
        <v>2665</v>
      </c>
      <c r="AD185" t="s">
        <v>2054</v>
      </c>
      <c r="AE185" t="s">
        <v>2718</v>
      </c>
    </row>
    <row r="186" spans="1:31" x14ac:dyDescent="0.25">
      <c r="A186" t="s">
        <v>1312</v>
      </c>
      <c r="B186" t="s">
        <v>1311</v>
      </c>
      <c r="C186" t="s">
        <v>3019</v>
      </c>
      <c r="D186" t="s">
        <v>1311</v>
      </c>
      <c r="E186" t="s">
        <v>2666</v>
      </c>
      <c r="F186" t="s">
        <v>2705</v>
      </c>
      <c r="G186" t="s">
        <v>2666</v>
      </c>
      <c r="H186" t="s">
        <v>2054</v>
      </c>
      <c r="I186" t="s">
        <v>2741</v>
      </c>
      <c r="J186" t="s">
        <v>2054</v>
      </c>
      <c r="K186" t="s">
        <v>2665</v>
      </c>
      <c r="L186" t="s">
        <v>1136</v>
      </c>
      <c r="M186" t="s">
        <v>2898</v>
      </c>
      <c r="N186" t="s">
        <v>2665</v>
      </c>
      <c r="O186" t="s">
        <v>2984</v>
      </c>
      <c r="P186" t="s">
        <v>2781</v>
      </c>
      <c r="Q186" t="s">
        <v>2877</v>
      </c>
      <c r="R186" t="s">
        <v>2665</v>
      </c>
      <c r="S186" t="s">
        <v>2779</v>
      </c>
      <c r="T186" t="s">
        <v>2780</v>
      </c>
      <c r="U186" t="s">
        <v>2665</v>
      </c>
      <c r="V186" t="s">
        <v>3017</v>
      </c>
      <c r="W186" t="s">
        <v>3018</v>
      </c>
      <c r="X186" t="s">
        <v>2665</v>
      </c>
      <c r="Y186" t="s">
        <v>2054</v>
      </c>
      <c r="Z186" t="s">
        <v>1136</v>
      </c>
      <c r="AA186" t="s">
        <v>2665</v>
      </c>
      <c r="AB186" t="s">
        <v>2665</v>
      </c>
      <c r="AC186" t="s">
        <v>2665</v>
      </c>
      <c r="AD186" t="s">
        <v>2054</v>
      </c>
      <c r="AE186" t="s">
        <v>2726</v>
      </c>
    </row>
    <row r="187" spans="1:31" x14ac:dyDescent="0.25">
      <c r="A187" t="s">
        <v>1314</v>
      </c>
      <c r="B187" t="s">
        <v>1313</v>
      </c>
      <c r="C187" t="s">
        <v>3020</v>
      </c>
      <c r="D187" t="s">
        <v>1313</v>
      </c>
      <c r="E187" t="s">
        <v>2666</v>
      </c>
      <c r="F187" t="s">
        <v>2705</v>
      </c>
      <c r="G187" t="s">
        <v>2666</v>
      </c>
      <c r="H187" t="s">
        <v>2054</v>
      </c>
      <c r="I187" t="s">
        <v>2741</v>
      </c>
      <c r="J187" t="s">
        <v>2054</v>
      </c>
      <c r="K187" t="s">
        <v>2665</v>
      </c>
      <c r="L187" t="s">
        <v>1136</v>
      </c>
      <c r="M187" t="s">
        <v>2898</v>
      </c>
      <c r="N187" t="s">
        <v>2665</v>
      </c>
      <c r="O187" t="s">
        <v>2984</v>
      </c>
      <c r="P187" t="s">
        <v>2781</v>
      </c>
      <c r="Q187" t="s">
        <v>2877</v>
      </c>
      <c r="R187" t="s">
        <v>2665</v>
      </c>
      <c r="S187" t="s">
        <v>2779</v>
      </c>
      <c r="T187" t="s">
        <v>2780</v>
      </c>
      <c r="U187" t="s">
        <v>2665</v>
      </c>
      <c r="V187" t="s">
        <v>3017</v>
      </c>
      <c r="W187" t="s">
        <v>3018</v>
      </c>
      <c r="X187" t="s">
        <v>2665</v>
      </c>
      <c r="Y187" t="s">
        <v>2054</v>
      </c>
      <c r="Z187" t="s">
        <v>1136</v>
      </c>
      <c r="AA187" t="s">
        <v>2665</v>
      </c>
      <c r="AB187" t="s">
        <v>2665</v>
      </c>
      <c r="AC187" t="s">
        <v>2665</v>
      </c>
      <c r="AD187" t="s">
        <v>2054</v>
      </c>
      <c r="AE187" t="s">
        <v>2054</v>
      </c>
    </row>
    <row r="188" spans="1:31" x14ac:dyDescent="0.25">
      <c r="A188" t="s">
        <v>3021</v>
      </c>
      <c r="B188" t="s">
        <v>3022</v>
      </c>
      <c r="C188" t="s">
        <v>3023</v>
      </c>
      <c r="D188" t="s">
        <v>3022</v>
      </c>
      <c r="E188" t="s">
        <v>2666</v>
      </c>
      <c r="F188" t="s">
        <v>2667</v>
      </c>
      <c r="G188" t="s">
        <v>2666</v>
      </c>
      <c r="H188" t="s">
        <v>2054</v>
      </c>
      <c r="I188" t="s">
        <v>2668</v>
      </c>
      <c r="J188" t="s">
        <v>2054</v>
      </c>
      <c r="K188" t="s">
        <v>2665</v>
      </c>
      <c r="L188" t="s">
        <v>1063</v>
      </c>
      <c r="M188" t="s">
        <v>2875</v>
      </c>
      <c r="N188" t="s">
        <v>2665</v>
      </c>
      <c r="O188" t="s">
        <v>2876</v>
      </c>
      <c r="P188" t="s">
        <v>2781</v>
      </c>
      <c r="Q188" t="s">
        <v>2877</v>
      </c>
      <c r="R188" t="s">
        <v>2665</v>
      </c>
      <c r="S188" t="s">
        <v>2779</v>
      </c>
      <c r="T188" t="s">
        <v>2780</v>
      </c>
      <c r="U188" t="s">
        <v>2665</v>
      </c>
      <c r="V188" t="s">
        <v>3017</v>
      </c>
      <c r="W188" t="s">
        <v>3018</v>
      </c>
      <c r="X188" t="s">
        <v>2665</v>
      </c>
      <c r="Y188" t="s">
        <v>2054</v>
      </c>
      <c r="Z188" t="s">
        <v>1063</v>
      </c>
      <c r="AA188" t="s">
        <v>2665</v>
      </c>
      <c r="AB188" t="s">
        <v>2665</v>
      </c>
      <c r="AC188" t="s">
        <v>2665</v>
      </c>
      <c r="AD188" t="s">
        <v>2054</v>
      </c>
      <c r="AE188" t="s">
        <v>2718</v>
      </c>
    </row>
    <row r="189" spans="1:31" x14ac:dyDescent="0.25">
      <c r="A189" t="s">
        <v>1316</v>
      </c>
      <c r="B189" t="s">
        <v>1315</v>
      </c>
      <c r="C189" t="s">
        <v>3024</v>
      </c>
      <c r="D189" t="s">
        <v>3025</v>
      </c>
      <c r="E189" t="s">
        <v>2666</v>
      </c>
      <c r="F189" t="s">
        <v>3026</v>
      </c>
      <c r="G189" t="s">
        <v>2666</v>
      </c>
      <c r="H189" t="s">
        <v>2054</v>
      </c>
      <c r="I189" t="s">
        <v>2909</v>
      </c>
      <c r="J189" t="s">
        <v>2054</v>
      </c>
      <c r="K189" t="s">
        <v>2665</v>
      </c>
      <c r="L189" t="s">
        <v>1280</v>
      </c>
      <c r="M189" t="s">
        <v>2829</v>
      </c>
      <c r="N189" t="s">
        <v>2665</v>
      </c>
      <c r="O189" t="s">
        <v>3027</v>
      </c>
      <c r="P189" t="s">
        <v>2779</v>
      </c>
      <c r="Q189" t="s">
        <v>3028</v>
      </c>
      <c r="R189" t="s">
        <v>2665</v>
      </c>
      <c r="S189" t="s">
        <v>2781</v>
      </c>
      <c r="T189" t="s">
        <v>2922</v>
      </c>
      <c r="U189" t="s">
        <v>2665</v>
      </c>
      <c r="V189" t="s">
        <v>3029</v>
      </c>
      <c r="W189" t="s">
        <v>3030</v>
      </c>
      <c r="X189" t="s">
        <v>2665</v>
      </c>
      <c r="Y189" t="s">
        <v>2054</v>
      </c>
      <c r="Z189" t="s">
        <v>1280</v>
      </c>
      <c r="AA189" t="s">
        <v>2665</v>
      </c>
      <c r="AB189" t="s">
        <v>2665</v>
      </c>
      <c r="AC189" t="s">
        <v>2665</v>
      </c>
      <c r="AD189" t="s">
        <v>2054</v>
      </c>
      <c r="AE189" t="s">
        <v>2054</v>
      </c>
    </row>
    <row r="190" spans="1:31" x14ac:dyDescent="0.25">
      <c r="A190" t="s">
        <v>1318</v>
      </c>
      <c r="B190" t="s">
        <v>1317</v>
      </c>
      <c r="C190" t="s">
        <v>3031</v>
      </c>
      <c r="D190" t="s">
        <v>3032</v>
      </c>
      <c r="E190" t="s">
        <v>2666</v>
      </c>
      <c r="F190" t="s">
        <v>3033</v>
      </c>
      <c r="G190" t="s">
        <v>2666</v>
      </c>
      <c r="H190" t="s">
        <v>2054</v>
      </c>
      <c r="I190" t="s">
        <v>2909</v>
      </c>
      <c r="J190" t="s">
        <v>2054</v>
      </c>
      <c r="K190" t="s">
        <v>2665</v>
      </c>
      <c r="L190" t="s">
        <v>1280</v>
      </c>
      <c r="M190" t="s">
        <v>2829</v>
      </c>
      <c r="N190" t="s">
        <v>2665</v>
      </c>
      <c r="O190" t="s">
        <v>3027</v>
      </c>
      <c r="P190" t="s">
        <v>2779</v>
      </c>
      <c r="Q190" t="s">
        <v>3028</v>
      </c>
      <c r="R190" t="s">
        <v>2665</v>
      </c>
      <c r="S190" t="s">
        <v>2781</v>
      </c>
      <c r="T190" t="s">
        <v>2922</v>
      </c>
      <c r="U190" t="s">
        <v>2665</v>
      </c>
      <c r="V190" t="s">
        <v>3029</v>
      </c>
      <c r="W190" t="s">
        <v>3030</v>
      </c>
      <c r="X190" t="s">
        <v>2665</v>
      </c>
      <c r="Y190" t="s">
        <v>2054</v>
      </c>
      <c r="Z190" t="s">
        <v>1280</v>
      </c>
      <c r="AA190" t="s">
        <v>2665</v>
      </c>
      <c r="AB190" t="s">
        <v>2665</v>
      </c>
      <c r="AC190" t="s">
        <v>2665</v>
      </c>
      <c r="AD190" t="s">
        <v>2054</v>
      </c>
      <c r="AE190" t="s">
        <v>2054</v>
      </c>
    </row>
    <row r="191" spans="1:31" x14ac:dyDescent="0.25">
      <c r="A191" t="s">
        <v>1320</v>
      </c>
      <c r="B191" t="s">
        <v>1319</v>
      </c>
      <c r="C191" t="s">
        <v>3034</v>
      </c>
      <c r="D191" t="s">
        <v>3035</v>
      </c>
      <c r="E191" t="s">
        <v>2666</v>
      </c>
      <c r="F191" t="s">
        <v>3036</v>
      </c>
      <c r="G191" t="s">
        <v>2666</v>
      </c>
      <c r="H191" t="s">
        <v>2054</v>
      </c>
      <c r="I191" t="s">
        <v>2909</v>
      </c>
      <c r="J191" t="s">
        <v>2054</v>
      </c>
      <c r="K191" t="s">
        <v>2665</v>
      </c>
      <c r="L191" t="s">
        <v>1280</v>
      </c>
      <c r="M191" t="s">
        <v>2829</v>
      </c>
      <c r="N191" t="s">
        <v>2665</v>
      </c>
      <c r="O191" t="s">
        <v>3027</v>
      </c>
      <c r="P191" t="s">
        <v>2779</v>
      </c>
      <c r="Q191" t="s">
        <v>3028</v>
      </c>
      <c r="R191" t="s">
        <v>2665</v>
      </c>
      <c r="S191" t="s">
        <v>2781</v>
      </c>
      <c r="T191" t="s">
        <v>2922</v>
      </c>
      <c r="U191" t="s">
        <v>2665</v>
      </c>
      <c r="V191" t="s">
        <v>3029</v>
      </c>
      <c r="W191" t="s">
        <v>3030</v>
      </c>
      <c r="X191" t="s">
        <v>2665</v>
      </c>
      <c r="Y191" t="s">
        <v>2054</v>
      </c>
      <c r="Z191" t="s">
        <v>1280</v>
      </c>
      <c r="AA191" t="s">
        <v>2665</v>
      </c>
      <c r="AB191" t="s">
        <v>2665</v>
      </c>
      <c r="AC191" t="s">
        <v>2665</v>
      </c>
      <c r="AD191" t="s">
        <v>2054</v>
      </c>
      <c r="AE191" t="s">
        <v>2054</v>
      </c>
    </row>
    <row r="192" spans="1:31" x14ac:dyDescent="0.25">
      <c r="A192" t="s">
        <v>1322</v>
      </c>
      <c r="B192" t="s">
        <v>1321</v>
      </c>
      <c r="C192" t="s">
        <v>3037</v>
      </c>
      <c r="D192" t="s">
        <v>3038</v>
      </c>
      <c r="E192" t="s">
        <v>2666</v>
      </c>
      <c r="F192" t="s">
        <v>3039</v>
      </c>
      <c r="G192" t="s">
        <v>2666</v>
      </c>
      <c r="H192" t="s">
        <v>2054</v>
      </c>
      <c r="I192" t="s">
        <v>2909</v>
      </c>
      <c r="J192" t="s">
        <v>2054</v>
      </c>
      <c r="K192" t="s">
        <v>2665</v>
      </c>
      <c r="L192" t="s">
        <v>1280</v>
      </c>
      <c r="M192" t="s">
        <v>2829</v>
      </c>
      <c r="N192" t="s">
        <v>2665</v>
      </c>
      <c r="O192" t="s">
        <v>3027</v>
      </c>
      <c r="P192" t="s">
        <v>2779</v>
      </c>
      <c r="Q192" t="s">
        <v>3028</v>
      </c>
      <c r="R192" t="s">
        <v>2665</v>
      </c>
      <c r="S192" t="s">
        <v>2781</v>
      </c>
      <c r="T192" t="s">
        <v>2922</v>
      </c>
      <c r="U192" t="s">
        <v>2665</v>
      </c>
      <c r="V192" t="s">
        <v>3029</v>
      </c>
      <c r="W192" t="s">
        <v>3030</v>
      </c>
      <c r="X192" t="s">
        <v>2665</v>
      </c>
      <c r="Y192" t="s">
        <v>2054</v>
      </c>
      <c r="Z192" t="s">
        <v>1280</v>
      </c>
      <c r="AA192" t="s">
        <v>2665</v>
      </c>
      <c r="AB192" t="s">
        <v>2665</v>
      </c>
      <c r="AC192" t="s">
        <v>2665</v>
      </c>
      <c r="AD192" t="s">
        <v>2054</v>
      </c>
      <c r="AE192" t="s">
        <v>2054</v>
      </c>
    </row>
    <row r="193" spans="1:31" x14ac:dyDescent="0.25">
      <c r="A193" t="s">
        <v>2527</v>
      </c>
      <c r="B193" t="s">
        <v>2526</v>
      </c>
      <c r="C193" t="s">
        <v>3040</v>
      </c>
      <c r="D193" t="s">
        <v>3041</v>
      </c>
      <c r="E193" t="s">
        <v>2666</v>
      </c>
      <c r="F193" t="s">
        <v>3042</v>
      </c>
      <c r="G193" t="s">
        <v>2666</v>
      </c>
      <c r="H193" t="s">
        <v>2054</v>
      </c>
      <c r="I193" t="s">
        <v>2909</v>
      </c>
      <c r="J193" t="s">
        <v>2054</v>
      </c>
      <c r="K193" t="s">
        <v>2665</v>
      </c>
      <c r="L193" t="s">
        <v>1280</v>
      </c>
      <c r="M193" t="s">
        <v>3029</v>
      </c>
      <c r="N193" t="s">
        <v>2665</v>
      </c>
      <c r="O193" t="s">
        <v>3043</v>
      </c>
      <c r="P193" t="s">
        <v>2779</v>
      </c>
      <c r="Q193" t="s">
        <v>3028</v>
      </c>
      <c r="R193" t="s">
        <v>2665</v>
      </c>
      <c r="S193" t="s">
        <v>2781</v>
      </c>
      <c r="T193" t="s">
        <v>2922</v>
      </c>
      <c r="U193" t="s">
        <v>2665</v>
      </c>
      <c r="V193" t="s">
        <v>3029</v>
      </c>
      <c r="W193" t="s">
        <v>3030</v>
      </c>
      <c r="X193" t="s">
        <v>2665</v>
      </c>
      <c r="Y193" t="s">
        <v>2054</v>
      </c>
      <c r="Z193" t="s">
        <v>1280</v>
      </c>
      <c r="AA193" t="s">
        <v>2665</v>
      </c>
      <c r="AB193" t="s">
        <v>2665</v>
      </c>
      <c r="AC193" t="s">
        <v>2665</v>
      </c>
      <c r="AD193" t="s">
        <v>2054</v>
      </c>
      <c r="AE193" t="s">
        <v>2054</v>
      </c>
    </row>
    <row r="194" spans="1:31" x14ac:dyDescent="0.25">
      <c r="A194" t="s">
        <v>2529</v>
      </c>
      <c r="B194" t="s">
        <v>2528</v>
      </c>
      <c r="C194" t="s">
        <v>3044</v>
      </c>
      <c r="D194" t="s">
        <v>3045</v>
      </c>
      <c r="E194" t="s">
        <v>2666</v>
      </c>
      <c r="F194" t="s">
        <v>3046</v>
      </c>
      <c r="G194" t="s">
        <v>2666</v>
      </c>
      <c r="H194" t="s">
        <v>2054</v>
      </c>
      <c r="I194" t="s">
        <v>2909</v>
      </c>
      <c r="J194" t="s">
        <v>2054</v>
      </c>
      <c r="K194" t="s">
        <v>2665</v>
      </c>
      <c r="L194" t="s">
        <v>1280</v>
      </c>
      <c r="M194" t="s">
        <v>3029</v>
      </c>
      <c r="N194" t="s">
        <v>2665</v>
      </c>
      <c r="O194" t="s">
        <v>3043</v>
      </c>
      <c r="P194" t="s">
        <v>2779</v>
      </c>
      <c r="Q194" t="s">
        <v>3028</v>
      </c>
      <c r="R194" t="s">
        <v>2665</v>
      </c>
      <c r="S194" t="s">
        <v>2781</v>
      </c>
      <c r="T194" t="s">
        <v>2922</v>
      </c>
      <c r="U194" t="s">
        <v>2665</v>
      </c>
      <c r="V194" t="s">
        <v>3029</v>
      </c>
      <c r="W194" t="s">
        <v>3030</v>
      </c>
      <c r="X194" t="s">
        <v>2665</v>
      </c>
      <c r="Y194" t="s">
        <v>2054</v>
      </c>
      <c r="Z194" t="s">
        <v>1280</v>
      </c>
      <c r="AA194" t="s">
        <v>2665</v>
      </c>
      <c r="AB194" t="s">
        <v>2665</v>
      </c>
      <c r="AC194" t="s">
        <v>2665</v>
      </c>
      <c r="AD194" t="s">
        <v>2054</v>
      </c>
      <c r="AE194" t="s">
        <v>2054</v>
      </c>
    </row>
    <row r="195" spans="1:31" x14ac:dyDescent="0.25">
      <c r="A195" t="s">
        <v>2531</v>
      </c>
      <c r="B195" t="s">
        <v>2530</v>
      </c>
      <c r="C195" t="s">
        <v>3047</v>
      </c>
      <c r="D195" t="s">
        <v>3048</v>
      </c>
      <c r="E195" t="s">
        <v>2666</v>
      </c>
      <c r="F195" t="s">
        <v>2897</v>
      </c>
      <c r="G195" t="s">
        <v>2666</v>
      </c>
      <c r="H195" t="s">
        <v>2054</v>
      </c>
      <c r="I195" t="s">
        <v>2909</v>
      </c>
      <c r="J195" t="s">
        <v>2054</v>
      </c>
      <c r="K195" t="s">
        <v>2665</v>
      </c>
      <c r="L195" t="s">
        <v>1280</v>
      </c>
      <c r="M195" t="s">
        <v>3029</v>
      </c>
      <c r="N195" t="s">
        <v>2665</v>
      </c>
      <c r="O195" t="s">
        <v>3043</v>
      </c>
      <c r="P195" t="s">
        <v>2779</v>
      </c>
      <c r="Q195" t="s">
        <v>3028</v>
      </c>
      <c r="R195" t="s">
        <v>2665</v>
      </c>
      <c r="S195" t="s">
        <v>2781</v>
      </c>
      <c r="T195" t="s">
        <v>2922</v>
      </c>
      <c r="U195" t="s">
        <v>2665</v>
      </c>
      <c r="V195" t="s">
        <v>3029</v>
      </c>
      <c r="W195" t="s">
        <v>3030</v>
      </c>
      <c r="X195" t="s">
        <v>2665</v>
      </c>
      <c r="Y195" t="s">
        <v>2054</v>
      </c>
      <c r="Z195" t="s">
        <v>1280</v>
      </c>
      <c r="AA195" t="s">
        <v>2665</v>
      </c>
      <c r="AB195" t="s">
        <v>2665</v>
      </c>
      <c r="AC195" t="s">
        <v>2665</v>
      </c>
      <c r="AD195" t="s">
        <v>2054</v>
      </c>
      <c r="AE195" t="s">
        <v>2054</v>
      </c>
    </row>
    <row r="196" spans="1:31" x14ac:dyDescent="0.25">
      <c r="A196" t="s">
        <v>954</v>
      </c>
      <c r="B196" t="s">
        <v>940</v>
      </c>
      <c r="C196" t="s">
        <v>3049</v>
      </c>
      <c r="D196" t="s">
        <v>941</v>
      </c>
      <c r="E196" t="s">
        <v>2666</v>
      </c>
      <c r="F196" t="s">
        <v>3050</v>
      </c>
      <c r="G196" t="s">
        <v>2666</v>
      </c>
      <c r="H196" t="s">
        <v>2054</v>
      </c>
      <c r="I196" t="s">
        <v>2909</v>
      </c>
      <c r="J196" t="s">
        <v>2054</v>
      </c>
      <c r="K196" t="s">
        <v>2665</v>
      </c>
      <c r="L196" t="s">
        <v>1280</v>
      </c>
      <c r="M196" t="s">
        <v>3029</v>
      </c>
      <c r="N196" t="s">
        <v>2665</v>
      </c>
      <c r="O196" t="s">
        <v>3043</v>
      </c>
      <c r="P196" t="s">
        <v>2779</v>
      </c>
      <c r="Q196" t="s">
        <v>3028</v>
      </c>
      <c r="R196" t="s">
        <v>2665</v>
      </c>
      <c r="S196" t="s">
        <v>2781</v>
      </c>
      <c r="T196" t="s">
        <v>2922</v>
      </c>
      <c r="U196" t="s">
        <v>2665</v>
      </c>
      <c r="V196" t="s">
        <v>3029</v>
      </c>
      <c r="W196" t="s">
        <v>3030</v>
      </c>
      <c r="X196" t="s">
        <v>2665</v>
      </c>
      <c r="Y196" t="s">
        <v>2054</v>
      </c>
      <c r="Z196" t="s">
        <v>1280</v>
      </c>
      <c r="AA196" t="s">
        <v>2665</v>
      </c>
      <c r="AB196" t="s">
        <v>2665</v>
      </c>
      <c r="AC196" t="s">
        <v>2665</v>
      </c>
      <c r="AD196" t="s">
        <v>2054</v>
      </c>
      <c r="AE196" t="s">
        <v>2054</v>
      </c>
    </row>
    <row r="197" spans="1:31" x14ac:dyDescent="0.25">
      <c r="A197" t="s">
        <v>2532</v>
      </c>
      <c r="B197" t="s">
        <v>942</v>
      </c>
      <c r="C197" t="s">
        <v>3051</v>
      </c>
      <c r="D197" t="s">
        <v>943</v>
      </c>
      <c r="E197" t="s">
        <v>2666</v>
      </c>
      <c r="F197" t="s">
        <v>3052</v>
      </c>
      <c r="G197" t="s">
        <v>2666</v>
      </c>
      <c r="H197" t="s">
        <v>2054</v>
      </c>
      <c r="I197" t="s">
        <v>2909</v>
      </c>
      <c r="J197" t="s">
        <v>2054</v>
      </c>
      <c r="K197" t="s">
        <v>2665</v>
      </c>
      <c r="L197" t="s">
        <v>1280</v>
      </c>
      <c r="M197" t="s">
        <v>3029</v>
      </c>
      <c r="N197" t="s">
        <v>2665</v>
      </c>
      <c r="O197" t="s">
        <v>3043</v>
      </c>
      <c r="P197" t="s">
        <v>2779</v>
      </c>
      <c r="Q197" t="s">
        <v>3028</v>
      </c>
      <c r="R197" t="s">
        <v>2665</v>
      </c>
      <c r="S197" t="s">
        <v>2781</v>
      </c>
      <c r="T197" t="s">
        <v>2922</v>
      </c>
      <c r="U197" t="s">
        <v>2665</v>
      </c>
      <c r="V197" t="s">
        <v>3029</v>
      </c>
      <c r="W197" t="s">
        <v>3030</v>
      </c>
      <c r="X197" t="s">
        <v>2665</v>
      </c>
      <c r="Y197" t="s">
        <v>2054</v>
      </c>
      <c r="Z197" t="s">
        <v>1280</v>
      </c>
      <c r="AA197" t="s">
        <v>2665</v>
      </c>
      <c r="AB197" t="s">
        <v>2665</v>
      </c>
      <c r="AC197" t="s">
        <v>2665</v>
      </c>
      <c r="AD197" t="s">
        <v>2054</v>
      </c>
      <c r="AE197" t="s">
        <v>2054</v>
      </c>
    </row>
    <row r="198" spans="1:31" x14ac:dyDescent="0.25">
      <c r="A198" t="s">
        <v>956</v>
      </c>
      <c r="B198" t="s">
        <v>944</v>
      </c>
      <c r="C198" t="s">
        <v>3053</v>
      </c>
      <c r="D198" t="s">
        <v>945</v>
      </c>
      <c r="E198" t="s">
        <v>2666</v>
      </c>
      <c r="F198" t="s">
        <v>3054</v>
      </c>
      <c r="G198" t="s">
        <v>2666</v>
      </c>
      <c r="H198" t="s">
        <v>2054</v>
      </c>
      <c r="I198" t="s">
        <v>2909</v>
      </c>
      <c r="J198" t="s">
        <v>2054</v>
      </c>
      <c r="K198" t="s">
        <v>2665</v>
      </c>
      <c r="L198" t="s">
        <v>1280</v>
      </c>
      <c r="M198" t="s">
        <v>3029</v>
      </c>
      <c r="N198" t="s">
        <v>2665</v>
      </c>
      <c r="O198" t="s">
        <v>3043</v>
      </c>
      <c r="P198" t="s">
        <v>2779</v>
      </c>
      <c r="Q198" t="s">
        <v>3028</v>
      </c>
      <c r="R198" t="s">
        <v>2665</v>
      </c>
      <c r="S198" t="s">
        <v>2781</v>
      </c>
      <c r="T198" t="s">
        <v>2922</v>
      </c>
      <c r="U198" t="s">
        <v>2665</v>
      </c>
      <c r="V198" t="s">
        <v>3029</v>
      </c>
      <c r="W198" t="s">
        <v>3030</v>
      </c>
      <c r="X198" t="s">
        <v>2665</v>
      </c>
      <c r="Y198" t="s">
        <v>2054</v>
      </c>
      <c r="Z198" t="s">
        <v>1280</v>
      </c>
      <c r="AA198" t="s">
        <v>2665</v>
      </c>
      <c r="AB198" t="s">
        <v>2665</v>
      </c>
      <c r="AC198" t="s">
        <v>2665</v>
      </c>
      <c r="AD198" t="s">
        <v>2054</v>
      </c>
      <c r="AE198" t="s">
        <v>2054</v>
      </c>
    </row>
    <row r="199" spans="1:31" x14ac:dyDescent="0.25">
      <c r="A199" t="s">
        <v>429</v>
      </c>
      <c r="B199" t="s">
        <v>426</v>
      </c>
      <c r="C199" t="s">
        <v>3055</v>
      </c>
      <c r="D199" t="s">
        <v>3056</v>
      </c>
      <c r="E199" t="s">
        <v>2666</v>
      </c>
      <c r="F199" t="s">
        <v>2931</v>
      </c>
      <c r="G199" t="s">
        <v>2666</v>
      </c>
      <c r="H199" t="s">
        <v>2054</v>
      </c>
      <c r="I199" t="s">
        <v>2909</v>
      </c>
      <c r="J199" t="s">
        <v>2054</v>
      </c>
      <c r="K199" t="s">
        <v>2665</v>
      </c>
      <c r="L199" t="s">
        <v>1280</v>
      </c>
      <c r="M199" t="s">
        <v>3029</v>
      </c>
      <c r="N199" t="s">
        <v>2665</v>
      </c>
      <c r="O199" t="s">
        <v>3043</v>
      </c>
      <c r="P199" t="s">
        <v>2779</v>
      </c>
      <c r="Q199" t="s">
        <v>3028</v>
      </c>
      <c r="R199" t="s">
        <v>2665</v>
      </c>
      <c r="S199" t="s">
        <v>2781</v>
      </c>
      <c r="T199" t="s">
        <v>2922</v>
      </c>
      <c r="U199" t="s">
        <v>2665</v>
      </c>
      <c r="V199" t="s">
        <v>3029</v>
      </c>
      <c r="W199" t="s">
        <v>3030</v>
      </c>
      <c r="X199" t="s">
        <v>2665</v>
      </c>
      <c r="Y199" t="s">
        <v>2054</v>
      </c>
      <c r="Z199" t="s">
        <v>1280</v>
      </c>
      <c r="AA199" t="s">
        <v>2665</v>
      </c>
      <c r="AB199" t="s">
        <v>2665</v>
      </c>
      <c r="AC199" t="s">
        <v>2665</v>
      </c>
      <c r="AD199" t="s">
        <v>2054</v>
      </c>
      <c r="AE199" t="s">
        <v>2054</v>
      </c>
    </row>
    <row r="200" spans="1:31" x14ac:dyDescent="0.25">
      <c r="A200" t="s">
        <v>432</v>
      </c>
      <c r="B200" t="s">
        <v>430</v>
      </c>
      <c r="C200" t="s">
        <v>3057</v>
      </c>
      <c r="D200" t="s">
        <v>3058</v>
      </c>
      <c r="E200" t="s">
        <v>2666</v>
      </c>
      <c r="F200" t="s">
        <v>3059</v>
      </c>
      <c r="G200" t="s">
        <v>2666</v>
      </c>
      <c r="H200" t="s">
        <v>2054</v>
      </c>
      <c r="I200" t="s">
        <v>2909</v>
      </c>
      <c r="J200" t="s">
        <v>2054</v>
      </c>
      <c r="K200" t="s">
        <v>2665</v>
      </c>
      <c r="L200" t="s">
        <v>1280</v>
      </c>
      <c r="M200" t="s">
        <v>3029</v>
      </c>
      <c r="N200" t="s">
        <v>2665</v>
      </c>
      <c r="O200" t="s">
        <v>3043</v>
      </c>
      <c r="P200" t="s">
        <v>2779</v>
      </c>
      <c r="Q200" t="s">
        <v>3028</v>
      </c>
      <c r="R200" t="s">
        <v>2665</v>
      </c>
      <c r="S200" t="s">
        <v>2781</v>
      </c>
      <c r="T200" t="s">
        <v>2922</v>
      </c>
      <c r="U200" t="s">
        <v>2665</v>
      </c>
      <c r="V200" t="s">
        <v>3029</v>
      </c>
      <c r="W200" t="s">
        <v>3030</v>
      </c>
      <c r="X200" t="s">
        <v>2665</v>
      </c>
      <c r="Y200" t="s">
        <v>2054</v>
      </c>
      <c r="Z200" t="s">
        <v>1280</v>
      </c>
      <c r="AA200" t="s">
        <v>2665</v>
      </c>
      <c r="AB200" t="s">
        <v>2665</v>
      </c>
      <c r="AC200" t="s">
        <v>2665</v>
      </c>
      <c r="AD200" t="s">
        <v>2054</v>
      </c>
      <c r="AE200" t="s">
        <v>2054</v>
      </c>
    </row>
    <row r="201" spans="1:31" x14ac:dyDescent="0.25">
      <c r="A201" t="s">
        <v>435</v>
      </c>
      <c r="B201" t="s">
        <v>433</v>
      </c>
      <c r="C201" t="s">
        <v>3060</v>
      </c>
      <c r="D201" t="s">
        <v>3061</v>
      </c>
      <c r="E201" t="s">
        <v>2666</v>
      </c>
      <c r="F201" t="s">
        <v>3062</v>
      </c>
      <c r="G201" t="s">
        <v>2666</v>
      </c>
      <c r="H201" t="s">
        <v>2054</v>
      </c>
      <c r="I201" t="s">
        <v>2909</v>
      </c>
      <c r="J201" t="s">
        <v>2054</v>
      </c>
      <c r="K201" t="s">
        <v>2665</v>
      </c>
      <c r="L201" t="s">
        <v>1280</v>
      </c>
      <c r="M201" t="s">
        <v>3029</v>
      </c>
      <c r="N201" t="s">
        <v>2665</v>
      </c>
      <c r="O201" t="s">
        <v>3043</v>
      </c>
      <c r="P201" t="s">
        <v>2779</v>
      </c>
      <c r="Q201" t="s">
        <v>3028</v>
      </c>
      <c r="R201" t="s">
        <v>2665</v>
      </c>
      <c r="S201" t="s">
        <v>2781</v>
      </c>
      <c r="T201" t="s">
        <v>2922</v>
      </c>
      <c r="U201" t="s">
        <v>2665</v>
      </c>
      <c r="V201" t="s">
        <v>3029</v>
      </c>
      <c r="W201" t="s">
        <v>3030</v>
      </c>
      <c r="X201" t="s">
        <v>2665</v>
      </c>
      <c r="Y201" t="s">
        <v>2054</v>
      </c>
      <c r="Z201" t="s">
        <v>1280</v>
      </c>
      <c r="AA201" t="s">
        <v>2665</v>
      </c>
      <c r="AB201" t="s">
        <v>2665</v>
      </c>
      <c r="AC201" t="s">
        <v>2665</v>
      </c>
      <c r="AD201" t="s">
        <v>2054</v>
      </c>
      <c r="AE201" t="s">
        <v>2054</v>
      </c>
    </row>
    <row r="202" spans="1:31" x14ac:dyDescent="0.25">
      <c r="A202" t="s">
        <v>1324</v>
      </c>
      <c r="B202" t="s">
        <v>1323</v>
      </c>
      <c r="C202" t="s">
        <v>3063</v>
      </c>
      <c r="D202" t="s">
        <v>3064</v>
      </c>
      <c r="E202" t="s">
        <v>2666</v>
      </c>
      <c r="F202" t="s">
        <v>2897</v>
      </c>
      <c r="G202" t="s">
        <v>2666</v>
      </c>
      <c r="H202" t="s">
        <v>2054</v>
      </c>
      <c r="I202" t="s">
        <v>2909</v>
      </c>
      <c r="J202" t="s">
        <v>2054</v>
      </c>
      <c r="K202" t="s">
        <v>2665</v>
      </c>
      <c r="L202" t="s">
        <v>1280</v>
      </c>
      <c r="M202" t="s">
        <v>3029</v>
      </c>
      <c r="N202" t="s">
        <v>2665</v>
      </c>
      <c r="O202" t="s">
        <v>3043</v>
      </c>
      <c r="P202" t="s">
        <v>2779</v>
      </c>
      <c r="Q202" t="s">
        <v>3028</v>
      </c>
      <c r="R202" t="s">
        <v>2665</v>
      </c>
      <c r="S202" t="s">
        <v>2781</v>
      </c>
      <c r="T202" t="s">
        <v>2922</v>
      </c>
      <c r="U202" t="s">
        <v>2665</v>
      </c>
      <c r="V202" t="s">
        <v>3029</v>
      </c>
      <c r="W202" t="s">
        <v>3030</v>
      </c>
      <c r="X202" t="s">
        <v>2665</v>
      </c>
      <c r="Y202" t="s">
        <v>2054</v>
      </c>
      <c r="Z202" t="s">
        <v>1280</v>
      </c>
      <c r="AA202" t="s">
        <v>2665</v>
      </c>
      <c r="AB202" t="s">
        <v>2665</v>
      </c>
      <c r="AC202" t="s">
        <v>2665</v>
      </c>
      <c r="AD202" t="s">
        <v>2054</v>
      </c>
      <c r="AE202" t="s">
        <v>2054</v>
      </c>
    </row>
    <row r="203" spans="1:31" x14ac:dyDescent="0.25">
      <c r="A203" t="s">
        <v>3065</v>
      </c>
      <c r="B203" t="s">
        <v>3066</v>
      </c>
      <c r="C203" t="s">
        <v>3067</v>
      </c>
      <c r="D203" t="s">
        <v>3066</v>
      </c>
      <c r="E203" t="s">
        <v>2666</v>
      </c>
      <c r="F203" t="s">
        <v>3059</v>
      </c>
      <c r="G203" t="s">
        <v>2666</v>
      </c>
      <c r="H203" t="s">
        <v>2054</v>
      </c>
      <c r="I203" t="s">
        <v>2909</v>
      </c>
      <c r="J203" t="s">
        <v>2054</v>
      </c>
      <c r="K203" t="s">
        <v>2665</v>
      </c>
      <c r="L203" t="s">
        <v>1280</v>
      </c>
      <c r="M203" t="s">
        <v>3029</v>
      </c>
      <c r="N203" t="s">
        <v>2665</v>
      </c>
      <c r="O203" t="s">
        <v>3043</v>
      </c>
      <c r="P203" t="s">
        <v>2779</v>
      </c>
      <c r="Q203" t="s">
        <v>3028</v>
      </c>
      <c r="R203" t="s">
        <v>2665</v>
      </c>
      <c r="S203" t="s">
        <v>2781</v>
      </c>
      <c r="T203" t="s">
        <v>2922</v>
      </c>
      <c r="U203" t="s">
        <v>2665</v>
      </c>
      <c r="V203" t="s">
        <v>3029</v>
      </c>
      <c r="W203" t="s">
        <v>3030</v>
      </c>
      <c r="X203" t="s">
        <v>2665</v>
      </c>
      <c r="Y203" t="s">
        <v>2054</v>
      </c>
      <c r="Z203" t="s">
        <v>1280</v>
      </c>
      <c r="AA203" t="s">
        <v>2665</v>
      </c>
      <c r="AB203" t="s">
        <v>2665</v>
      </c>
      <c r="AC203" t="s">
        <v>2665</v>
      </c>
      <c r="AD203" t="s">
        <v>2054</v>
      </c>
      <c r="AE203" t="s">
        <v>2718</v>
      </c>
    </row>
    <row r="204" spans="1:31" x14ac:dyDescent="0.25">
      <c r="A204" t="s">
        <v>2534</v>
      </c>
      <c r="B204" t="s">
        <v>2533</v>
      </c>
      <c r="C204" t="s">
        <v>3068</v>
      </c>
      <c r="D204" t="s">
        <v>3069</v>
      </c>
      <c r="E204" t="s">
        <v>2666</v>
      </c>
      <c r="F204" t="s">
        <v>3070</v>
      </c>
      <c r="G204" t="s">
        <v>2666</v>
      </c>
      <c r="H204" t="s">
        <v>2054</v>
      </c>
      <c r="I204" t="s">
        <v>2909</v>
      </c>
      <c r="J204" t="s">
        <v>2054</v>
      </c>
      <c r="K204" t="s">
        <v>2665</v>
      </c>
      <c r="L204" t="s">
        <v>1280</v>
      </c>
      <c r="M204" t="s">
        <v>3029</v>
      </c>
      <c r="N204" t="s">
        <v>2665</v>
      </c>
      <c r="O204" t="s">
        <v>3043</v>
      </c>
      <c r="P204" t="s">
        <v>2779</v>
      </c>
      <c r="Q204" t="s">
        <v>3028</v>
      </c>
      <c r="R204" t="s">
        <v>2665</v>
      </c>
      <c r="S204" t="s">
        <v>2781</v>
      </c>
      <c r="T204" t="s">
        <v>2922</v>
      </c>
      <c r="U204" t="s">
        <v>2665</v>
      </c>
      <c r="V204" t="s">
        <v>3029</v>
      </c>
      <c r="W204" t="s">
        <v>3030</v>
      </c>
      <c r="X204" t="s">
        <v>2665</v>
      </c>
      <c r="Y204" t="s">
        <v>2054</v>
      </c>
      <c r="Z204" t="s">
        <v>1280</v>
      </c>
      <c r="AA204" t="s">
        <v>2665</v>
      </c>
      <c r="AB204" t="s">
        <v>2665</v>
      </c>
      <c r="AC204" t="s">
        <v>2665</v>
      </c>
      <c r="AD204" t="s">
        <v>2054</v>
      </c>
      <c r="AE204" t="s">
        <v>2054</v>
      </c>
    </row>
    <row r="205" spans="1:31" x14ac:dyDescent="0.25">
      <c r="A205" t="s">
        <v>2536</v>
      </c>
      <c r="B205" t="s">
        <v>2535</v>
      </c>
      <c r="C205" t="s">
        <v>3071</v>
      </c>
      <c r="D205" t="s">
        <v>3072</v>
      </c>
      <c r="E205" t="s">
        <v>2666</v>
      </c>
      <c r="F205" t="s">
        <v>3073</v>
      </c>
      <c r="G205" t="s">
        <v>2666</v>
      </c>
      <c r="H205" t="s">
        <v>2054</v>
      </c>
      <c r="I205" t="s">
        <v>2909</v>
      </c>
      <c r="J205" t="s">
        <v>2054</v>
      </c>
      <c r="K205" t="s">
        <v>2665</v>
      </c>
      <c r="L205" t="s">
        <v>1280</v>
      </c>
      <c r="M205" t="s">
        <v>3029</v>
      </c>
      <c r="N205" t="s">
        <v>2665</v>
      </c>
      <c r="O205" t="s">
        <v>3043</v>
      </c>
      <c r="P205" t="s">
        <v>2779</v>
      </c>
      <c r="Q205" t="s">
        <v>3028</v>
      </c>
      <c r="R205" t="s">
        <v>2665</v>
      </c>
      <c r="S205" t="s">
        <v>2781</v>
      </c>
      <c r="T205" t="s">
        <v>2922</v>
      </c>
      <c r="U205" t="s">
        <v>2665</v>
      </c>
      <c r="V205" t="s">
        <v>3029</v>
      </c>
      <c r="W205" t="s">
        <v>3030</v>
      </c>
      <c r="X205" t="s">
        <v>2665</v>
      </c>
      <c r="Y205" t="s">
        <v>2054</v>
      </c>
      <c r="Z205" t="s">
        <v>1280</v>
      </c>
      <c r="AA205" t="s">
        <v>2665</v>
      </c>
      <c r="AB205" t="s">
        <v>2665</v>
      </c>
      <c r="AC205" t="s">
        <v>2665</v>
      </c>
      <c r="AD205" t="s">
        <v>2054</v>
      </c>
      <c r="AE205" t="s">
        <v>2054</v>
      </c>
    </row>
    <row r="206" spans="1:31" x14ac:dyDescent="0.25">
      <c r="A206" t="s">
        <v>2538</v>
      </c>
      <c r="B206" t="s">
        <v>2537</v>
      </c>
      <c r="C206" t="s">
        <v>3074</v>
      </c>
      <c r="D206" t="s">
        <v>3075</v>
      </c>
      <c r="E206" t="s">
        <v>2666</v>
      </c>
      <c r="F206" t="s">
        <v>3076</v>
      </c>
      <c r="G206" t="s">
        <v>2666</v>
      </c>
      <c r="H206" t="s">
        <v>2054</v>
      </c>
      <c r="I206" t="s">
        <v>2909</v>
      </c>
      <c r="J206" t="s">
        <v>2054</v>
      </c>
      <c r="K206" t="s">
        <v>2665</v>
      </c>
      <c r="L206" t="s">
        <v>1280</v>
      </c>
      <c r="M206" t="s">
        <v>3029</v>
      </c>
      <c r="N206" t="s">
        <v>2665</v>
      </c>
      <c r="O206" t="s">
        <v>3043</v>
      </c>
      <c r="P206" t="s">
        <v>2779</v>
      </c>
      <c r="Q206" t="s">
        <v>3028</v>
      </c>
      <c r="R206" t="s">
        <v>2665</v>
      </c>
      <c r="S206" t="s">
        <v>2781</v>
      </c>
      <c r="T206" t="s">
        <v>2922</v>
      </c>
      <c r="U206" t="s">
        <v>2665</v>
      </c>
      <c r="V206" t="s">
        <v>3029</v>
      </c>
      <c r="W206" t="s">
        <v>3030</v>
      </c>
      <c r="X206" t="s">
        <v>2665</v>
      </c>
      <c r="Y206" t="s">
        <v>2054</v>
      </c>
      <c r="Z206" t="s">
        <v>1280</v>
      </c>
      <c r="AA206" t="s">
        <v>2665</v>
      </c>
      <c r="AB206" t="s">
        <v>2665</v>
      </c>
      <c r="AC206" t="s">
        <v>2665</v>
      </c>
      <c r="AD206" t="s">
        <v>2054</v>
      </c>
      <c r="AE206" t="s">
        <v>2054</v>
      </c>
    </row>
    <row r="207" spans="1:31" x14ac:dyDescent="0.25">
      <c r="A207" t="s">
        <v>1325</v>
      </c>
      <c r="B207" t="s">
        <v>436</v>
      </c>
      <c r="C207" t="s">
        <v>3077</v>
      </c>
      <c r="D207" t="s">
        <v>437</v>
      </c>
      <c r="E207" t="s">
        <v>2666</v>
      </c>
      <c r="F207" t="s">
        <v>3078</v>
      </c>
      <c r="G207" t="s">
        <v>2666</v>
      </c>
      <c r="H207" t="s">
        <v>2054</v>
      </c>
      <c r="I207" t="s">
        <v>2909</v>
      </c>
      <c r="J207" t="s">
        <v>2054</v>
      </c>
      <c r="K207" t="s">
        <v>2665</v>
      </c>
      <c r="L207" t="s">
        <v>1280</v>
      </c>
      <c r="M207" t="s">
        <v>2985</v>
      </c>
      <c r="N207" t="s">
        <v>2665</v>
      </c>
      <c r="O207" t="s">
        <v>3079</v>
      </c>
      <c r="P207" t="s">
        <v>2779</v>
      </c>
      <c r="Q207" t="s">
        <v>3028</v>
      </c>
      <c r="R207" t="s">
        <v>2665</v>
      </c>
      <c r="S207" t="s">
        <v>2781</v>
      </c>
      <c r="T207" t="s">
        <v>2922</v>
      </c>
      <c r="U207" t="s">
        <v>2665</v>
      </c>
      <c r="V207" t="s">
        <v>3029</v>
      </c>
      <c r="W207" t="s">
        <v>3030</v>
      </c>
      <c r="X207" t="s">
        <v>2665</v>
      </c>
      <c r="Y207" t="s">
        <v>2054</v>
      </c>
      <c r="Z207" t="s">
        <v>1280</v>
      </c>
      <c r="AA207" t="s">
        <v>2665</v>
      </c>
      <c r="AB207" t="s">
        <v>2665</v>
      </c>
      <c r="AC207" t="s">
        <v>2665</v>
      </c>
      <c r="AD207" t="s">
        <v>2054</v>
      </c>
      <c r="AE207" t="s">
        <v>2054</v>
      </c>
    </row>
    <row r="208" spans="1:31" x14ac:dyDescent="0.25">
      <c r="A208" t="s">
        <v>1326</v>
      </c>
      <c r="B208" t="s">
        <v>438</v>
      </c>
      <c r="C208" t="s">
        <v>3080</v>
      </c>
      <c r="D208" t="s">
        <v>439</v>
      </c>
      <c r="E208" t="s">
        <v>2666</v>
      </c>
      <c r="F208" t="s">
        <v>3081</v>
      </c>
      <c r="G208" t="s">
        <v>2666</v>
      </c>
      <c r="H208" t="s">
        <v>2054</v>
      </c>
      <c r="I208" t="s">
        <v>2909</v>
      </c>
      <c r="J208" t="s">
        <v>2054</v>
      </c>
      <c r="K208" t="s">
        <v>2665</v>
      </c>
      <c r="L208" t="s">
        <v>1280</v>
      </c>
      <c r="M208" t="s">
        <v>2985</v>
      </c>
      <c r="N208" t="s">
        <v>2665</v>
      </c>
      <c r="O208" t="s">
        <v>3079</v>
      </c>
      <c r="P208" t="s">
        <v>2779</v>
      </c>
      <c r="Q208" t="s">
        <v>3028</v>
      </c>
      <c r="R208" t="s">
        <v>2665</v>
      </c>
      <c r="S208" t="s">
        <v>2781</v>
      </c>
      <c r="T208" t="s">
        <v>2922</v>
      </c>
      <c r="U208" t="s">
        <v>2665</v>
      </c>
      <c r="V208" t="s">
        <v>3029</v>
      </c>
      <c r="W208" t="s">
        <v>3030</v>
      </c>
      <c r="X208" t="s">
        <v>2665</v>
      </c>
      <c r="Y208" t="s">
        <v>2054</v>
      </c>
      <c r="Z208" t="s">
        <v>1280</v>
      </c>
      <c r="AA208" t="s">
        <v>2665</v>
      </c>
      <c r="AB208" t="s">
        <v>2665</v>
      </c>
      <c r="AC208" t="s">
        <v>2665</v>
      </c>
      <c r="AD208" t="s">
        <v>2054</v>
      </c>
      <c r="AE208" t="s">
        <v>2054</v>
      </c>
    </row>
    <row r="209" spans="1:31" x14ac:dyDescent="0.25">
      <c r="A209" t="s">
        <v>1327</v>
      </c>
      <c r="B209" t="s">
        <v>440</v>
      </c>
      <c r="C209" t="s">
        <v>3082</v>
      </c>
      <c r="D209" t="s">
        <v>441</v>
      </c>
      <c r="E209" t="s">
        <v>2666</v>
      </c>
      <c r="F209" t="s">
        <v>3083</v>
      </c>
      <c r="G209" t="s">
        <v>2666</v>
      </c>
      <c r="H209" t="s">
        <v>2054</v>
      </c>
      <c r="I209" t="s">
        <v>2909</v>
      </c>
      <c r="J209" t="s">
        <v>2054</v>
      </c>
      <c r="K209" t="s">
        <v>2665</v>
      </c>
      <c r="L209" t="s">
        <v>1280</v>
      </c>
      <c r="M209" t="s">
        <v>2985</v>
      </c>
      <c r="N209" t="s">
        <v>2665</v>
      </c>
      <c r="O209" t="s">
        <v>3079</v>
      </c>
      <c r="P209" t="s">
        <v>2779</v>
      </c>
      <c r="Q209" t="s">
        <v>3028</v>
      </c>
      <c r="R209" t="s">
        <v>2665</v>
      </c>
      <c r="S209" t="s">
        <v>2781</v>
      </c>
      <c r="T209" t="s">
        <v>2922</v>
      </c>
      <c r="U209" t="s">
        <v>2665</v>
      </c>
      <c r="V209" t="s">
        <v>3029</v>
      </c>
      <c r="W209" t="s">
        <v>3030</v>
      </c>
      <c r="X209" t="s">
        <v>2665</v>
      </c>
      <c r="Y209" t="s">
        <v>2054</v>
      </c>
      <c r="Z209" t="s">
        <v>1280</v>
      </c>
      <c r="AA209" t="s">
        <v>2665</v>
      </c>
      <c r="AB209" t="s">
        <v>2665</v>
      </c>
      <c r="AC209" t="s">
        <v>2665</v>
      </c>
      <c r="AD209" t="s">
        <v>2054</v>
      </c>
      <c r="AE209" t="s">
        <v>2054</v>
      </c>
    </row>
    <row r="210" spans="1:31" x14ac:dyDescent="0.25">
      <c r="A210" t="s">
        <v>1329</v>
      </c>
      <c r="B210" t="s">
        <v>1328</v>
      </c>
      <c r="C210" t="s">
        <v>3084</v>
      </c>
      <c r="D210" t="s">
        <v>3085</v>
      </c>
      <c r="E210" t="s">
        <v>2666</v>
      </c>
      <c r="F210" t="s">
        <v>3086</v>
      </c>
      <c r="G210" t="s">
        <v>2666</v>
      </c>
      <c r="H210" t="s">
        <v>2054</v>
      </c>
      <c r="I210" t="s">
        <v>2909</v>
      </c>
      <c r="J210" t="s">
        <v>2054</v>
      </c>
      <c r="K210" t="s">
        <v>2665</v>
      </c>
      <c r="L210" t="s">
        <v>1280</v>
      </c>
      <c r="M210" t="s">
        <v>2985</v>
      </c>
      <c r="N210" t="s">
        <v>2665</v>
      </c>
      <c r="O210" t="s">
        <v>3079</v>
      </c>
      <c r="P210" t="s">
        <v>2779</v>
      </c>
      <c r="Q210" t="s">
        <v>3028</v>
      </c>
      <c r="R210" t="s">
        <v>2665</v>
      </c>
      <c r="S210" t="s">
        <v>2781</v>
      </c>
      <c r="T210" t="s">
        <v>2922</v>
      </c>
      <c r="U210" t="s">
        <v>2665</v>
      </c>
      <c r="V210" t="s">
        <v>3029</v>
      </c>
      <c r="W210" t="s">
        <v>3030</v>
      </c>
      <c r="X210" t="s">
        <v>2665</v>
      </c>
      <c r="Y210" t="s">
        <v>2054</v>
      </c>
      <c r="Z210" t="s">
        <v>1280</v>
      </c>
      <c r="AA210" t="s">
        <v>2665</v>
      </c>
      <c r="AB210" t="s">
        <v>2665</v>
      </c>
      <c r="AC210" t="s">
        <v>2665</v>
      </c>
      <c r="AD210" t="s">
        <v>2054</v>
      </c>
      <c r="AE210" t="s">
        <v>2054</v>
      </c>
    </row>
    <row r="211" spans="1:31" x14ac:dyDescent="0.25">
      <c r="A211" t="s">
        <v>1331</v>
      </c>
      <c r="B211" t="s">
        <v>1330</v>
      </c>
      <c r="C211" t="s">
        <v>3087</v>
      </c>
      <c r="D211" t="s">
        <v>3088</v>
      </c>
      <c r="E211" t="s">
        <v>2666</v>
      </c>
      <c r="F211" t="s">
        <v>3089</v>
      </c>
      <c r="G211" t="s">
        <v>2666</v>
      </c>
      <c r="H211" t="s">
        <v>2054</v>
      </c>
      <c r="I211" t="s">
        <v>2909</v>
      </c>
      <c r="J211" t="s">
        <v>2054</v>
      </c>
      <c r="K211" t="s">
        <v>2665</v>
      </c>
      <c r="L211" t="s">
        <v>1280</v>
      </c>
      <c r="M211" t="s">
        <v>2985</v>
      </c>
      <c r="N211" t="s">
        <v>2665</v>
      </c>
      <c r="O211" t="s">
        <v>3079</v>
      </c>
      <c r="P211" t="s">
        <v>2779</v>
      </c>
      <c r="Q211" t="s">
        <v>3028</v>
      </c>
      <c r="R211" t="s">
        <v>2665</v>
      </c>
      <c r="S211" t="s">
        <v>2781</v>
      </c>
      <c r="T211" t="s">
        <v>2922</v>
      </c>
      <c r="U211" t="s">
        <v>2665</v>
      </c>
      <c r="V211" t="s">
        <v>3029</v>
      </c>
      <c r="W211" t="s">
        <v>3030</v>
      </c>
      <c r="X211" t="s">
        <v>2665</v>
      </c>
      <c r="Y211" t="s">
        <v>2054</v>
      </c>
      <c r="Z211" t="s">
        <v>1280</v>
      </c>
      <c r="AA211" t="s">
        <v>2665</v>
      </c>
      <c r="AB211" t="s">
        <v>2665</v>
      </c>
      <c r="AC211" t="s">
        <v>2665</v>
      </c>
      <c r="AD211" t="s">
        <v>2054</v>
      </c>
      <c r="AE211" t="s">
        <v>2054</v>
      </c>
    </row>
    <row r="212" spans="1:31" x14ac:dyDescent="0.25">
      <c r="A212" t="s">
        <v>1333</v>
      </c>
      <c r="B212" t="s">
        <v>1332</v>
      </c>
      <c r="C212" t="s">
        <v>3090</v>
      </c>
      <c r="D212" t="s">
        <v>3091</v>
      </c>
      <c r="E212" t="s">
        <v>2666</v>
      </c>
      <c r="F212" t="s">
        <v>3092</v>
      </c>
      <c r="G212" t="s">
        <v>2666</v>
      </c>
      <c r="H212" t="s">
        <v>2054</v>
      </c>
      <c r="I212" t="s">
        <v>2909</v>
      </c>
      <c r="J212" t="s">
        <v>2054</v>
      </c>
      <c r="K212" t="s">
        <v>2665</v>
      </c>
      <c r="L212" t="s">
        <v>1280</v>
      </c>
      <c r="M212" t="s">
        <v>2985</v>
      </c>
      <c r="N212" t="s">
        <v>2665</v>
      </c>
      <c r="O212" t="s">
        <v>3079</v>
      </c>
      <c r="P212" t="s">
        <v>2779</v>
      </c>
      <c r="Q212" t="s">
        <v>3028</v>
      </c>
      <c r="R212" t="s">
        <v>2665</v>
      </c>
      <c r="S212" t="s">
        <v>2781</v>
      </c>
      <c r="T212" t="s">
        <v>2922</v>
      </c>
      <c r="U212" t="s">
        <v>2665</v>
      </c>
      <c r="V212" t="s">
        <v>3029</v>
      </c>
      <c r="W212" t="s">
        <v>3030</v>
      </c>
      <c r="X212" t="s">
        <v>2665</v>
      </c>
      <c r="Y212" t="s">
        <v>2054</v>
      </c>
      <c r="Z212" t="s">
        <v>1280</v>
      </c>
      <c r="AA212" t="s">
        <v>2665</v>
      </c>
      <c r="AB212" t="s">
        <v>2665</v>
      </c>
      <c r="AC212" t="s">
        <v>2665</v>
      </c>
      <c r="AD212" t="s">
        <v>2054</v>
      </c>
      <c r="AE212" t="s">
        <v>2054</v>
      </c>
    </row>
    <row r="213" spans="1:31" x14ac:dyDescent="0.25">
      <c r="A213" t="s">
        <v>1334</v>
      </c>
      <c r="B213" t="s">
        <v>442</v>
      </c>
      <c r="C213" t="s">
        <v>3093</v>
      </c>
      <c r="D213" t="s">
        <v>3094</v>
      </c>
      <c r="E213" t="s">
        <v>2666</v>
      </c>
      <c r="F213" t="s">
        <v>3095</v>
      </c>
      <c r="G213" t="s">
        <v>2666</v>
      </c>
      <c r="H213" t="s">
        <v>2054</v>
      </c>
      <c r="I213" t="s">
        <v>2909</v>
      </c>
      <c r="J213" t="s">
        <v>2054</v>
      </c>
      <c r="K213" t="s">
        <v>2665</v>
      </c>
      <c r="L213" t="s">
        <v>1280</v>
      </c>
      <c r="M213" t="s">
        <v>3017</v>
      </c>
      <c r="N213" t="s">
        <v>2665</v>
      </c>
      <c r="O213" t="s">
        <v>3096</v>
      </c>
      <c r="P213" t="s">
        <v>2779</v>
      </c>
      <c r="Q213" t="s">
        <v>3028</v>
      </c>
      <c r="R213" t="s">
        <v>2665</v>
      </c>
      <c r="S213" t="s">
        <v>2781</v>
      </c>
      <c r="T213" t="s">
        <v>2922</v>
      </c>
      <c r="U213" t="s">
        <v>2665</v>
      </c>
      <c r="V213" t="s">
        <v>3029</v>
      </c>
      <c r="W213" t="s">
        <v>3030</v>
      </c>
      <c r="X213" t="s">
        <v>2665</v>
      </c>
      <c r="Y213" t="s">
        <v>2054</v>
      </c>
      <c r="Z213" t="s">
        <v>1280</v>
      </c>
      <c r="AA213" t="s">
        <v>2665</v>
      </c>
      <c r="AB213" t="s">
        <v>2665</v>
      </c>
      <c r="AC213" t="s">
        <v>2665</v>
      </c>
      <c r="AD213" t="s">
        <v>2054</v>
      </c>
      <c r="AE213" t="s">
        <v>2054</v>
      </c>
    </row>
    <row r="214" spans="1:31" x14ac:dyDescent="0.25">
      <c r="A214" t="s">
        <v>1335</v>
      </c>
      <c r="B214" t="s">
        <v>443</v>
      </c>
      <c r="C214" t="s">
        <v>3097</v>
      </c>
      <c r="D214" t="s">
        <v>3098</v>
      </c>
      <c r="E214" t="s">
        <v>2666</v>
      </c>
      <c r="F214" t="s">
        <v>3054</v>
      </c>
      <c r="G214" t="s">
        <v>2666</v>
      </c>
      <c r="H214" t="s">
        <v>2054</v>
      </c>
      <c r="I214" t="s">
        <v>2909</v>
      </c>
      <c r="J214" t="s">
        <v>2054</v>
      </c>
      <c r="K214" t="s">
        <v>2665</v>
      </c>
      <c r="L214" t="s">
        <v>1280</v>
      </c>
      <c r="M214" t="s">
        <v>3017</v>
      </c>
      <c r="N214" t="s">
        <v>2665</v>
      </c>
      <c r="O214" t="s">
        <v>3096</v>
      </c>
      <c r="P214" t="s">
        <v>2779</v>
      </c>
      <c r="Q214" t="s">
        <v>3028</v>
      </c>
      <c r="R214" t="s">
        <v>2665</v>
      </c>
      <c r="S214" t="s">
        <v>2781</v>
      </c>
      <c r="T214" t="s">
        <v>2922</v>
      </c>
      <c r="U214" t="s">
        <v>2665</v>
      </c>
      <c r="V214" t="s">
        <v>3029</v>
      </c>
      <c r="W214" t="s">
        <v>3030</v>
      </c>
      <c r="X214" t="s">
        <v>2665</v>
      </c>
      <c r="Y214" t="s">
        <v>2054</v>
      </c>
      <c r="Z214" t="s">
        <v>1280</v>
      </c>
      <c r="AA214" t="s">
        <v>2665</v>
      </c>
      <c r="AB214" t="s">
        <v>2665</v>
      </c>
      <c r="AC214" t="s">
        <v>2665</v>
      </c>
      <c r="AD214" t="s">
        <v>2054</v>
      </c>
      <c r="AE214" t="s">
        <v>2054</v>
      </c>
    </row>
    <row r="215" spans="1:31" x14ac:dyDescent="0.25">
      <c r="A215" t="s">
        <v>1336</v>
      </c>
      <c r="B215" t="s">
        <v>444</v>
      </c>
      <c r="C215" t="s">
        <v>3099</v>
      </c>
      <c r="D215" t="s">
        <v>3100</v>
      </c>
      <c r="E215" t="s">
        <v>2666</v>
      </c>
      <c r="F215" t="s">
        <v>3101</v>
      </c>
      <c r="G215" t="s">
        <v>2666</v>
      </c>
      <c r="H215" t="s">
        <v>2054</v>
      </c>
      <c r="I215" t="s">
        <v>2909</v>
      </c>
      <c r="J215" t="s">
        <v>2054</v>
      </c>
      <c r="K215" t="s">
        <v>2665</v>
      </c>
      <c r="L215" t="s">
        <v>1280</v>
      </c>
      <c r="M215" t="s">
        <v>3017</v>
      </c>
      <c r="N215" t="s">
        <v>2665</v>
      </c>
      <c r="O215" t="s">
        <v>3096</v>
      </c>
      <c r="P215" t="s">
        <v>2779</v>
      </c>
      <c r="Q215" t="s">
        <v>3028</v>
      </c>
      <c r="R215" t="s">
        <v>2665</v>
      </c>
      <c r="S215" t="s">
        <v>2781</v>
      </c>
      <c r="T215" t="s">
        <v>2922</v>
      </c>
      <c r="U215" t="s">
        <v>2665</v>
      </c>
      <c r="V215" t="s">
        <v>3029</v>
      </c>
      <c r="W215" t="s">
        <v>3030</v>
      </c>
      <c r="X215" t="s">
        <v>2665</v>
      </c>
      <c r="Y215" t="s">
        <v>2054</v>
      </c>
      <c r="Z215" t="s">
        <v>1280</v>
      </c>
      <c r="AA215" t="s">
        <v>2665</v>
      </c>
      <c r="AB215" t="s">
        <v>2665</v>
      </c>
      <c r="AC215" t="s">
        <v>2665</v>
      </c>
      <c r="AD215" t="s">
        <v>2054</v>
      </c>
      <c r="AE215" t="s">
        <v>2054</v>
      </c>
    </row>
    <row r="216" spans="1:31" x14ac:dyDescent="0.25">
      <c r="A216" t="s">
        <v>3102</v>
      </c>
      <c r="B216" t="s">
        <v>3103</v>
      </c>
      <c r="C216" t="s">
        <v>3104</v>
      </c>
      <c r="D216" t="s">
        <v>3105</v>
      </c>
      <c r="E216" t="s">
        <v>2666</v>
      </c>
      <c r="F216" t="s">
        <v>3106</v>
      </c>
      <c r="G216" t="s">
        <v>2666</v>
      </c>
      <c r="H216" t="s">
        <v>2054</v>
      </c>
      <c r="I216" t="s">
        <v>2909</v>
      </c>
      <c r="J216" t="s">
        <v>2054</v>
      </c>
      <c r="K216" t="s">
        <v>2665</v>
      </c>
      <c r="L216" t="s">
        <v>1280</v>
      </c>
      <c r="M216" t="s">
        <v>2985</v>
      </c>
      <c r="N216" t="s">
        <v>2665</v>
      </c>
      <c r="O216" t="s">
        <v>3079</v>
      </c>
      <c r="P216" t="s">
        <v>2779</v>
      </c>
      <c r="Q216" t="s">
        <v>3028</v>
      </c>
      <c r="R216" t="s">
        <v>2665</v>
      </c>
      <c r="S216" t="s">
        <v>2781</v>
      </c>
      <c r="T216" t="s">
        <v>2922</v>
      </c>
      <c r="U216" t="s">
        <v>2665</v>
      </c>
      <c r="V216" t="s">
        <v>3029</v>
      </c>
      <c r="W216" t="s">
        <v>3030</v>
      </c>
      <c r="X216" t="s">
        <v>2665</v>
      </c>
      <c r="Y216" t="s">
        <v>2054</v>
      </c>
      <c r="Z216" t="s">
        <v>1280</v>
      </c>
      <c r="AA216" t="s">
        <v>2665</v>
      </c>
      <c r="AB216" t="s">
        <v>2665</v>
      </c>
      <c r="AC216" t="s">
        <v>2665</v>
      </c>
      <c r="AD216" t="s">
        <v>2054</v>
      </c>
      <c r="AE216" t="s">
        <v>2726</v>
      </c>
    </row>
    <row r="217" spans="1:31" x14ac:dyDescent="0.25">
      <c r="A217" t="s">
        <v>1338</v>
      </c>
      <c r="B217" t="s">
        <v>1337</v>
      </c>
      <c r="C217" t="s">
        <v>3107</v>
      </c>
      <c r="D217" t="s">
        <v>3108</v>
      </c>
      <c r="E217" t="s">
        <v>2666</v>
      </c>
      <c r="F217" t="s">
        <v>3109</v>
      </c>
      <c r="G217" t="s">
        <v>2666</v>
      </c>
      <c r="H217" t="s">
        <v>2054</v>
      </c>
      <c r="I217" t="s">
        <v>2909</v>
      </c>
      <c r="J217" t="s">
        <v>2054</v>
      </c>
      <c r="K217" t="s">
        <v>2665</v>
      </c>
      <c r="L217" t="s">
        <v>1280</v>
      </c>
      <c r="M217" t="s">
        <v>3017</v>
      </c>
      <c r="N217" t="s">
        <v>2665</v>
      </c>
      <c r="O217" t="s">
        <v>3096</v>
      </c>
      <c r="P217" t="s">
        <v>2779</v>
      </c>
      <c r="Q217" t="s">
        <v>3028</v>
      </c>
      <c r="R217" t="s">
        <v>2665</v>
      </c>
      <c r="S217" t="s">
        <v>2781</v>
      </c>
      <c r="T217" t="s">
        <v>2922</v>
      </c>
      <c r="U217" t="s">
        <v>2665</v>
      </c>
      <c r="V217" t="s">
        <v>3029</v>
      </c>
      <c r="W217" t="s">
        <v>3030</v>
      </c>
      <c r="X217" t="s">
        <v>2665</v>
      </c>
      <c r="Y217" t="s">
        <v>2054</v>
      </c>
      <c r="Z217" t="s">
        <v>1280</v>
      </c>
      <c r="AA217" t="s">
        <v>2665</v>
      </c>
      <c r="AB217" t="s">
        <v>2665</v>
      </c>
      <c r="AC217" t="s">
        <v>2665</v>
      </c>
      <c r="AD217" t="s">
        <v>2054</v>
      </c>
      <c r="AE217" t="s">
        <v>2054</v>
      </c>
    </row>
    <row r="218" spans="1:31" x14ac:dyDescent="0.25">
      <c r="A218" t="s">
        <v>1340</v>
      </c>
      <c r="B218" t="s">
        <v>1339</v>
      </c>
      <c r="C218" t="s">
        <v>3110</v>
      </c>
      <c r="D218" t="s">
        <v>3111</v>
      </c>
      <c r="E218" t="s">
        <v>2666</v>
      </c>
      <c r="F218" t="s">
        <v>3112</v>
      </c>
      <c r="G218" t="s">
        <v>2666</v>
      </c>
      <c r="H218" t="s">
        <v>2054</v>
      </c>
      <c r="I218" t="s">
        <v>2909</v>
      </c>
      <c r="J218" t="s">
        <v>2054</v>
      </c>
      <c r="K218" t="s">
        <v>2665</v>
      </c>
      <c r="L218" t="s">
        <v>1280</v>
      </c>
      <c r="M218" t="s">
        <v>3017</v>
      </c>
      <c r="N218" t="s">
        <v>2665</v>
      </c>
      <c r="O218" t="s">
        <v>3096</v>
      </c>
      <c r="P218" t="s">
        <v>2779</v>
      </c>
      <c r="Q218" t="s">
        <v>3028</v>
      </c>
      <c r="R218" t="s">
        <v>2665</v>
      </c>
      <c r="S218" t="s">
        <v>2781</v>
      </c>
      <c r="T218" t="s">
        <v>2922</v>
      </c>
      <c r="U218" t="s">
        <v>2665</v>
      </c>
      <c r="V218" t="s">
        <v>3029</v>
      </c>
      <c r="W218" t="s">
        <v>3030</v>
      </c>
      <c r="X218" t="s">
        <v>2665</v>
      </c>
      <c r="Y218" t="s">
        <v>2054</v>
      </c>
      <c r="Z218" t="s">
        <v>1280</v>
      </c>
      <c r="AA218" t="s">
        <v>2665</v>
      </c>
      <c r="AB218" t="s">
        <v>2665</v>
      </c>
      <c r="AC218" t="s">
        <v>2665</v>
      </c>
      <c r="AD218" t="s">
        <v>2054</v>
      </c>
      <c r="AE218" t="s">
        <v>2054</v>
      </c>
    </row>
    <row r="219" spans="1:31" x14ac:dyDescent="0.25">
      <c r="A219" t="s">
        <v>1342</v>
      </c>
      <c r="B219" t="s">
        <v>1341</v>
      </c>
      <c r="C219" t="s">
        <v>3113</v>
      </c>
      <c r="D219" t="s">
        <v>3114</v>
      </c>
      <c r="E219" t="s">
        <v>2666</v>
      </c>
      <c r="F219" t="s">
        <v>3115</v>
      </c>
      <c r="G219" t="s">
        <v>2666</v>
      </c>
      <c r="H219" t="s">
        <v>2054</v>
      </c>
      <c r="I219" t="s">
        <v>2909</v>
      </c>
      <c r="J219" t="s">
        <v>2054</v>
      </c>
      <c r="K219" t="s">
        <v>2665</v>
      </c>
      <c r="L219" t="s">
        <v>1280</v>
      </c>
      <c r="M219" t="s">
        <v>3017</v>
      </c>
      <c r="N219" t="s">
        <v>2665</v>
      </c>
      <c r="O219" t="s">
        <v>3096</v>
      </c>
      <c r="P219" t="s">
        <v>2779</v>
      </c>
      <c r="Q219" t="s">
        <v>3028</v>
      </c>
      <c r="R219" t="s">
        <v>2665</v>
      </c>
      <c r="S219" t="s">
        <v>2781</v>
      </c>
      <c r="T219" t="s">
        <v>2922</v>
      </c>
      <c r="U219" t="s">
        <v>2665</v>
      </c>
      <c r="V219" t="s">
        <v>3029</v>
      </c>
      <c r="W219" t="s">
        <v>3030</v>
      </c>
      <c r="X219" t="s">
        <v>2665</v>
      </c>
      <c r="Y219" t="s">
        <v>2054</v>
      </c>
      <c r="Z219" t="s">
        <v>1280</v>
      </c>
      <c r="AA219" t="s">
        <v>2665</v>
      </c>
      <c r="AB219" t="s">
        <v>2665</v>
      </c>
      <c r="AC219" t="s">
        <v>2665</v>
      </c>
      <c r="AD219" t="s">
        <v>2054</v>
      </c>
      <c r="AE219" t="s">
        <v>2054</v>
      </c>
    </row>
    <row r="220" spans="1:31" x14ac:dyDescent="0.25">
      <c r="A220" t="s">
        <v>1344</v>
      </c>
      <c r="B220" t="s">
        <v>1343</v>
      </c>
      <c r="C220" t="s">
        <v>3116</v>
      </c>
      <c r="D220" t="s">
        <v>3117</v>
      </c>
      <c r="E220" t="s">
        <v>2666</v>
      </c>
      <c r="F220" t="s">
        <v>3118</v>
      </c>
      <c r="G220" t="s">
        <v>2666</v>
      </c>
      <c r="H220" t="s">
        <v>2054</v>
      </c>
      <c r="I220" t="s">
        <v>2909</v>
      </c>
      <c r="J220" t="s">
        <v>2054</v>
      </c>
      <c r="K220" t="s">
        <v>2665</v>
      </c>
      <c r="L220" t="s">
        <v>1280</v>
      </c>
      <c r="M220" t="s">
        <v>3119</v>
      </c>
      <c r="N220" t="s">
        <v>2665</v>
      </c>
      <c r="O220" t="s">
        <v>3120</v>
      </c>
      <c r="P220" t="s">
        <v>2779</v>
      </c>
      <c r="Q220" t="s">
        <v>3028</v>
      </c>
      <c r="R220" t="s">
        <v>2665</v>
      </c>
      <c r="S220" t="s">
        <v>2781</v>
      </c>
      <c r="T220" t="s">
        <v>2922</v>
      </c>
      <c r="U220" t="s">
        <v>2665</v>
      </c>
      <c r="V220" t="s">
        <v>3029</v>
      </c>
      <c r="W220" t="s">
        <v>3030</v>
      </c>
      <c r="X220" t="s">
        <v>2665</v>
      </c>
      <c r="Y220" t="s">
        <v>2054</v>
      </c>
      <c r="Z220" t="s">
        <v>1280</v>
      </c>
      <c r="AA220" t="s">
        <v>2665</v>
      </c>
      <c r="AB220" t="s">
        <v>2665</v>
      </c>
      <c r="AC220" t="s">
        <v>2665</v>
      </c>
      <c r="AD220" t="s">
        <v>2054</v>
      </c>
      <c r="AE220" t="s">
        <v>2054</v>
      </c>
    </row>
    <row r="221" spans="1:31" x14ac:dyDescent="0.25">
      <c r="A221" t="s">
        <v>1346</v>
      </c>
      <c r="B221" t="s">
        <v>1345</v>
      </c>
      <c r="C221" t="s">
        <v>3121</v>
      </c>
      <c r="D221" t="s">
        <v>3122</v>
      </c>
      <c r="E221" t="s">
        <v>2666</v>
      </c>
      <c r="F221" t="s">
        <v>3118</v>
      </c>
      <c r="G221" t="s">
        <v>2666</v>
      </c>
      <c r="H221" t="s">
        <v>2054</v>
      </c>
      <c r="I221" t="s">
        <v>2909</v>
      </c>
      <c r="J221" t="s">
        <v>2054</v>
      </c>
      <c r="K221" t="s">
        <v>2665</v>
      </c>
      <c r="L221" t="s">
        <v>1280</v>
      </c>
      <c r="M221" t="s">
        <v>3119</v>
      </c>
      <c r="N221" t="s">
        <v>2665</v>
      </c>
      <c r="O221" t="s">
        <v>3120</v>
      </c>
      <c r="P221" t="s">
        <v>2779</v>
      </c>
      <c r="Q221" t="s">
        <v>3028</v>
      </c>
      <c r="R221" t="s">
        <v>2665</v>
      </c>
      <c r="S221" t="s">
        <v>2781</v>
      </c>
      <c r="T221" t="s">
        <v>2922</v>
      </c>
      <c r="U221" t="s">
        <v>2665</v>
      </c>
      <c r="V221" t="s">
        <v>3029</v>
      </c>
      <c r="W221" t="s">
        <v>3030</v>
      </c>
      <c r="X221" t="s">
        <v>2665</v>
      </c>
      <c r="Y221" t="s">
        <v>2054</v>
      </c>
      <c r="Z221" t="s">
        <v>1280</v>
      </c>
      <c r="AA221" t="s">
        <v>2665</v>
      </c>
      <c r="AB221" t="s">
        <v>2665</v>
      </c>
      <c r="AC221" t="s">
        <v>2665</v>
      </c>
      <c r="AD221" t="s">
        <v>2054</v>
      </c>
      <c r="AE221" t="s">
        <v>2054</v>
      </c>
    </row>
    <row r="222" spans="1:31" x14ac:dyDescent="0.25">
      <c r="A222" t="s">
        <v>1348</v>
      </c>
      <c r="B222" t="s">
        <v>1347</v>
      </c>
      <c r="C222" t="s">
        <v>3123</v>
      </c>
      <c r="D222" t="s">
        <v>3124</v>
      </c>
      <c r="E222" t="s">
        <v>2666</v>
      </c>
      <c r="F222" t="s">
        <v>3125</v>
      </c>
      <c r="G222" t="s">
        <v>2666</v>
      </c>
      <c r="H222" t="s">
        <v>2054</v>
      </c>
      <c r="I222" t="s">
        <v>2909</v>
      </c>
      <c r="J222" t="s">
        <v>2054</v>
      </c>
      <c r="K222" t="s">
        <v>2665</v>
      </c>
      <c r="L222" t="s">
        <v>1280</v>
      </c>
      <c r="M222" t="s">
        <v>3119</v>
      </c>
      <c r="N222" t="s">
        <v>2665</v>
      </c>
      <c r="O222" t="s">
        <v>3120</v>
      </c>
      <c r="P222" t="s">
        <v>2779</v>
      </c>
      <c r="Q222" t="s">
        <v>3028</v>
      </c>
      <c r="R222" t="s">
        <v>2665</v>
      </c>
      <c r="S222" t="s">
        <v>2781</v>
      </c>
      <c r="T222" t="s">
        <v>2922</v>
      </c>
      <c r="U222" t="s">
        <v>2665</v>
      </c>
      <c r="V222" t="s">
        <v>3029</v>
      </c>
      <c r="W222" t="s">
        <v>3030</v>
      </c>
      <c r="X222" t="s">
        <v>2665</v>
      </c>
      <c r="Y222" t="s">
        <v>2054</v>
      </c>
      <c r="Z222" t="s">
        <v>1280</v>
      </c>
      <c r="AA222" t="s">
        <v>2665</v>
      </c>
      <c r="AB222" t="s">
        <v>2665</v>
      </c>
      <c r="AC222" t="s">
        <v>2665</v>
      </c>
      <c r="AD222" t="s">
        <v>2054</v>
      </c>
      <c r="AE222" t="s">
        <v>2054</v>
      </c>
    </row>
    <row r="223" spans="1:31" x14ac:dyDescent="0.25">
      <c r="A223" t="s">
        <v>1350</v>
      </c>
      <c r="B223" t="s">
        <v>1349</v>
      </c>
      <c r="C223" t="s">
        <v>3126</v>
      </c>
      <c r="D223" t="s">
        <v>3127</v>
      </c>
      <c r="E223" t="s">
        <v>2666</v>
      </c>
      <c r="F223" t="s">
        <v>3125</v>
      </c>
      <c r="G223" t="s">
        <v>2666</v>
      </c>
      <c r="H223" t="s">
        <v>2054</v>
      </c>
      <c r="I223" t="s">
        <v>2909</v>
      </c>
      <c r="J223" t="s">
        <v>2054</v>
      </c>
      <c r="K223" t="s">
        <v>2665</v>
      </c>
      <c r="L223" t="s">
        <v>1280</v>
      </c>
      <c r="M223" t="s">
        <v>3119</v>
      </c>
      <c r="N223" t="s">
        <v>2665</v>
      </c>
      <c r="O223" t="s">
        <v>3120</v>
      </c>
      <c r="P223" t="s">
        <v>2779</v>
      </c>
      <c r="Q223" t="s">
        <v>3028</v>
      </c>
      <c r="R223" t="s">
        <v>2665</v>
      </c>
      <c r="S223" t="s">
        <v>2781</v>
      </c>
      <c r="T223" t="s">
        <v>2922</v>
      </c>
      <c r="U223" t="s">
        <v>2665</v>
      </c>
      <c r="V223" t="s">
        <v>3029</v>
      </c>
      <c r="W223" t="s">
        <v>3030</v>
      </c>
      <c r="X223" t="s">
        <v>2665</v>
      </c>
      <c r="Y223" t="s">
        <v>2054</v>
      </c>
      <c r="Z223" t="s">
        <v>1280</v>
      </c>
      <c r="AA223" t="s">
        <v>2665</v>
      </c>
      <c r="AB223" t="s">
        <v>2665</v>
      </c>
      <c r="AC223" t="s">
        <v>2665</v>
      </c>
      <c r="AD223" t="s">
        <v>2054</v>
      </c>
      <c r="AE223" t="s">
        <v>2054</v>
      </c>
    </row>
    <row r="224" spans="1:31" x14ac:dyDescent="0.25">
      <c r="A224" t="s">
        <v>1352</v>
      </c>
      <c r="B224" t="s">
        <v>1351</v>
      </c>
      <c r="C224" t="s">
        <v>3128</v>
      </c>
      <c r="D224" t="s">
        <v>3129</v>
      </c>
      <c r="E224" t="s">
        <v>2666</v>
      </c>
      <c r="F224" t="s">
        <v>3130</v>
      </c>
      <c r="G224" t="s">
        <v>2666</v>
      </c>
      <c r="H224" t="s">
        <v>2054</v>
      </c>
      <c r="I224" t="s">
        <v>2909</v>
      </c>
      <c r="J224" t="s">
        <v>2054</v>
      </c>
      <c r="K224" t="s">
        <v>2665</v>
      </c>
      <c r="L224" t="s">
        <v>1280</v>
      </c>
      <c r="M224" t="s">
        <v>3119</v>
      </c>
      <c r="N224" t="s">
        <v>2665</v>
      </c>
      <c r="O224" t="s">
        <v>3120</v>
      </c>
      <c r="P224" t="s">
        <v>2779</v>
      </c>
      <c r="Q224" t="s">
        <v>3028</v>
      </c>
      <c r="R224" t="s">
        <v>2665</v>
      </c>
      <c r="S224" t="s">
        <v>2781</v>
      </c>
      <c r="T224" t="s">
        <v>2922</v>
      </c>
      <c r="U224" t="s">
        <v>2665</v>
      </c>
      <c r="V224" t="s">
        <v>3029</v>
      </c>
      <c r="W224" t="s">
        <v>3030</v>
      </c>
      <c r="X224" t="s">
        <v>2665</v>
      </c>
      <c r="Y224" t="s">
        <v>2054</v>
      </c>
      <c r="Z224" t="s">
        <v>1280</v>
      </c>
      <c r="AA224" t="s">
        <v>2665</v>
      </c>
      <c r="AB224" t="s">
        <v>2665</v>
      </c>
      <c r="AC224" t="s">
        <v>2665</v>
      </c>
      <c r="AD224" t="s">
        <v>2054</v>
      </c>
      <c r="AE224" t="s">
        <v>2054</v>
      </c>
    </row>
    <row r="225" spans="1:31" x14ac:dyDescent="0.25">
      <c r="A225" t="s">
        <v>1354</v>
      </c>
      <c r="B225" t="s">
        <v>1353</v>
      </c>
      <c r="C225" t="s">
        <v>3131</v>
      </c>
      <c r="D225" t="s">
        <v>3132</v>
      </c>
      <c r="E225" t="s">
        <v>2666</v>
      </c>
      <c r="F225" t="s">
        <v>3130</v>
      </c>
      <c r="G225" t="s">
        <v>2666</v>
      </c>
      <c r="H225" t="s">
        <v>2054</v>
      </c>
      <c r="I225" t="s">
        <v>2909</v>
      </c>
      <c r="J225" t="s">
        <v>2054</v>
      </c>
      <c r="K225" t="s">
        <v>2665</v>
      </c>
      <c r="L225" t="s">
        <v>1280</v>
      </c>
      <c r="M225" t="s">
        <v>3119</v>
      </c>
      <c r="N225" t="s">
        <v>2665</v>
      </c>
      <c r="O225" t="s">
        <v>3120</v>
      </c>
      <c r="P225" t="s">
        <v>2779</v>
      </c>
      <c r="Q225" t="s">
        <v>3028</v>
      </c>
      <c r="R225" t="s">
        <v>2665</v>
      </c>
      <c r="S225" t="s">
        <v>2781</v>
      </c>
      <c r="T225" t="s">
        <v>2922</v>
      </c>
      <c r="U225" t="s">
        <v>2665</v>
      </c>
      <c r="V225" t="s">
        <v>3029</v>
      </c>
      <c r="W225" t="s">
        <v>3030</v>
      </c>
      <c r="X225" t="s">
        <v>2665</v>
      </c>
      <c r="Y225" t="s">
        <v>2054</v>
      </c>
      <c r="Z225" t="s">
        <v>1280</v>
      </c>
      <c r="AA225" t="s">
        <v>2665</v>
      </c>
      <c r="AB225" t="s">
        <v>2665</v>
      </c>
      <c r="AC225" t="s">
        <v>2665</v>
      </c>
      <c r="AD225" t="s">
        <v>2054</v>
      </c>
      <c r="AE225" t="s">
        <v>2054</v>
      </c>
    </row>
    <row r="226" spans="1:31" x14ac:dyDescent="0.25">
      <c r="A226" t="s">
        <v>447</v>
      </c>
      <c r="B226" t="s">
        <v>445</v>
      </c>
      <c r="C226" t="s">
        <v>3133</v>
      </c>
      <c r="D226" t="s">
        <v>3134</v>
      </c>
      <c r="E226" t="s">
        <v>2666</v>
      </c>
      <c r="F226" t="s">
        <v>3135</v>
      </c>
      <c r="G226" t="s">
        <v>2666</v>
      </c>
      <c r="H226" t="s">
        <v>2054</v>
      </c>
      <c r="I226" t="s">
        <v>2909</v>
      </c>
      <c r="J226" t="s">
        <v>2054</v>
      </c>
      <c r="K226" t="s">
        <v>2665</v>
      </c>
      <c r="L226" t="s">
        <v>1280</v>
      </c>
      <c r="M226" t="s">
        <v>2923</v>
      </c>
      <c r="N226" t="s">
        <v>2665</v>
      </c>
      <c r="O226" t="s">
        <v>3136</v>
      </c>
      <c r="P226" t="s">
        <v>2779</v>
      </c>
      <c r="Q226" t="s">
        <v>3028</v>
      </c>
      <c r="R226" t="s">
        <v>2665</v>
      </c>
      <c r="S226" t="s">
        <v>2781</v>
      </c>
      <c r="T226" t="s">
        <v>2922</v>
      </c>
      <c r="U226" t="s">
        <v>2665</v>
      </c>
      <c r="V226" t="s">
        <v>3029</v>
      </c>
      <c r="W226" t="s">
        <v>3030</v>
      </c>
      <c r="X226" t="s">
        <v>2665</v>
      </c>
      <c r="Y226" t="s">
        <v>2054</v>
      </c>
      <c r="Z226" t="s">
        <v>1280</v>
      </c>
      <c r="AA226" t="s">
        <v>2665</v>
      </c>
      <c r="AB226" t="s">
        <v>2665</v>
      </c>
      <c r="AC226" t="s">
        <v>2665</v>
      </c>
      <c r="AD226" t="s">
        <v>2054</v>
      </c>
      <c r="AE226" t="s">
        <v>2054</v>
      </c>
    </row>
    <row r="227" spans="1:31" x14ac:dyDescent="0.25">
      <c r="A227" t="s">
        <v>957</v>
      </c>
      <c r="B227" t="s">
        <v>946</v>
      </c>
      <c r="C227" t="s">
        <v>3137</v>
      </c>
      <c r="D227" t="s">
        <v>947</v>
      </c>
      <c r="E227" t="s">
        <v>2666</v>
      </c>
      <c r="F227" t="s">
        <v>3138</v>
      </c>
      <c r="G227" t="s">
        <v>2666</v>
      </c>
      <c r="H227" t="s">
        <v>2054</v>
      </c>
      <c r="I227" t="s">
        <v>2909</v>
      </c>
      <c r="J227" t="s">
        <v>2054</v>
      </c>
      <c r="K227" t="s">
        <v>2665</v>
      </c>
      <c r="L227" t="s">
        <v>1280</v>
      </c>
      <c r="M227" t="s">
        <v>2923</v>
      </c>
      <c r="N227" t="s">
        <v>2665</v>
      </c>
      <c r="O227" t="s">
        <v>3136</v>
      </c>
      <c r="P227" t="s">
        <v>2779</v>
      </c>
      <c r="Q227" t="s">
        <v>3028</v>
      </c>
      <c r="R227" t="s">
        <v>2665</v>
      </c>
      <c r="S227" t="s">
        <v>2781</v>
      </c>
      <c r="T227" t="s">
        <v>2922</v>
      </c>
      <c r="U227" t="s">
        <v>2665</v>
      </c>
      <c r="V227" t="s">
        <v>3029</v>
      </c>
      <c r="W227" t="s">
        <v>3030</v>
      </c>
      <c r="X227" t="s">
        <v>2665</v>
      </c>
      <c r="Y227" t="s">
        <v>2054</v>
      </c>
      <c r="Z227" t="s">
        <v>1280</v>
      </c>
      <c r="AA227" t="s">
        <v>2665</v>
      </c>
      <c r="AB227" t="s">
        <v>2665</v>
      </c>
      <c r="AC227" t="s">
        <v>2665</v>
      </c>
      <c r="AD227" t="s">
        <v>2054</v>
      </c>
      <c r="AE227" t="s">
        <v>2054</v>
      </c>
    </row>
    <row r="228" spans="1:31" x14ac:dyDescent="0.25">
      <c r="A228" t="s">
        <v>450</v>
      </c>
      <c r="B228" t="s">
        <v>448</v>
      </c>
      <c r="C228" t="s">
        <v>3139</v>
      </c>
      <c r="D228" t="s">
        <v>449</v>
      </c>
      <c r="E228" t="s">
        <v>2666</v>
      </c>
      <c r="F228" t="s">
        <v>3135</v>
      </c>
      <c r="G228" t="s">
        <v>2666</v>
      </c>
      <c r="H228" t="s">
        <v>2054</v>
      </c>
      <c r="I228" t="s">
        <v>2909</v>
      </c>
      <c r="J228" t="s">
        <v>2054</v>
      </c>
      <c r="K228" t="s">
        <v>2665</v>
      </c>
      <c r="L228" t="s">
        <v>1280</v>
      </c>
      <c r="M228" t="s">
        <v>2923</v>
      </c>
      <c r="N228" t="s">
        <v>2665</v>
      </c>
      <c r="O228" t="s">
        <v>3136</v>
      </c>
      <c r="P228" t="s">
        <v>2779</v>
      </c>
      <c r="Q228" t="s">
        <v>3028</v>
      </c>
      <c r="R228" t="s">
        <v>2665</v>
      </c>
      <c r="S228" t="s">
        <v>2781</v>
      </c>
      <c r="T228" t="s">
        <v>2922</v>
      </c>
      <c r="U228" t="s">
        <v>2665</v>
      </c>
      <c r="V228" t="s">
        <v>3029</v>
      </c>
      <c r="W228" t="s">
        <v>3030</v>
      </c>
      <c r="X228" t="s">
        <v>2665</v>
      </c>
      <c r="Y228" t="s">
        <v>2054</v>
      </c>
      <c r="Z228" t="s">
        <v>1280</v>
      </c>
      <c r="AA228" t="s">
        <v>2665</v>
      </c>
      <c r="AB228" t="s">
        <v>2665</v>
      </c>
      <c r="AC228" t="s">
        <v>2665</v>
      </c>
      <c r="AD228" t="s">
        <v>2054</v>
      </c>
      <c r="AE228" t="s">
        <v>2054</v>
      </c>
    </row>
    <row r="229" spans="1:31" x14ac:dyDescent="0.25">
      <c r="A229" t="s">
        <v>958</v>
      </c>
      <c r="B229" t="s">
        <v>948</v>
      </c>
      <c r="C229" t="s">
        <v>3140</v>
      </c>
      <c r="D229" t="s">
        <v>949</v>
      </c>
      <c r="E229" t="s">
        <v>2666</v>
      </c>
      <c r="F229" t="s">
        <v>3138</v>
      </c>
      <c r="G229" t="s">
        <v>2666</v>
      </c>
      <c r="H229" t="s">
        <v>2054</v>
      </c>
      <c r="I229" t="s">
        <v>2909</v>
      </c>
      <c r="J229" t="s">
        <v>2054</v>
      </c>
      <c r="K229" t="s">
        <v>2665</v>
      </c>
      <c r="L229" t="s">
        <v>1280</v>
      </c>
      <c r="M229" t="s">
        <v>2923</v>
      </c>
      <c r="N229" t="s">
        <v>2665</v>
      </c>
      <c r="O229" t="s">
        <v>3136</v>
      </c>
      <c r="P229" t="s">
        <v>2779</v>
      </c>
      <c r="Q229" t="s">
        <v>3028</v>
      </c>
      <c r="R229" t="s">
        <v>2665</v>
      </c>
      <c r="S229" t="s">
        <v>2781</v>
      </c>
      <c r="T229" t="s">
        <v>2922</v>
      </c>
      <c r="U229" t="s">
        <v>2665</v>
      </c>
      <c r="V229" t="s">
        <v>3029</v>
      </c>
      <c r="W229" t="s">
        <v>3030</v>
      </c>
      <c r="X229" t="s">
        <v>2665</v>
      </c>
      <c r="Y229" t="s">
        <v>2054</v>
      </c>
      <c r="Z229" t="s">
        <v>1280</v>
      </c>
      <c r="AA229" t="s">
        <v>2665</v>
      </c>
      <c r="AB229" t="s">
        <v>2665</v>
      </c>
      <c r="AC229" t="s">
        <v>2665</v>
      </c>
      <c r="AD229" t="s">
        <v>2054</v>
      </c>
      <c r="AE229" t="s">
        <v>2054</v>
      </c>
    </row>
    <row r="230" spans="1:31" x14ac:dyDescent="0.25">
      <c r="A230" t="s">
        <v>453</v>
      </c>
      <c r="B230" t="s">
        <v>451</v>
      </c>
      <c r="C230" t="s">
        <v>3141</v>
      </c>
      <c r="D230" t="s">
        <v>3142</v>
      </c>
      <c r="E230" t="s">
        <v>2666</v>
      </c>
      <c r="F230" t="s">
        <v>3143</v>
      </c>
      <c r="G230" t="s">
        <v>2666</v>
      </c>
      <c r="H230" t="s">
        <v>2054</v>
      </c>
      <c r="I230" t="s">
        <v>2909</v>
      </c>
      <c r="J230" t="s">
        <v>2054</v>
      </c>
      <c r="K230" t="s">
        <v>2665</v>
      </c>
      <c r="L230" t="s">
        <v>1280</v>
      </c>
      <c r="M230" t="s">
        <v>2923</v>
      </c>
      <c r="N230" t="s">
        <v>2665</v>
      </c>
      <c r="O230" t="s">
        <v>3136</v>
      </c>
      <c r="P230" t="s">
        <v>2779</v>
      </c>
      <c r="Q230" t="s">
        <v>3028</v>
      </c>
      <c r="R230" t="s">
        <v>2665</v>
      </c>
      <c r="S230" t="s">
        <v>2781</v>
      </c>
      <c r="T230" t="s">
        <v>2922</v>
      </c>
      <c r="U230" t="s">
        <v>2665</v>
      </c>
      <c r="V230" t="s">
        <v>3029</v>
      </c>
      <c r="W230" t="s">
        <v>3030</v>
      </c>
      <c r="X230" t="s">
        <v>2665</v>
      </c>
      <c r="Y230" t="s">
        <v>2054</v>
      </c>
      <c r="Z230" t="s">
        <v>1280</v>
      </c>
      <c r="AA230" t="s">
        <v>2665</v>
      </c>
      <c r="AB230" t="s">
        <v>2665</v>
      </c>
      <c r="AC230" t="s">
        <v>2665</v>
      </c>
      <c r="AD230" t="s">
        <v>2054</v>
      </c>
      <c r="AE230" t="s">
        <v>2054</v>
      </c>
    </row>
    <row r="231" spans="1:31" x14ac:dyDescent="0.25">
      <c r="A231" t="s">
        <v>456</v>
      </c>
      <c r="B231" t="s">
        <v>454</v>
      </c>
      <c r="C231" t="s">
        <v>3144</v>
      </c>
      <c r="D231" t="s">
        <v>3145</v>
      </c>
      <c r="E231" t="s">
        <v>2666</v>
      </c>
      <c r="F231" t="s">
        <v>3146</v>
      </c>
      <c r="G231" t="s">
        <v>2666</v>
      </c>
      <c r="H231" t="s">
        <v>2054</v>
      </c>
      <c r="I231" t="s">
        <v>2909</v>
      </c>
      <c r="J231" t="s">
        <v>2054</v>
      </c>
      <c r="K231" t="s">
        <v>2665</v>
      </c>
      <c r="L231" t="s">
        <v>1280</v>
      </c>
      <c r="M231" t="s">
        <v>2923</v>
      </c>
      <c r="N231" t="s">
        <v>2665</v>
      </c>
      <c r="O231" t="s">
        <v>3136</v>
      </c>
      <c r="P231" t="s">
        <v>2779</v>
      </c>
      <c r="Q231" t="s">
        <v>3028</v>
      </c>
      <c r="R231" t="s">
        <v>2665</v>
      </c>
      <c r="S231" t="s">
        <v>2781</v>
      </c>
      <c r="T231" t="s">
        <v>2922</v>
      </c>
      <c r="U231" t="s">
        <v>2665</v>
      </c>
      <c r="V231" t="s">
        <v>3029</v>
      </c>
      <c r="W231" t="s">
        <v>3030</v>
      </c>
      <c r="X231" t="s">
        <v>2665</v>
      </c>
      <c r="Y231" t="s">
        <v>2054</v>
      </c>
      <c r="Z231" t="s">
        <v>1280</v>
      </c>
      <c r="AA231" t="s">
        <v>2665</v>
      </c>
      <c r="AB231" t="s">
        <v>2665</v>
      </c>
      <c r="AC231" t="s">
        <v>2665</v>
      </c>
      <c r="AD231" t="s">
        <v>2054</v>
      </c>
      <c r="AE231" t="s">
        <v>2054</v>
      </c>
    </row>
    <row r="232" spans="1:31" x14ac:dyDescent="0.25">
      <c r="A232" t="s">
        <v>959</v>
      </c>
      <c r="B232" t="s">
        <v>950</v>
      </c>
      <c r="C232" t="s">
        <v>3147</v>
      </c>
      <c r="D232" t="s">
        <v>951</v>
      </c>
      <c r="E232" t="s">
        <v>2666</v>
      </c>
      <c r="F232" t="s">
        <v>3148</v>
      </c>
      <c r="G232" t="s">
        <v>2666</v>
      </c>
      <c r="H232" t="s">
        <v>2054</v>
      </c>
      <c r="I232" t="s">
        <v>2909</v>
      </c>
      <c r="J232" t="s">
        <v>2054</v>
      </c>
      <c r="K232" t="s">
        <v>2665</v>
      </c>
      <c r="L232" t="s">
        <v>1280</v>
      </c>
      <c r="M232" t="s">
        <v>3029</v>
      </c>
      <c r="N232" t="s">
        <v>2665</v>
      </c>
      <c r="O232" t="s">
        <v>3043</v>
      </c>
      <c r="P232" t="s">
        <v>2779</v>
      </c>
      <c r="Q232" t="s">
        <v>3028</v>
      </c>
      <c r="R232" t="s">
        <v>2665</v>
      </c>
      <c r="S232" t="s">
        <v>2781</v>
      </c>
      <c r="T232" t="s">
        <v>2922</v>
      </c>
      <c r="U232" t="s">
        <v>2665</v>
      </c>
      <c r="V232" t="s">
        <v>3029</v>
      </c>
      <c r="W232" t="s">
        <v>3030</v>
      </c>
      <c r="X232" t="s">
        <v>2665</v>
      </c>
      <c r="Y232" t="s">
        <v>2054</v>
      </c>
      <c r="Z232" t="s">
        <v>1280</v>
      </c>
      <c r="AA232" t="s">
        <v>2665</v>
      </c>
      <c r="AB232" t="s">
        <v>2665</v>
      </c>
      <c r="AC232" t="s">
        <v>2665</v>
      </c>
      <c r="AD232" t="s">
        <v>2054</v>
      </c>
      <c r="AE232" t="s">
        <v>2054</v>
      </c>
    </row>
    <row r="233" spans="1:31" x14ac:dyDescent="0.25">
      <c r="A233" t="s">
        <v>960</v>
      </c>
      <c r="B233" t="s">
        <v>952</v>
      </c>
      <c r="C233" t="s">
        <v>3149</v>
      </c>
      <c r="D233" t="s">
        <v>953</v>
      </c>
      <c r="E233" t="s">
        <v>2666</v>
      </c>
      <c r="F233" t="s">
        <v>3050</v>
      </c>
      <c r="G233" t="s">
        <v>2666</v>
      </c>
      <c r="H233" t="s">
        <v>2054</v>
      </c>
      <c r="I233" t="s">
        <v>2909</v>
      </c>
      <c r="J233" t="s">
        <v>2054</v>
      </c>
      <c r="K233" t="s">
        <v>2665</v>
      </c>
      <c r="L233" t="s">
        <v>1280</v>
      </c>
      <c r="M233" t="s">
        <v>3029</v>
      </c>
      <c r="N233" t="s">
        <v>2665</v>
      </c>
      <c r="O233" t="s">
        <v>3043</v>
      </c>
      <c r="P233" t="s">
        <v>2779</v>
      </c>
      <c r="Q233" t="s">
        <v>3028</v>
      </c>
      <c r="R233" t="s">
        <v>2665</v>
      </c>
      <c r="S233" t="s">
        <v>2781</v>
      </c>
      <c r="T233" t="s">
        <v>2922</v>
      </c>
      <c r="U233" t="s">
        <v>2665</v>
      </c>
      <c r="V233" t="s">
        <v>3029</v>
      </c>
      <c r="W233" t="s">
        <v>3030</v>
      </c>
      <c r="X233" t="s">
        <v>2665</v>
      </c>
      <c r="Y233" t="s">
        <v>2054</v>
      </c>
      <c r="Z233" t="s">
        <v>1280</v>
      </c>
      <c r="AA233" t="s">
        <v>2665</v>
      </c>
      <c r="AB233" t="s">
        <v>2665</v>
      </c>
      <c r="AC233" t="s">
        <v>2665</v>
      </c>
      <c r="AD233" t="s">
        <v>2054</v>
      </c>
      <c r="AE233" t="s">
        <v>2054</v>
      </c>
    </row>
    <row r="234" spans="1:31" x14ac:dyDescent="0.25">
      <c r="A234" t="s">
        <v>1356</v>
      </c>
      <c r="B234" t="s">
        <v>1355</v>
      </c>
      <c r="C234" t="s">
        <v>3150</v>
      </c>
      <c r="D234" t="s">
        <v>1355</v>
      </c>
      <c r="E234" t="s">
        <v>2666</v>
      </c>
      <c r="F234" t="s">
        <v>2859</v>
      </c>
      <c r="G234" t="s">
        <v>2666</v>
      </c>
      <c r="H234" t="s">
        <v>2054</v>
      </c>
      <c r="I234" t="s">
        <v>2909</v>
      </c>
      <c r="J234" t="s">
        <v>2054</v>
      </c>
      <c r="K234" t="s">
        <v>2665</v>
      </c>
      <c r="L234" t="s">
        <v>1280</v>
      </c>
      <c r="M234" t="s">
        <v>2898</v>
      </c>
      <c r="N234" t="s">
        <v>2665</v>
      </c>
      <c r="O234" t="s">
        <v>2984</v>
      </c>
      <c r="P234" t="s">
        <v>2829</v>
      </c>
      <c r="Q234" t="s">
        <v>3151</v>
      </c>
      <c r="R234" t="s">
        <v>2665</v>
      </c>
      <c r="S234" t="s">
        <v>2779</v>
      </c>
      <c r="T234" t="s">
        <v>2780</v>
      </c>
      <c r="U234" t="s">
        <v>2665</v>
      </c>
      <c r="V234" t="s">
        <v>3152</v>
      </c>
      <c r="W234" t="s">
        <v>3153</v>
      </c>
      <c r="X234" t="s">
        <v>2665</v>
      </c>
      <c r="Y234" t="s">
        <v>2054</v>
      </c>
      <c r="Z234" t="s">
        <v>1280</v>
      </c>
      <c r="AA234" t="s">
        <v>2665</v>
      </c>
      <c r="AB234" t="s">
        <v>2665</v>
      </c>
      <c r="AC234" t="s">
        <v>2665</v>
      </c>
      <c r="AD234" t="s">
        <v>2054</v>
      </c>
      <c r="AE234" t="s">
        <v>2054</v>
      </c>
    </row>
    <row r="235" spans="1:31" x14ac:dyDescent="0.25">
      <c r="A235" t="s">
        <v>1358</v>
      </c>
      <c r="B235" t="s">
        <v>1357</v>
      </c>
      <c r="C235" t="s">
        <v>3154</v>
      </c>
      <c r="D235" t="s">
        <v>1357</v>
      </c>
      <c r="E235" t="s">
        <v>2666</v>
      </c>
      <c r="F235" t="s">
        <v>3155</v>
      </c>
      <c r="G235" t="s">
        <v>2666</v>
      </c>
      <c r="H235" t="s">
        <v>2054</v>
      </c>
      <c r="I235" t="s">
        <v>2909</v>
      </c>
      <c r="J235" t="s">
        <v>2054</v>
      </c>
      <c r="K235" t="s">
        <v>2665</v>
      </c>
      <c r="L235" t="s">
        <v>1280</v>
      </c>
      <c r="M235" t="s">
        <v>2898</v>
      </c>
      <c r="N235" t="s">
        <v>2665</v>
      </c>
      <c r="O235" t="s">
        <v>2984</v>
      </c>
      <c r="P235" t="s">
        <v>2829</v>
      </c>
      <c r="Q235" t="s">
        <v>3151</v>
      </c>
      <c r="R235" t="s">
        <v>2665</v>
      </c>
      <c r="S235" t="s">
        <v>2779</v>
      </c>
      <c r="T235" t="s">
        <v>2780</v>
      </c>
      <c r="U235" t="s">
        <v>2665</v>
      </c>
      <c r="V235" t="s">
        <v>3152</v>
      </c>
      <c r="W235" t="s">
        <v>3153</v>
      </c>
      <c r="X235" t="s">
        <v>2665</v>
      </c>
      <c r="Y235" t="s">
        <v>2054</v>
      </c>
      <c r="Z235" t="s">
        <v>1280</v>
      </c>
      <c r="AA235" t="s">
        <v>2665</v>
      </c>
      <c r="AB235" t="s">
        <v>2665</v>
      </c>
      <c r="AC235" t="s">
        <v>2665</v>
      </c>
      <c r="AD235" t="s">
        <v>2054</v>
      </c>
      <c r="AE235" t="s">
        <v>2726</v>
      </c>
    </row>
    <row r="236" spans="1:31" x14ac:dyDescent="0.25">
      <c r="A236" t="s">
        <v>1360</v>
      </c>
      <c r="B236" t="s">
        <v>1359</v>
      </c>
      <c r="C236" t="s">
        <v>3156</v>
      </c>
      <c r="D236" t="s">
        <v>1359</v>
      </c>
      <c r="E236" t="s">
        <v>2666</v>
      </c>
      <c r="F236" t="s">
        <v>3157</v>
      </c>
      <c r="G236" t="s">
        <v>2666</v>
      </c>
      <c r="H236" t="s">
        <v>2054</v>
      </c>
      <c r="I236" t="s">
        <v>2909</v>
      </c>
      <c r="J236" t="s">
        <v>2054</v>
      </c>
      <c r="K236" t="s">
        <v>2665</v>
      </c>
      <c r="L236" t="s">
        <v>1280</v>
      </c>
      <c r="M236" t="s">
        <v>2898</v>
      </c>
      <c r="N236" t="s">
        <v>2665</v>
      </c>
      <c r="O236" t="s">
        <v>2984</v>
      </c>
      <c r="P236" t="s">
        <v>2829</v>
      </c>
      <c r="Q236" t="s">
        <v>3151</v>
      </c>
      <c r="R236" t="s">
        <v>2665</v>
      </c>
      <c r="S236" t="s">
        <v>2779</v>
      </c>
      <c r="T236" t="s">
        <v>2780</v>
      </c>
      <c r="U236" t="s">
        <v>2665</v>
      </c>
      <c r="V236" t="s">
        <v>3152</v>
      </c>
      <c r="W236" t="s">
        <v>3153</v>
      </c>
      <c r="X236" t="s">
        <v>2665</v>
      </c>
      <c r="Y236" t="s">
        <v>2054</v>
      </c>
      <c r="Z236" t="s">
        <v>1280</v>
      </c>
      <c r="AA236" t="s">
        <v>2665</v>
      </c>
      <c r="AB236" t="s">
        <v>2665</v>
      </c>
      <c r="AC236" t="s">
        <v>2665</v>
      </c>
      <c r="AD236" t="s">
        <v>2054</v>
      </c>
      <c r="AE236" t="s">
        <v>2054</v>
      </c>
    </row>
    <row r="237" spans="1:31" x14ac:dyDescent="0.25">
      <c r="A237" t="s">
        <v>1362</v>
      </c>
      <c r="B237" t="s">
        <v>1361</v>
      </c>
      <c r="C237" t="s">
        <v>3158</v>
      </c>
      <c r="D237" t="s">
        <v>3159</v>
      </c>
      <c r="E237" t="s">
        <v>2666</v>
      </c>
      <c r="F237" t="s">
        <v>3160</v>
      </c>
      <c r="G237" t="s">
        <v>2666</v>
      </c>
      <c r="H237" t="s">
        <v>2054</v>
      </c>
      <c r="I237" t="s">
        <v>2741</v>
      </c>
      <c r="J237" t="s">
        <v>2054</v>
      </c>
      <c r="K237" t="s">
        <v>2665</v>
      </c>
      <c r="L237" t="s">
        <v>1136</v>
      </c>
      <c r="M237" t="s">
        <v>2781</v>
      </c>
      <c r="N237" t="s">
        <v>2665</v>
      </c>
      <c r="O237" t="s">
        <v>3161</v>
      </c>
      <c r="P237" t="s">
        <v>2834</v>
      </c>
      <c r="Q237" t="s">
        <v>3162</v>
      </c>
      <c r="R237" t="s">
        <v>2665</v>
      </c>
      <c r="S237" t="s">
        <v>2781</v>
      </c>
      <c r="T237" t="s">
        <v>2922</v>
      </c>
      <c r="U237" t="s">
        <v>2665</v>
      </c>
      <c r="V237" t="s">
        <v>3163</v>
      </c>
      <c r="W237" t="s">
        <v>3164</v>
      </c>
      <c r="X237" t="s">
        <v>2665</v>
      </c>
      <c r="Y237" t="s">
        <v>2054</v>
      </c>
      <c r="Z237" t="s">
        <v>1136</v>
      </c>
      <c r="AA237" t="s">
        <v>2850</v>
      </c>
      <c r="AB237" t="s">
        <v>2850</v>
      </c>
      <c r="AC237" t="s">
        <v>2665</v>
      </c>
      <c r="AD237" t="s">
        <v>2054</v>
      </c>
      <c r="AE237" t="s">
        <v>2054</v>
      </c>
    </row>
    <row r="238" spans="1:31" x14ac:dyDescent="0.25">
      <c r="A238" t="s">
        <v>1364</v>
      </c>
      <c r="B238" t="s">
        <v>1363</v>
      </c>
      <c r="C238" t="s">
        <v>3165</v>
      </c>
      <c r="D238" t="s">
        <v>3166</v>
      </c>
      <c r="E238" t="s">
        <v>2666</v>
      </c>
      <c r="F238" t="s">
        <v>3167</v>
      </c>
      <c r="G238" t="s">
        <v>2666</v>
      </c>
      <c r="H238" t="s">
        <v>2054</v>
      </c>
      <c r="I238" t="s">
        <v>2741</v>
      </c>
      <c r="J238" t="s">
        <v>2054</v>
      </c>
      <c r="K238" t="s">
        <v>2665</v>
      </c>
      <c r="L238" t="s">
        <v>1136</v>
      </c>
      <c r="M238" t="s">
        <v>2781</v>
      </c>
      <c r="N238" t="s">
        <v>2665</v>
      </c>
      <c r="O238" t="s">
        <v>3161</v>
      </c>
      <c r="P238" t="s">
        <v>2834</v>
      </c>
      <c r="Q238" t="s">
        <v>3162</v>
      </c>
      <c r="R238" t="s">
        <v>2665</v>
      </c>
      <c r="S238" t="s">
        <v>2781</v>
      </c>
      <c r="T238" t="s">
        <v>2922</v>
      </c>
      <c r="U238" t="s">
        <v>2665</v>
      </c>
      <c r="V238" t="s">
        <v>3163</v>
      </c>
      <c r="W238" t="s">
        <v>3164</v>
      </c>
      <c r="X238" t="s">
        <v>2665</v>
      </c>
      <c r="Y238" t="s">
        <v>2054</v>
      </c>
      <c r="Z238" t="s">
        <v>1136</v>
      </c>
      <c r="AA238" t="s">
        <v>2850</v>
      </c>
      <c r="AB238" t="s">
        <v>2850</v>
      </c>
      <c r="AC238" t="s">
        <v>2665</v>
      </c>
      <c r="AD238" t="s">
        <v>2054</v>
      </c>
      <c r="AE238" t="s">
        <v>2054</v>
      </c>
    </row>
    <row r="239" spans="1:31" x14ac:dyDescent="0.25">
      <c r="A239" t="s">
        <v>1366</v>
      </c>
      <c r="B239" t="s">
        <v>1365</v>
      </c>
      <c r="C239" t="s">
        <v>3168</v>
      </c>
      <c r="D239" t="s">
        <v>3169</v>
      </c>
      <c r="E239" t="s">
        <v>2666</v>
      </c>
      <c r="F239" t="s">
        <v>3170</v>
      </c>
      <c r="G239" t="s">
        <v>2666</v>
      </c>
      <c r="H239" t="s">
        <v>2054</v>
      </c>
      <c r="I239" t="s">
        <v>2741</v>
      </c>
      <c r="J239" t="s">
        <v>2054</v>
      </c>
      <c r="K239" t="s">
        <v>2665</v>
      </c>
      <c r="L239" t="s">
        <v>1136</v>
      </c>
      <c r="M239" t="s">
        <v>2781</v>
      </c>
      <c r="N239" t="s">
        <v>2665</v>
      </c>
      <c r="O239" t="s">
        <v>3161</v>
      </c>
      <c r="P239" t="s">
        <v>2834</v>
      </c>
      <c r="Q239" t="s">
        <v>3162</v>
      </c>
      <c r="R239" t="s">
        <v>2665</v>
      </c>
      <c r="S239" t="s">
        <v>2781</v>
      </c>
      <c r="T239" t="s">
        <v>2922</v>
      </c>
      <c r="U239" t="s">
        <v>2665</v>
      </c>
      <c r="V239" t="s">
        <v>3163</v>
      </c>
      <c r="W239" t="s">
        <v>3164</v>
      </c>
      <c r="X239" t="s">
        <v>2665</v>
      </c>
      <c r="Y239" t="s">
        <v>2054</v>
      </c>
      <c r="Z239" t="s">
        <v>1136</v>
      </c>
      <c r="AA239" t="s">
        <v>2850</v>
      </c>
      <c r="AB239" t="s">
        <v>2850</v>
      </c>
      <c r="AC239" t="s">
        <v>2665</v>
      </c>
      <c r="AD239" t="s">
        <v>2054</v>
      </c>
      <c r="AE239" t="s">
        <v>2054</v>
      </c>
    </row>
    <row r="240" spans="1:31" x14ac:dyDescent="0.25">
      <c r="A240" t="s">
        <v>1368</v>
      </c>
      <c r="B240" t="s">
        <v>1367</v>
      </c>
      <c r="C240" t="s">
        <v>3171</v>
      </c>
      <c r="D240" t="s">
        <v>3172</v>
      </c>
      <c r="E240" t="s">
        <v>2666</v>
      </c>
      <c r="F240" t="s">
        <v>3173</v>
      </c>
      <c r="G240" t="s">
        <v>2666</v>
      </c>
      <c r="H240" t="s">
        <v>2054</v>
      </c>
      <c r="I240" t="s">
        <v>2741</v>
      </c>
      <c r="J240" t="s">
        <v>2054</v>
      </c>
      <c r="K240" t="s">
        <v>2665</v>
      </c>
      <c r="L240" t="s">
        <v>1136</v>
      </c>
      <c r="M240" t="s">
        <v>2671</v>
      </c>
      <c r="N240" t="s">
        <v>2665</v>
      </c>
      <c r="O240" t="s">
        <v>3174</v>
      </c>
      <c r="P240" t="s">
        <v>2834</v>
      </c>
      <c r="Q240" t="s">
        <v>3162</v>
      </c>
      <c r="R240" t="s">
        <v>2665</v>
      </c>
      <c r="S240" t="s">
        <v>2781</v>
      </c>
      <c r="T240" t="s">
        <v>2922</v>
      </c>
      <c r="U240" t="s">
        <v>2665</v>
      </c>
      <c r="V240" t="s">
        <v>3119</v>
      </c>
      <c r="W240" t="s">
        <v>3175</v>
      </c>
      <c r="X240" t="s">
        <v>2665</v>
      </c>
      <c r="Y240" t="s">
        <v>2054</v>
      </c>
      <c r="Z240" t="s">
        <v>1136</v>
      </c>
      <c r="AA240" t="s">
        <v>2850</v>
      </c>
      <c r="AB240" t="s">
        <v>2850</v>
      </c>
      <c r="AC240" t="s">
        <v>2665</v>
      </c>
      <c r="AD240" t="s">
        <v>2054</v>
      </c>
      <c r="AE240" t="s">
        <v>2054</v>
      </c>
    </row>
    <row r="241" spans="1:31" x14ac:dyDescent="0.25">
      <c r="A241" t="s">
        <v>1369</v>
      </c>
      <c r="B241" t="s">
        <v>21</v>
      </c>
      <c r="C241" t="s">
        <v>3176</v>
      </c>
      <c r="D241" t="s">
        <v>216</v>
      </c>
      <c r="E241" t="s">
        <v>2666</v>
      </c>
      <c r="F241" t="s">
        <v>3177</v>
      </c>
      <c r="G241" t="s">
        <v>2666</v>
      </c>
      <c r="H241" t="s">
        <v>2054</v>
      </c>
      <c r="I241" t="s">
        <v>2741</v>
      </c>
      <c r="J241" t="s">
        <v>2054</v>
      </c>
      <c r="K241" t="s">
        <v>2665</v>
      </c>
      <c r="L241" t="s">
        <v>1136</v>
      </c>
      <c r="M241" t="s">
        <v>2671</v>
      </c>
      <c r="N241" t="s">
        <v>2665</v>
      </c>
      <c r="O241" t="s">
        <v>3174</v>
      </c>
      <c r="P241" t="s">
        <v>2834</v>
      </c>
      <c r="Q241" t="s">
        <v>3162</v>
      </c>
      <c r="R241" t="s">
        <v>2665</v>
      </c>
      <c r="S241" t="s">
        <v>2781</v>
      </c>
      <c r="T241" t="s">
        <v>2922</v>
      </c>
      <c r="U241" t="s">
        <v>2665</v>
      </c>
      <c r="V241" t="s">
        <v>3119</v>
      </c>
      <c r="W241" t="s">
        <v>3175</v>
      </c>
      <c r="X241" t="s">
        <v>2665</v>
      </c>
      <c r="Y241" t="s">
        <v>2054</v>
      </c>
      <c r="Z241" t="s">
        <v>1136</v>
      </c>
      <c r="AA241" t="s">
        <v>2850</v>
      </c>
      <c r="AB241" t="s">
        <v>2850</v>
      </c>
      <c r="AC241" t="s">
        <v>2665</v>
      </c>
      <c r="AD241" t="s">
        <v>2054</v>
      </c>
      <c r="AE241" t="s">
        <v>2054</v>
      </c>
    </row>
    <row r="242" spans="1:31" x14ac:dyDescent="0.25">
      <c r="A242" t="s">
        <v>1370</v>
      </c>
      <c r="B242" t="s">
        <v>22</v>
      </c>
      <c r="C242" t="s">
        <v>3178</v>
      </c>
      <c r="D242" t="s">
        <v>217</v>
      </c>
      <c r="E242" t="s">
        <v>2666</v>
      </c>
      <c r="F242" t="s">
        <v>3179</v>
      </c>
      <c r="G242" t="s">
        <v>2666</v>
      </c>
      <c r="H242" t="s">
        <v>2054</v>
      </c>
      <c r="I242" t="s">
        <v>2741</v>
      </c>
      <c r="J242" t="s">
        <v>2054</v>
      </c>
      <c r="K242" t="s">
        <v>2665</v>
      </c>
      <c r="L242" t="s">
        <v>1136</v>
      </c>
      <c r="M242" t="s">
        <v>2671</v>
      </c>
      <c r="N242" t="s">
        <v>2665</v>
      </c>
      <c r="O242" t="s">
        <v>3174</v>
      </c>
      <c r="P242" t="s">
        <v>2834</v>
      </c>
      <c r="Q242" t="s">
        <v>3162</v>
      </c>
      <c r="R242" t="s">
        <v>2665</v>
      </c>
      <c r="S242" t="s">
        <v>2781</v>
      </c>
      <c r="T242" t="s">
        <v>2922</v>
      </c>
      <c r="U242" t="s">
        <v>2665</v>
      </c>
      <c r="V242" t="s">
        <v>3119</v>
      </c>
      <c r="W242" t="s">
        <v>3175</v>
      </c>
      <c r="X242" t="s">
        <v>2665</v>
      </c>
      <c r="Y242" t="s">
        <v>2054</v>
      </c>
      <c r="Z242" t="s">
        <v>1136</v>
      </c>
      <c r="AA242" t="s">
        <v>2850</v>
      </c>
      <c r="AB242" t="s">
        <v>2850</v>
      </c>
      <c r="AC242" t="s">
        <v>2665</v>
      </c>
      <c r="AD242" t="s">
        <v>2054</v>
      </c>
      <c r="AE242" t="s">
        <v>2054</v>
      </c>
    </row>
    <row r="243" spans="1:31" x14ac:dyDescent="0.25">
      <c r="A243" t="s">
        <v>1371</v>
      </c>
      <c r="B243" t="s">
        <v>23</v>
      </c>
      <c r="C243" t="s">
        <v>3180</v>
      </c>
      <c r="D243" t="s">
        <v>218</v>
      </c>
      <c r="E243" t="s">
        <v>2666</v>
      </c>
      <c r="F243" t="s">
        <v>3181</v>
      </c>
      <c r="G243" t="s">
        <v>2666</v>
      </c>
      <c r="H243" t="s">
        <v>2054</v>
      </c>
      <c r="I243" t="s">
        <v>2741</v>
      </c>
      <c r="J243" t="s">
        <v>2054</v>
      </c>
      <c r="K243" t="s">
        <v>2665</v>
      </c>
      <c r="L243" t="s">
        <v>1136</v>
      </c>
      <c r="M243" t="s">
        <v>2671</v>
      </c>
      <c r="N243" t="s">
        <v>2665</v>
      </c>
      <c r="O243" t="s">
        <v>3174</v>
      </c>
      <c r="P243" t="s">
        <v>2834</v>
      </c>
      <c r="Q243" t="s">
        <v>3162</v>
      </c>
      <c r="R243" t="s">
        <v>2665</v>
      </c>
      <c r="S243" t="s">
        <v>2781</v>
      </c>
      <c r="T243" t="s">
        <v>2922</v>
      </c>
      <c r="U243" t="s">
        <v>2665</v>
      </c>
      <c r="V243" t="s">
        <v>3119</v>
      </c>
      <c r="W243" t="s">
        <v>3175</v>
      </c>
      <c r="X243" t="s">
        <v>2665</v>
      </c>
      <c r="Y243" t="s">
        <v>2054</v>
      </c>
      <c r="Z243" t="s">
        <v>1136</v>
      </c>
      <c r="AA243" t="s">
        <v>2850</v>
      </c>
      <c r="AB243" t="s">
        <v>2850</v>
      </c>
      <c r="AC243" t="s">
        <v>2665</v>
      </c>
      <c r="AD243" t="s">
        <v>2054</v>
      </c>
      <c r="AE243" t="s">
        <v>2054</v>
      </c>
    </row>
    <row r="244" spans="1:31" x14ac:dyDescent="0.25">
      <c r="A244" t="s">
        <v>1373</v>
      </c>
      <c r="B244" t="s">
        <v>1372</v>
      </c>
      <c r="C244" t="s">
        <v>3182</v>
      </c>
      <c r="D244" t="s">
        <v>3183</v>
      </c>
      <c r="E244" t="s">
        <v>2666</v>
      </c>
      <c r="F244" t="s">
        <v>3177</v>
      </c>
      <c r="G244" t="s">
        <v>2666</v>
      </c>
      <c r="H244" t="s">
        <v>2054</v>
      </c>
      <c r="I244" t="s">
        <v>2741</v>
      </c>
      <c r="J244" t="s">
        <v>2054</v>
      </c>
      <c r="K244" t="s">
        <v>2665</v>
      </c>
      <c r="L244" t="s">
        <v>1136</v>
      </c>
      <c r="M244" t="s">
        <v>2671</v>
      </c>
      <c r="N244" t="s">
        <v>2665</v>
      </c>
      <c r="O244" t="s">
        <v>3174</v>
      </c>
      <c r="P244" t="s">
        <v>2834</v>
      </c>
      <c r="Q244" t="s">
        <v>3162</v>
      </c>
      <c r="R244" t="s">
        <v>2665</v>
      </c>
      <c r="S244" t="s">
        <v>2781</v>
      </c>
      <c r="T244" t="s">
        <v>2922</v>
      </c>
      <c r="U244" t="s">
        <v>2665</v>
      </c>
      <c r="V244" t="s">
        <v>3119</v>
      </c>
      <c r="W244" t="s">
        <v>3175</v>
      </c>
      <c r="X244" t="s">
        <v>2665</v>
      </c>
      <c r="Y244" t="s">
        <v>2054</v>
      </c>
      <c r="Z244" t="s">
        <v>1136</v>
      </c>
      <c r="AA244" t="s">
        <v>2850</v>
      </c>
      <c r="AB244" t="s">
        <v>2850</v>
      </c>
      <c r="AC244" t="s">
        <v>2665</v>
      </c>
      <c r="AD244" t="s">
        <v>2054</v>
      </c>
      <c r="AE244" t="s">
        <v>2054</v>
      </c>
    </row>
    <row r="245" spans="1:31" x14ac:dyDescent="0.25">
      <c r="A245" t="s">
        <v>1375</v>
      </c>
      <c r="B245" t="s">
        <v>1374</v>
      </c>
      <c r="C245" t="s">
        <v>3184</v>
      </c>
      <c r="D245" t="s">
        <v>3185</v>
      </c>
      <c r="E245" t="s">
        <v>2666</v>
      </c>
      <c r="F245" t="s">
        <v>3179</v>
      </c>
      <c r="G245" t="s">
        <v>2666</v>
      </c>
      <c r="H245" t="s">
        <v>2054</v>
      </c>
      <c r="I245" t="s">
        <v>2741</v>
      </c>
      <c r="J245" t="s">
        <v>2054</v>
      </c>
      <c r="K245" t="s">
        <v>2665</v>
      </c>
      <c r="L245" t="s">
        <v>1136</v>
      </c>
      <c r="M245" t="s">
        <v>2671</v>
      </c>
      <c r="N245" t="s">
        <v>2665</v>
      </c>
      <c r="O245" t="s">
        <v>3174</v>
      </c>
      <c r="P245" t="s">
        <v>2834</v>
      </c>
      <c r="Q245" t="s">
        <v>3162</v>
      </c>
      <c r="R245" t="s">
        <v>2665</v>
      </c>
      <c r="S245" t="s">
        <v>2781</v>
      </c>
      <c r="T245" t="s">
        <v>2922</v>
      </c>
      <c r="U245" t="s">
        <v>2665</v>
      </c>
      <c r="V245" t="s">
        <v>3119</v>
      </c>
      <c r="W245" t="s">
        <v>3175</v>
      </c>
      <c r="X245" t="s">
        <v>2665</v>
      </c>
      <c r="Y245" t="s">
        <v>2054</v>
      </c>
      <c r="Z245" t="s">
        <v>1136</v>
      </c>
      <c r="AA245" t="s">
        <v>2850</v>
      </c>
      <c r="AB245" t="s">
        <v>2850</v>
      </c>
      <c r="AC245" t="s">
        <v>2665</v>
      </c>
      <c r="AD245" t="s">
        <v>2054</v>
      </c>
      <c r="AE245" t="s">
        <v>2054</v>
      </c>
    </row>
    <row r="246" spans="1:31" x14ac:dyDescent="0.25">
      <c r="A246" t="s">
        <v>1377</v>
      </c>
      <c r="B246" t="s">
        <v>1376</v>
      </c>
      <c r="C246" t="s">
        <v>3186</v>
      </c>
      <c r="D246" t="s">
        <v>3187</v>
      </c>
      <c r="E246" t="s">
        <v>2666</v>
      </c>
      <c r="F246" t="s">
        <v>3188</v>
      </c>
      <c r="G246" t="s">
        <v>2666</v>
      </c>
      <c r="H246" t="s">
        <v>2054</v>
      </c>
      <c r="I246" t="s">
        <v>2741</v>
      </c>
      <c r="J246" t="s">
        <v>2054</v>
      </c>
      <c r="K246" t="s">
        <v>2665</v>
      </c>
      <c r="L246" t="s">
        <v>1136</v>
      </c>
      <c r="M246" t="s">
        <v>2671</v>
      </c>
      <c r="N246" t="s">
        <v>2665</v>
      </c>
      <c r="O246" t="s">
        <v>3174</v>
      </c>
      <c r="P246" t="s">
        <v>2834</v>
      </c>
      <c r="Q246" t="s">
        <v>3162</v>
      </c>
      <c r="R246" t="s">
        <v>2665</v>
      </c>
      <c r="S246" t="s">
        <v>2781</v>
      </c>
      <c r="T246" t="s">
        <v>2922</v>
      </c>
      <c r="U246" t="s">
        <v>2665</v>
      </c>
      <c r="V246" t="s">
        <v>3119</v>
      </c>
      <c r="W246" t="s">
        <v>3175</v>
      </c>
      <c r="X246" t="s">
        <v>2665</v>
      </c>
      <c r="Y246" t="s">
        <v>2054</v>
      </c>
      <c r="Z246" t="s">
        <v>1136</v>
      </c>
      <c r="AA246" t="s">
        <v>2850</v>
      </c>
      <c r="AB246" t="s">
        <v>2850</v>
      </c>
      <c r="AC246" t="s">
        <v>2665</v>
      </c>
      <c r="AD246" t="s">
        <v>2054</v>
      </c>
      <c r="AE246" t="s">
        <v>2054</v>
      </c>
    </row>
    <row r="247" spans="1:31" x14ac:dyDescent="0.25">
      <c r="A247" t="s">
        <v>1379</v>
      </c>
      <c r="B247" t="s">
        <v>1378</v>
      </c>
      <c r="C247" t="s">
        <v>3189</v>
      </c>
      <c r="D247" t="s">
        <v>3190</v>
      </c>
      <c r="E247" t="s">
        <v>2666</v>
      </c>
      <c r="F247" t="s">
        <v>3177</v>
      </c>
      <c r="G247" t="s">
        <v>2666</v>
      </c>
      <c r="H247" t="s">
        <v>2054</v>
      </c>
      <c r="I247" t="s">
        <v>2741</v>
      </c>
      <c r="J247" t="s">
        <v>2054</v>
      </c>
      <c r="K247" t="s">
        <v>2665</v>
      </c>
      <c r="L247" t="s">
        <v>1136</v>
      </c>
      <c r="M247" t="s">
        <v>2671</v>
      </c>
      <c r="N247" t="s">
        <v>2665</v>
      </c>
      <c r="O247" t="s">
        <v>3174</v>
      </c>
      <c r="P247" t="s">
        <v>2834</v>
      </c>
      <c r="Q247" t="s">
        <v>3162</v>
      </c>
      <c r="R247" t="s">
        <v>2665</v>
      </c>
      <c r="S247" t="s">
        <v>2781</v>
      </c>
      <c r="T247" t="s">
        <v>2922</v>
      </c>
      <c r="U247" t="s">
        <v>2665</v>
      </c>
      <c r="V247" t="s">
        <v>3119</v>
      </c>
      <c r="W247" t="s">
        <v>3175</v>
      </c>
      <c r="X247" t="s">
        <v>2665</v>
      </c>
      <c r="Y247" t="s">
        <v>2054</v>
      </c>
      <c r="Z247" t="s">
        <v>1136</v>
      </c>
      <c r="AA247" t="s">
        <v>2850</v>
      </c>
      <c r="AB247" t="s">
        <v>2850</v>
      </c>
      <c r="AC247" t="s">
        <v>2665</v>
      </c>
      <c r="AD247" t="s">
        <v>2054</v>
      </c>
      <c r="AE247" t="s">
        <v>2054</v>
      </c>
    </row>
    <row r="248" spans="1:31" x14ac:dyDescent="0.25">
      <c r="A248" t="s">
        <v>1381</v>
      </c>
      <c r="B248" t="s">
        <v>1380</v>
      </c>
      <c r="C248" t="s">
        <v>3191</v>
      </c>
      <c r="D248" t="s">
        <v>3192</v>
      </c>
      <c r="E248" t="s">
        <v>2666</v>
      </c>
      <c r="F248" t="s">
        <v>3179</v>
      </c>
      <c r="G248" t="s">
        <v>2666</v>
      </c>
      <c r="H248" t="s">
        <v>2054</v>
      </c>
      <c r="I248" t="s">
        <v>2741</v>
      </c>
      <c r="J248" t="s">
        <v>2054</v>
      </c>
      <c r="K248" t="s">
        <v>2665</v>
      </c>
      <c r="L248" t="s">
        <v>1136</v>
      </c>
      <c r="M248" t="s">
        <v>2671</v>
      </c>
      <c r="N248" t="s">
        <v>2665</v>
      </c>
      <c r="O248" t="s">
        <v>3174</v>
      </c>
      <c r="P248" t="s">
        <v>2834</v>
      </c>
      <c r="Q248" t="s">
        <v>3162</v>
      </c>
      <c r="R248" t="s">
        <v>2665</v>
      </c>
      <c r="S248" t="s">
        <v>2781</v>
      </c>
      <c r="T248" t="s">
        <v>2922</v>
      </c>
      <c r="U248" t="s">
        <v>2665</v>
      </c>
      <c r="V248" t="s">
        <v>3119</v>
      </c>
      <c r="W248" t="s">
        <v>3175</v>
      </c>
      <c r="X248" t="s">
        <v>2665</v>
      </c>
      <c r="Y248" t="s">
        <v>2054</v>
      </c>
      <c r="Z248" t="s">
        <v>1136</v>
      </c>
      <c r="AA248" t="s">
        <v>2850</v>
      </c>
      <c r="AB248" t="s">
        <v>2850</v>
      </c>
      <c r="AC248" t="s">
        <v>2665</v>
      </c>
      <c r="AD248" t="s">
        <v>2054</v>
      </c>
      <c r="AE248" t="s">
        <v>2054</v>
      </c>
    </row>
    <row r="249" spans="1:31" x14ac:dyDescent="0.25">
      <c r="A249" t="s">
        <v>1383</v>
      </c>
      <c r="B249" t="s">
        <v>1382</v>
      </c>
      <c r="C249" t="s">
        <v>3193</v>
      </c>
      <c r="D249" t="s">
        <v>3194</v>
      </c>
      <c r="E249" t="s">
        <v>2666</v>
      </c>
      <c r="F249" t="s">
        <v>3181</v>
      </c>
      <c r="G249" t="s">
        <v>2666</v>
      </c>
      <c r="H249" t="s">
        <v>2054</v>
      </c>
      <c r="I249" t="s">
        <v>2741</v>
      </c>
      <c r="J249" t="s">
        <v>2054</v>
      </c>
      <c r="K249" t="s">
        <v>2665</v>
      </c>
      <c r="L249" t="s">
        <v>1136</v>
      </c>
      <c r="M249" t="s">
        <v>2671</v>
      </c>
      <c r="N249" t="s">
        <v>2665</v>
      </c>
      <c r="O249" t="s">
        <v>3174</v>
      </c>
      <c r="P249" t="s">
        <v>2834</v>
      </c>
      <c r="Q249" t="s">
        <v>3162</v>
      </c>
      <c r="R249" t="s">
        <v>2665</v>
      </c>
      <c r="S249" t="s">
        <v>2781</v>
      </c>
      <c r="T249" t="s">
        <v>2922</v>
      </c>
      <c r="U249" t="s">
        <v>2665</v>
      </c>
      <c r="V249" t="s">
        <v>3119</v>
      </c>
      <c r="W249" t="s">
        <v>3175</v>
      </c>
      <c r="X249" t="s">
        <v>2665</v>
      </c>
      <c r="Y249" t="s">
        <v>2054</v>
      </c>
      <c r="Z249" t="s">
        <v>1136</v>
      </c>
      <c r="AA249" t="s">
        <v>2850</v>
      </c>
      <c r="AB249" t="s">
        <v>2850</v>
      </c>
      <c r="AC249" t="s">
        <v>2665</v>
      </c>
      <c r="AD249" t="s">
        <v>2054</v>
      </c>
      <c r="AE249" t="s">
        <v>2054</v>
      </c>
    </row>
    <row r="250" spans="1:31" x14ac:dyDescent="0.25">
      <c r="A250" t="s">
        <v>1385</v>
      </c>
      <c r="B250" t="s">
        <v>1384</v>
      </c>
      <c r="C250" t="s">
        <v>3195</v>
      </c>
      <c r="D250" t="s">
        <v>3196</v>
      </c>
      <c r="E250" t="s">
        <v>2666</v>
      </c>
      <c r="F250" t="s">
        <v>3177</v>
      </c>
      <c r="G250" t="s">
        <v>2666</v>
      </c>
      <c r="H250" t="s">
        <v>2054</v>
      </c>
      <c r="I250" t="s">
        <v>2741</v>
      </c>
      <c r="J250" t="s">
        <v>2054</v>
      </c>
      <c r="K250" t="s">
        <v>2665</v>
      </c>
      <c r="L250" t="s">
        <v>1136</v>
      </c>
      <c r="M250" t="s">
        <v>2671</v>
      </c>
      <c r="N250" t="s">
        <v>2665</v>
      </c>
      <c r="O250" t="s">
        <v>3174</v>
      </c>
      <c r="P250" t="s">
        <v>2834</v>
      </c>
      <c r="Q250" t="s">
        <v>3162</v>
      </c>
      <c r="R250" t="s">
        <v>2665</v>
      </c>
      <c r="S250" t="s">
        <v>2781</v>
      </c>
      <c r="T250" t="s">
        <v>2922</v>
      </c>
      <c r="U250" t="s">
        <v>2665</v>
      </c>
      <c r="V250" t="s">
        <v>3119</v>
      </c>
      <c r="W250" t="s">
        <v>3175</v>
      </c>
      <c r="X250" t="s">
        <v>2665</v>
      </c>
      <c r="Y250" t="s">
        <v>2054</v>
      </c>
      <c r="Z250" t="s">
        <v>1136</v>
      </c>
      <c r="AA250" t="s">
        <v>2850</v>
      </c>
      <c r="AB250" t="s">
        <v>2850</v>
      </c>
      <c r="AC250" t="s">
        <v>2665</v>
      </c>
      <c r="AD250" t="s">
        <v>2054</v>
      </c>
      <c r="AE250" t="s">
        <v>2054</v>
      </c>
    </row>
    <row r="251" spans="1:31" x14ac:dyDescent="0.25">
      <c r="A251" t="s">
        <v>1387</v>
      </c>
      <c r="B251" t="s">
        <v>1386</v>
      </c>
      <c r="C251" t="s">
        <v>3197</v>
      </c>
      <c r="D251" t="s">
        <v>3198</v>
      </c>
      <c r="E251" t="s">
        <v>2666</v>
      </c>
      <c r="F251" t="s">
        <v>3179</v>
      </c>
      <c r="G251" t="s">
        <v>2666</v>
      </c>
      <c r="H251" t="s">
        <v>2054</v>
      </c>
      <c r="I251" t="s">
        <v>2741</v>
      </c>
      <c r="J251" t="s">
        <v>2054</v>
      </c>
      <c r="K251" t="s">
        <v>2665</v>
      </c>
      <c r="L251" t="s">
        <v>1136</v>
      </c>
      <c r="M251" t="s">
        <v>2671</v>
      </c>
      <c r="N251" t="s">
        <v>2665</v>
      </c>
      <c r="O251" t="s">
        <v>3174</v>
      </c>
      <c r="P251" t="s">
        <v>2834</v>
      </c>
      <c r="Q251" t="s">
        <v>3162</v>
      </c>
      <c r="R251" t="s">
        <v>2665</v>
      </c>
      <c r="S251" t="s">
        <v>2781</v>
      </c>
      <c r="T251" t="s">
        <v>2922</v>
      </c>
      <c r="U251" t="s">
        <v>2665</v>
      </c>
      <c r="V251" t="s">
        <v>3119</v>
      </c>
      <c r="W251" t="s">
        <v>3175</v>
      </c>
      <c r="X251" t="s">
        <v>2665</v>
      </c>
      <c r="Y251" t="s">
        <v>2054</v>
      </c>
      <c r="Z251" t="s">
        <v>1136</v>
      </c>
      <c r="AA251" t="s">
        <v>2850</v>
      </c>
      <c r="AB251" t="s">
        <v>2850</v>
      </c>
      <c r="AC251" t="s">
        <v>2665</v>
      </c>
      <c r="AD251" t="s">
        <v>2054</v>
      </c>
      <c r="AE251" t="s">
        <v>2054</v>
      </c>
    </row>
    <row r="252" spans="1:31" x14ac:dyDescent="0.25">
      <c r="A252" t="s">
        <v>1389</v>
      </c>
      <c r="B252" t="s">
        <v>1388</v>
      </c>
      <c r="C252" t="s">
        <v>3199</v>
      </c>
      <c r="D252" t="s">
        <v>3200</v>
      </c>
      <c r="E252" t="s">
        <v>2666</v>
      </c>
      <c r="F252" t="s">
        <v>3181</v>
      </c>
      <c r="G252" t="s">
        <v>2666</v>
      </c>
      <c r="H252" t="s">
        <v>2054</v>
      </c>
      <c r="I252" t="s">
        <v>2741</v>
      </c>
      <c r="J252" t="s">
        <v>2054</v>
      </c>
      <c r="K252" t="s">
        <v>2665</v>
      </c>
      <c r="L252" t="s">
        <v>1136</v>
      </c>
      <c r="M252" t="s">
        <v>2671</v>
      </c>
      <c r="N252" t="s">
        <v>2665</v>
      </c>
      <c r="O252" t="s">
        <v>3174</v>
      </c>
      <c r="P252" t="s">
        <v>2834</v>
      </c>
      <c r="Q252" t="s">
        <v>3162</v>
      </c>
      <c r="R252" t="s">
        <v>2665</v>
      </c>
      <c r="S252" t="s">
        <v>2781</v>
      </c>
      <c r="T252" t="s">
        <v>2922</v>
      </c>
      <c r="U252" t="s">
        <v>2665</v>
      </c>
      <c r="V252" t="s">
        <v>3119</v>
      </c>
      <c r="W252" t="s">
        <v>3175</v>
      </c>
      <c r="X252" t="s">
        <v>2665</v>
      </c>
      <c r="Y252" t="s">
        <v>2054</v>
      </c>
      <c r="Z252" t="s">
        <v>1136</v>
      </c>
      <c r="AA252" t="s">
        <v>2850</v>
      </c>
      <c r="AB252" t="s">
        <v>2850</v>
      </c>
      <c r="AC252" t="s">
        <v>2665</v>
      </c>
      <c r="AD252" t="s">
        <v>2054</v>
      </c>
      <c r="AE252" t="s">
        <v>2054</v>
      </c>
    </row>
    <row r="253" spans="1:31" x14ac:dyDescent="0.25">
      <c r="A253" t="s">
        <v>3201</v>
      </c>
      <c r="B253" t="s">
        <v>3202</v>
      </c>
      <c r="C253" t="s">
        <v>3203</v>
      </c>
      <c r="D253" t="s">
        <v>3204</v>
      </c>
      <c r="E253" t="s">
        <v>2666</v>
      </c>
      <c r="F253" t="s">
        <v>3188</v>
      </c>
      <c r="G253" t="s">
        <v>2666</v>
      </c>
      <c r="H253" t="s">
        <v>2054</v>
      </c>
      <c r="I253" t="s">
        <v>2741</v>
      </c>
      <c r="J253" t="s">
        <v>2054</v>
      </c>
      <c r="K253" t="s">
        <v>2665</v>
      </c>
      <c r="L253" t="s">
        <v>1136</v>
      </c>
      <c r="M253" t="s">
        <v>2671</v>
      </c>
      <c r="N253" t="s">
        <v>2665</v>
      </c>
      <c r="O253" t="s">
        <v>3174</v>
      </c>
      <c r="P253" t="s">
        <v>2834</v>
      </c>
      <c r="Q253" t="s">
        <v>3162</v>
      </c>
      <c r="R253" t="s">
        <v>2665</v>
      </c>
      <c r="S253" t="s">
        <v>2781</v>
      </c>
      <c r="T253" t="s">
        <v>2922</v>
      </c>
      <c r="U253" t="s">
        <v>2665</v>
      </c>
      <c r="V253" t="s">
        <v>3119</v>
      </c>
      <c r="W253" t="s">
        <v>3175</v>
      </c>
      <c r="X253" t="s">
        <v>2665</v>
      </c>
      <c r="Y253" t="s">
        <v>2054</v>
      </c>
      <c r="Z253" t="s">
        <v>1136</v>
      </c>
      <c r="AA253" t="s">
        <v>2850</v>
      </c>
      <c r="AB253" t="s">
        <v>2850</v>
      </c>
      <c r="AC253" t="s">
        <v>2665</v>
      </c>
      <c r="AD253" t="s">
        <v>2054</v>
      </c>
      <c r="AE253" t="s">
        <v>2718</v>
      </c>
    </row>
    <row r="254" spans="1:31" x14ac:dyDescent="0.25">
      <c r="A254" t="s">
        <v>1390</v>
      </c>
      <c r="B254" t="s">
        <v>24</v>
      </c>
      <c r="C254" t="s">
        <v>3205</v>
      </c>
      <c r="D254" t="s">
        <v>219</v>
      </c>
      <c r="E254" t="s">
        <v>2666</v>
      </c>
      <c r="F254" t="s">
        <v>3206</v>
      </c>
      <c r="G254" t="s">
        <v>2666</v>
      </c>
      <c r="H254" t="s">
        <v>2054</v>
      </c>
      <c r="I254" t="s">
        <v>2741</v>
      </c>
      <c r="J254" t="s">
        <v>2054</v>
      </c>
      <c r="K254" t="s">
        <v>2665</v>
      </c>
      <c r="L254" t="s">
        <v>1136</v>
      </c>
      <c r="M254" t="s">
        <v>2671</v>
      </c>
      <c r="N254" t="s">
        <v>2665</v>
      </c>
      <c r="O254" t="s">
        <v>3174</v>
      </c>
      <c r="P254" t="s">
        <v>2834</v>
      </c>
      <c r="Q254" t="s">
        <v>3162</v>
      </c>
      <c r="R254" t="s">
        <v>2665</v>
      </c>
      <c r="S254" t="s">
        <v>2781</v>
      </c>
      <c r="T254" t="s">
        <v>2922</v>
      </c>
      <c r="U254" t="s">
        <v>2665</v>
      </c>
      <c r="V254" t="s">
        <v>3119</v>
      </c>
      <c r="W254" t="s">
        <v>3175</v>
      </c>
      <c r="X254" t="s">
        <v>2665</v>
      </c>
      <c r="Y254" t="s">
        <v>2054</v>
      </c>
      <c r="Z254" t="s">
        <v>1136</v>
      </c>
      <c r="AA254" t="s">
        <v>2797</v>
      </c>
      <c r="AB254" t="s">
        <v>2797</v>
      </c>
      <c r="AC254" t="s">
        <v>2665</v>
      </c>
      <c r="AD254" t="s">
        <v>2054</v>
      </c>
      <c r="AE254" t="s">
        <v>2054</v>
      </c>
    </row>
    <row r="255" spans="1:31" x14ac:dyDescent="0.25">
      <c r="A255" t="s">
        <v>1392</v>
      </c>
      <c r="B255" t="s">
        <v>1391</v>
      </c>
      <c r="C255" t="s">
        <v>3207</v>
      </c>
      <c r="D255" t="s">
        <v>3208</v>
      </c>
      <c r="E255" t="s">
        <v>2666</v>
      </c>
      <c r="F255" t="s">
        <v>2954</v>
      </c>
      <c r="G255" t="s">
        <v>2666</v>
      </c>
      <c r="H255" t="s">
        <v>2054</v>
      </c>
      <c r="I255" t="s">
        <v>2741</v>
      </c>
      <c r="J255" t="s">
        <v>2054</v>
      </c>
      <c r="K255" t="s">
        <v>2665</v>
      </c>
      <c r="L255" t="s">
        <v>1136</v>
      </c>
      <c r="M255" t="s">
        <v>2671</v>
      </c>
      <c r="N255" t="s">
        <v>2665</v>
      </c>
      <c r="O255" t="s">
        <v>3174</v>
      </c>
      <c r="P255" t="s">
        <v>2834</v>
      </c>
      <c r="Q255" t="s">
        <v>3162</v>
      </c>
      <c r="R255" t="s">
        <v>2665</v>
      </c>
      <c r="S255" t="s">
        <v>2781</v>
      </c>
      <c r="T255" t="s">
        <v>2922</v>
      </c>
      <c r="U255" t="s">
        <v>2665</v>
      </c>
      <c r="V255" t="s">
        <v>3119</v>
      </c>
      <c r="W255" t="s">
        <v>3175</v>
      </c>
      <c r="X255" t="s">
        <v>2665</v>
      </c>
      <c r="Y255" t="s">
        <v>2054</v>
      </c>
      <c r="Z255" t="s">
        <v>1136</v>
      </c>
      <c r="AA255" t="s">
        <v>2850</v>
      </c>
      <c r="AB255" t="s">
        <v>2850</v>
      </c>
      <c r="AC255" t="s">
        <v>2665</v>
      </c>
      <c r="AD255" t="s">
        <v>2054</v>
      </c>
      <c r="AE255" t="s">
        <v>2726</v>
      </c>
    </row>
    <row r="256" spans="1:31" x14ac:dyDescent="0.25">
      <c r="A256" t="s">
        <v>1394</v>
      </c>
      <c r="B256" t="s">
        <v>1393</v>
      </c>
      <c r="C256" t="s">
        <v>3209</v>
      </c>
      <c r="D256" t="s">
        <v>3210</v>
      </c>
      <c r="E256" t="s">
        <v>2666</v>
      </c>
      <c r="F256" t="s">
        <v>3173</v>
      </c>
      <c r="G256" t="s">
        <v>2666</v>
      </c>
      <c r="H256" t="s">
        <v>2054</v>
      </c>
      <c r="I256" t="s">
        <v>2741</v>
      </c>
      <c r="J256" t="s">
        <v>2054</v>
      </c>
      <c r="K256" t="s">
        <v>2665</v>
      </c>
      <c r="L256" t="s">
        <v>1136</v>
      </c>
      <c r="M256" t="s">
        <v>2671</v>
      </c>
      <c r="N256" t="s">
        <v>2665</v>
      </c>
      <c r="O256" t="s">
        <v>3174</v>
      </c>
      <c r="P256" t="s">
        <v>2834</v>
      </c>
      <c r="Q256" t="s">
        <v>3162</v>
      </c>
      <c r="R256" t="s">
        <v>2665</v>
      </c>
      <c r="S256" t="s">
        <v>2781</v>
      </c>
      <c r="T256" t="s">
        <v>2922</v>
      </c>
      <c r="U256" t="s">
        <v>2665</v>
      </c>
      <c r="V256" t="s">
        <v>3119</v>
      </c>
      <c r="W256" t="s">
        <v>3175</v>
      </c>
      <c r="X256" t="s">
        <v>2665</v>
      </c>
      <c r="Y256" t="s">
        <v>2054</v>
      </c>
      <c r="Z256" t="s">
        <v>1136</v>
      </c>
      <c r="AA256" t="s">
        <v>2850</v>
      </c>
      <c r="AB256" t="s">
        <v>2850</v>
      </c>
      <c r="AC256" t="s">
        <v>2665</v>
      </c>
      <c r="AD256" t="s">
        <v>2054</v>
      </c>
      <c r="AE256" t="s">
        <v>2726</v>
      </c>
    </row>
    <row r="257" spans="1:31" x14ac:dyDescent="0.25">
      <c r="A257" t="s">
        <v>1396</v>
      </c>
      <c r="B257" t="s">
        <v>1395</v>
      </c>
      <c r="C257" t="s">
        <v>3211</v>
      </c>
      <c r="D257" t="s">
        <v>3212</v>
      </c>
      <c r="E257" t="s">
        <v>2666</v>
      </c>
      <c r="F257" t="s">
        <v>3206</v>
      </c>
      <c r="G257" t="s">
        <v>2666</v>
      </c>
      <c r="H257" t="s">
        <v>2054</v>
      </c>
      <c r="I257" t="s">
        <v>2741</v>
      </c>
      <c r="J257" t="s">
        <v>2054</v>
      </c>
      <c r="K257" t="s">
        <v>2665</v>
      </c>
      <c r="L257" t="s">
        <v>1136</v>
      </c>
      <c r="M257" t="s">
        <v>2671</v>
      </c>
      <c r="N257" t="s">
        <v>2665</v>
      </c>
      <c r="O257" t="s">
        <v>3174</v>
      </c>
      <c r="P257" t="s">
        <v>2834</v>
      </c>
      <c r="Q257" t="s">
        <v>3162</v>
      </c>
      <c r="R257" t="s">
        <v>2665</v>
      </c>
      <c r="S257" t="s">
        <v>2781</v>
      </c>
      <c r="T257" t="s">
        <v>2922</v>
      </c>
      <c r="U257" t="s">
        <v>2665</v>
      </c>
      <c r="V257" t="s">
        <v>3119</v>
      </c>
      <c r="W257" t="s">
        <v>3175</v>
      </c>
      <c r="X257" t="s">
        <v>2665</v>
      </c>
      <c r="Y257" t="s">
        <v>2054</v>
      </c>
      <c r="Z257" t="s">
        <v>1136</v>
      </c>
      <c r="AA257" t="s">
        <v>2797</v>
      </c>
      <c r="AB257" t="s">
        <v>2797</v>
      </c>
      <c r="AC257" t="s">
        <v>2665</v>
      </c>
      <c r="AD257" t="s">
        <v>2054</v>
      </c>
      <c r="AE257" t="s">
        <v>2726</v>
      </c>
    </row>
    <row r="258" spans="1:31" x14ac:dyDescent="0.25">
      <c r="A258" t="s">
        <v>1398</v>
      </c>
      <c r="B258" t="s">
        <v>1397</v>
      </c>
      <c r="C258" t="s">
        <v>3213</v>
      </c>
      <c r="D258" t="s">
        <v>3214</v>
      </c>
      <c r="E258" t="s">
        <v>2666</v>
      </c>
      <c r="F258" t="s">
        <v>3206</v>
      </c>
      <c r="G258" t="s">
        <v>2666</v>
      </c>
      <c r="H258" t="s">
        <v>2054</v>
      </c>
      <c r="I258" t="s">
        <v>2741</v>
      </c>
      <c r="J258" t="s">
        <v>2054</v>
      </c>
      <c r="K258" t="s">
        <v>2665</v>
      </c>
      <c r="L258" t="s">
        <v>1136</v>
      </c>
      <c r="M258" t="s">
        <v>2671</v>
      </c>
      <c r="N258" t="s">
        <v>2665</v>
      </c>
      <c r="O258" t="s">
        <v>3174</v>
      </c>
      <c r="P258" t="s">
        <v>2834</v>
      </c>
      <c r="Q258" t="s">
        <v>3162</v>
      </c>
      <c r="R258" t="s">
        <v>2665</v>
      </c>
      <c r="S258" t="s">
        <v>2781</v>
      </c>
      <c r="T258" t="s">
        <v>2922</v>
      </c>
      <c r="U258" t="s">
        <v>2665</v>
      </c>
      <c r="V258" t="s">
        <v>3119</v>
      </c>
      <c r="W258" t="s">
        <v>3175</v>
      </c>
      <c r="X258" t="s">
        <v>2665</v>
      </c>
      <c r="Y258" t="s">
        <v>2054</v>
      </c>
      <c r="Z258" t="s">
        <v>1136</v>
      </c>
      <c r="AA258" t="s">
        <v>2797</v>
      </c>
      <c r="AB258" t="s">
        <v>2797</v>
      </c>
      <c r="AC258" t="s">
        <v>2665</v>
      </c>
      <c r="AD258" t="s">
        <v>2054</v>
      </c>
      <c r="AE258" t="s">
        <v>2054</v>
      </c>
    </row>
    <row r="259" spans="1:31" x14ac:dyDescent="0.25">
      <c r="A259" t="s">
        <v>1400</v>
      </c>
      <c r="B259" t="s">
        <v>1399</v>
      </c>
      <c r="C259" t="s">
        <v>3215</v>
      </c>
      <c r="D259" t="s">
        <v>3216</v>
      </c>
      <c r="E259" t="s">
        <v>2666</v>
      </c>
      <c r="F259" t="s">
        <v>2765</v>
      </c>
      <c r="G259" t="s">
        <v>2666</v>
      </c>
      <c r="H259" t="s">
        <v>2054</v>
      </c>
      <c r="I259" t="s">
        <v>2741</v>
      </c>
      <c r="J259" t="s">
        <v>2054</v>
      </c>
      <c r="K259" t="s">
        <v>2665</v>
      </c>
      <c r="L259" t="s">
        <v>1136</v>
      </c>
      <c r="M259" t="s">
        <v>2671</v>
      </c>
      <c r="N259" t="s">
        <v>2665</v>
      </c>
      <c r="O259" t="s">
        <v>3174</v>
      </c>
      <c r="P259" t="s">
        <v>2834</v>
      </c>
      <c r="Q259" t="s">
        <v>3162</v>
      </c>
      <c r="R259" t="s">
        <v>2665</v>
      </c>
      <c r="S259" t="s">
        <v>2781</v>
      </c>
      <c r="T259" t="s">
        <v>2922</v>
      </c>
      <c r="U259" t="s">
        <v>2665</v>
      </c>
      <c r="V259" t="s">
        <v>3119</v>
      </c>
      <c r="W259" t="s">
        <v>3175</v>
      </c>
      <c r="X259" t="s">
        <v>2665</v>
      </c>
      <c r="Y259" t="s">
        <v>2054</v>
      </c>
      <c r="Z259" t="s">
        <v>1136</v>
      </c>
      <c r="AA259" t="s">
        <v>2797</v>
      </c>
      <c r="AB259" t="s">
        <v>2797</v>
      </c>
      <c r="AC259" t="s">
        <v>2665</v>
      </c>
      <c r="AD259" t="s">
        <v>2054</v>
      </c>
      <c r="AE259" t="s">
        <v>2054</v>
      </c>
    </row>
    <row r="260" spans="1:31" x14ac:dyDescent="0.25">
      <c r="A260" t="s">
        <v>1402</v>
      </c>
      <c r="B260" t="s">
        <v>1401</v>
      </c>
      <c r="C260" t="s">
        <v>3217</v>
      </c>
      <c r="D260" t="s">
        <v>3218</v>
      </c>
      <c r="E260" t="s">
        <v>2666</v>
      </c>
      <c r="F260" t="s">
        <v>3173</v>
      </c>
      <c r="G260" t="s">
        <v>2666</v>
      </c>
      <c r="H260" t="s">
        <v>2054</v>
      </c>
      <c r="I260" t="s">
        <v>2741</v>
      </c>
      <c r="J260" t="s">
        <v>2054</v>
      </c>
      <c r="K260" t="s">
        <v>2665</v>
      </c>
      <c r="L260" t="s">
        <v>1136</v>
      </c>
      <c r="M260" t="s">
        <v>2671</v>
      </c>
      <c r="N260" t="s">
        <v>2665</v>
      </c>
      <c r="O260" t="s">
        <v>3174</v>
      </c>
      <c r="P260" t="s">
        <v>2834</v>
      </c>
      <c r="Q260" t="s">
        <v>3162</v>
      </c>
      <c r="R260" t="s">
        <v>2665</v>
      </c>
      <c r="S260" t="s">
        <v>2781</v>
      </c>
      <c r="T260" t="s">
        <v>2922</v>
      </c>
      <c r="U260" t="s">
        <v>2665</v>
      </c>
      <c r="V260" t="s">
        <v>3119</v>
      </c>
      <c r="W260" t="s">
        <v>3175</v>
      </c>
      <c r="X260" t="s">
        <v>2665</v>
      </c>
      <c r="Y260" t="s">
        <v>2054</v>
      </c>
      <c r="Z260" t="s">
        <v>1136</v>
      </c>
      <c r="AA260" t="s">
        <v>2850</v>
      </c>
      <c r="AB260" t="s">
        <v>2850</v>
      </c>
      <c r="AC260" t="s">
        <v>2665</v>
      </c>
      <c r="AD260" t="s">
        <v>2054</v>
      </c>
      <c r="AE260" t="s">
        <v>2054</v>
      </c>
    </row>
    <row r="261" spans="1:31" x14ac:dyDescent="0.25">
      <c r="A261" t="s">
        <v>1404</v>
      </c>
      <c r="B261" t="s">
        <v>1403</v>
      </c>
      <c r="C261" t="s">
        <v>3219</v>
      </c>
      <c r="D261" t="s">
        <v>3220</v>
      </c>
      <c r="E261" t="s">
        <v>2666</v>
      </c>
      <c r="F261" t="s">
        <v>3160</v>
      </c>
      <c r="G261" t="s">
        <v>2666</v>
      </c>
      <c r="H261" t="s">
        <v>2054</v>
      </c>
      <c r="I261" t="s">
        <v>2741</v>
      </c>
      <c r="J261" t="s">
        <v>2054</v>
      </c>
      <c r="K261" t="s">
        <v>2665</v>
      </c>
      <c r="L261" t="s">
        <v>1136</v>
      </c>
      <c r="M261" t="s">
        <v>2671</v>
      </c>
      <c r="N261" t="s">
        <v>2665</v>
      </c>
      <c r="O261" t="s">
        <v>3174</v>
      </c>
      <c r="P261" t="s">
        <v>2834</v>
      </c>
      <c r="Q261" t="s">
        <v>3162</v>
      </c>
      <c r="R261" t="s">
        <v>2665</v>
      </c>
      <c r="S261" t="s">
        <v>2781</v>
      </c>
      <c r="T261" t="s">
        <v>2922</v>
      </c>
      <c r="U261" t="s">
        <v>2665</v>
      </c>
      <c r="V261" t="s">
        <v>3119</v>
      </c>
      <c r="W261" t="s">
        <v>3175</v>
      </c>
      <c r="X261" t="s">
        <v>2665</v>
      </c>
      <c r="Y261" t="s">
        <v>2054</v>
      </c>
      <c r="Z261" t="s">
        <v>1136</v>
      </c>
      <c r="AA261" t="s">
        <v>2850</v>
      </c>
      <c r="AB261" t="s">
        <v>2850</v>
      </c>
      <c r="AC261" t="s">
        <v>2665</v>
      </c>
      <c r="AD261" t="s">
        <v>2054</v>
      </c>
      <c r="AE261" t="s">
        <v>2054</v>
      </c>
    </row>
    <row r="262" spans="1:31" x14ac:dyDescent="0.25">
      <c r="A262" t="s">
        <v>3221</v>
      </c>
      <c r="B262" t="s">
        <v>3222</v>
      </c>
      <c r="C262" t="s">
        <v>3223</v>
      </c>
      <c r="D262" t="s">
        <v>3222</v>
      </c>
      <c r="E262" t="s">
        <v>2666</v>
      </c>
      <c r="F262" t="s">
        <v>2892</v>
      </c>
      <c r="G262" t="s">
        <v>2666</v>
      </c>
      <c r="H262" t="s">
        <v>2054</v>
      </c>
      <c r="I262" t="s">
        <v>2741</v>
      </c>
      <c r="J262" t="s">
        <v>2054</v>
      </c>
      <c r="K262" t="s">
        <v>2665</v>
      </c>
      <c r="L262" t="s">
        <v>1136</v>
      </c>
      <c r="M262" t="s">
        <v>2671</v>
      </c>
      <c r="N262" t="s">
        <v>2665</v>
      </c>
      <c r="O262" t="s">
        <v>3174</v>
      </c>
      <c r="P262" t="s">
        <v>2834</v>
      </c>
      <c r="Q262" t="s">
        <v>3162</v>
      </c>
      <c r="R262" t="s">
        <v>2665</v>
      </c>
      <c r="S262" t="s">
        <v>2779</v>
      </c>
      <c r="T262" t="s">
        <v>2780</v>
      </c>
      <c r="U262" t="s">
        <v>2665</v>
      </c>
      <c r="V262" t="s">
        <v>3119</v>
      </c>
      <c r="W262" t="s">
        <v>3175</v>
      </c>
      <c r="X262" t="s">
        <v>2665</v>
      </c>
      <c r="Y262" t="s">
        <v>2054</v>
      </c>
      <c r="Z262" t="s">
        <v>1136</v>
      </c>
      <c r="AA262" t="s">
        <v>2850</v>
      </c>
      <c r="AB262" t="s">
        <v>2850</v>
      </c>
      <c r="AC262" t="s">
        <v>2665</v>
      </c>
      <c r="AD262" t="s">
        <v>2054</v>
      </c>
      <c r="AE262" t="s">
        <v>3224</v>
      </c>
    </row>
    <row r="263" spans="1:31" x14ac:dyDescent="0.25">
      <c r="A263" t="s">
        <v>3225</v>
      </c>
      <c r="B263" t="s">
        <v>3226</v>
      </c>
      <c r="C263" t="s">
        <v>3227</v>
      </c>
      <c r="D263" t="s">
        <v>3226</v>
      </c>
      <c r="E263" t="s">
        <v>2666</v>
      </c>
      <c r="F263" t="s">
        <v>2892</v>
      </c>
      <c r="G263" t="s">
        <v>2666</v>
      </c>
      <c r="H263" t="s">
        <v>2054</v>
      </c>
      <c r="I263" t="s">
        <v>2741</v>
      </c>
      <c r="J263" t="s">
        <v>2054</v>
      </c>
      <c r="K263" t="s">
        <v>2665</v>
      </c>
      <c r="L263" t="s">
        <v>1136</v>
      </c>
      <c r="M263" t="s">
        <v>2671</v>
      </c>
      <c r="N263" t="s">
        <v>2665</v>
      </c>
      <c r="O263" t="s">
        <v>3174</v>
      </c>
      <c r="P263" t="s">
        <v>2834</v>
      </c>
      <c r="Q263" t="s">
        <v>3162</v>
      </c>
      <c r="R263" t="s">
        <v>2665</v>
      </c>
      <c r="S263" t="s">
        <v>2779</v>
      </c>
      <c r="T263" t="s">
        <v>2780</v>
      </c>
      <c r="U263" t="s">
        <v>2665</v>
      </c>
      <c r="V263" t="s">
        <v>3119</v>
      </c>
      <c r="W263" t="s">
        <v>3175</v>
      </c>
      <c r="X263" t="s">
        <v>2665</v>
      </c>
      <c r="Y263" t="s">
        <v>2054</v>
      </c>
      <c r="Z263" t="s">
        <v>1136</v>
      </c>
      <c r="AA263" t="s">
        <v>2850</v>
      </c>
      <c r="AB263" t="s">
        <v>2850</v>
      </c>
      <c r="AC263" t="s">
        <v>2665</v>
      </c>
      <c r="AD263" t="s">
        <v>2054</v>
      </c>
      <c r="AE263" t="s">
        <v>3224</v>
      </c>
    </row>
    <row r="264" spans="1:31" x14ac:dyDescent="0.25">
      <c r="A264" t="s">
        <v>1406</v>
      </c>
      <c r="B264" t="s">
        <v>1405</v>
      </c>
      <c r="C264" t="s">
        <v>3228</v>
      </c>
      <c r="D264" t="s">
        <v>3229</v>
      </c>
      <c r="E264" t="s">
        <v>2666</v>
      </c>
      <c r="F264" t="s">
        <v>3230</v>
      </c>
      <c r="G264" t="s">
        <v>2666</v>
      </c>
      <c r="H264" t="s">
        <v>2054</v>
      </c>
      <c r="I264" t="s">
        <v>2741</v>
      </c>
      <c r="J264" t="s">
        <v>2054</v>
      </c>
      <c r="K264" t="s">
        <v>2665</v>
      </c>
      <c r="L264" t="s">
        <v>1136</v>
      </c>
      <c r="M264" t="s">
        <v>2671</v>
      </c>
      <c r="N264" t="s">
        <v>2665</v>
      </c>
      <c r="O264" t="s">
        <v>3174</v>
      </c>
      <c r="P264" t="s">
        <v>2834</v>
      </c>
      <c r="Q264" t="s">
        <v>3162</v>
      </c>
      <c r="R264" t="s">
        <v>2665</v>
      </c>
      <c r="S264" t="s">
        <v>2781</v>
      </c>
      <c r="T264" t="s">
        <v>2922</v>
      </c>
      <c r="U264" t="s">
        <v>2665</v>
      </c>
      <c r="V264" t="s">
        <v>3119</v>
      </c>
      <c r="W264" t="s">
        <v>3175</v>
      </c>
      <c r="X264" t="s">
        <v>2665</v>
      </c>
      <c r="Y264" t="s">
        <v>2054</v>
      </c>
      <c r="Z264" t="s">
        <v>1136</v>
      </c>
      <c r="AA264" t="s">
        <v>2850</v>
      </c>
      <c r="AB264" t="s">
        <v>2850</v>
      </c>
      <c r="AC264" t="s">
        <v>2665</v>
      </c>
      <c r="AD264" t="s">
        <v>2054</v>
      </c>
      <c r="AE264" t="s">
        <v>2054</v>
      </c>
    </row>
    <row r="265" spans="1:31" x14ac:dyDescent="0.25">
      <c r="A265" t="s">
        <v>1408</v>
      </c>
      <c r="B265" t="s">
        <v>1407</v>
      </c>
      <c r="C265" t="s">
        <v>2797</v>
      </c>
      <c r="D265" t="s">
        <v>3231</v>
      </c>
      <c r="E265" t="s">
        <v>2666</v>
      </c>
      <c r="F265" t="s">
        <v>2954</v>
      </c>
      <c r="G265" t="s">
        <v>2666</v>
      </c>
      <c r="H265" t="s">
        <v>2054</v>
      </c>
      <c r="I265" t="s">
        <v>2741</v>
      </c>
      <c r="J265" t="s">
        <v>2054</v>
      </c>
      <c r="K265" t="s">
        <v>2665</v>
      </c>
      <c r="L265" t="s">
        <v>1136</v>
      </c>
      <c r="M265" t="s">
        <v>2671</v>
      </c>
      <c r="N265" t="s">
        <v>2665</v>
      </c>
      <c r="O265" t="s">
        <v>3174</v>
      </c>
      <c r="P265" t="s">
        <v>2834</v>
      </c>
      <c r="Q265" t="s">
        <v>3162</v>
      </c>
      <c r="R265" t="s">
        <v>2665</v>
      </c>
      <c r="S265" t="s">
        <v>2781</v>
      </c>
      <c r="T265" t="s">
        <v>2922</v>
      </c>
      <c r="U265" t="s">
        <v>2665</v>
      </c>
      <c r="V265" t="s">
        <v>3119</v>
      </c>
      <c r="W265" t="s">
        <v>3175</v>
      </c>
      <c r="X265" t="s">
        <v>2665</v>
      </c>
      <c r="Y265" t="s">
        <v>2054</v>
      </c>
      <c r="Z265" t="s">
        <v>1136</v>
      </c>
      <c r="AA265" t="s">
        <v>2850</v>
      </c>
      <c r="AB265" t="s">
        <v>2850</v>
      </c>
      <c r="AC265" t="s">
        <v>2665</v>
      </c>
      <c r="AD265" t="s">
        <v>2054</v>
      </c>
      <c r="AE265" t="s">
        <v>2054</v>
      </c>
    </row>
    <row r="266" spans="1:31" x14ac:dyDescent="0.25">
      <c r="A266" t="s">
        <v>1410</v>
      </c>
      <c r="B266" t="s">
        <v>1409</v>
      </c>
      <c r="C266" t="s">
        <v>3232</v>
      </c>
      <c r="D266" t="s">
        <v>3233</v>
      </c>
      <c r="E266" t="s">
        <v>2666</v>
      </c>
      <c r="F266" t="s">
        <v>3173</v>
      </c>
      <c r="G266" t="s">
        <v>2666</v>
      </c>
      <c r="H266" t="s">
        <v>2054</v>
      </c>
      <c r="I266" t="s">
        <v>2741</v>
      </c>
      <c r="J266" t="s">
        <v>2054</v>
      </c>
      <c r="K266" t="s">
        <v>2665</v>
      </c>
      <c r="L266" t="s">
        <v>1136</v>
      </c>
      <c r="M266" t="s">
        <v>2671</v>
      </c>
      <c r="N266" t="s">
        <v>2665</v>
      </c>
      <c r="O266" t="s">
        <v>3174</v>
      </c>
      <c r="P266" t="s">
        <v>2834</v>
      </c>
      <c r="Q266" t="s">
        <v>3162</v>
      </c>
      <c r="R266" t="s">
        <v>2665</v>
      </c>
      <c r="S266" t="s">
        <v>2781</v>
      </c>
      <c r="T266" t="s">
        <v>2922</v>
      </c>
      <c r="U266" t="s">
        <v>2665</v>
      </c>
      <c r="V266" t="s">
        <v>3119</v>
      </c>
      <c r="W266" t="s">
        <v>3175</v>
      </c>
      <c r="X266" t="s">
        <v>2665</v>
      </c>
      <c r="Y266" t="s">
        <v>2054</v>
      </c>
      <c r="Z266" t="s">
        <v>1136</v>
      </c>
      <c r="AA266" t="s">
        <v>2850</v>
      </c>
      <c r="AB266" t="s">
        <v>2850</v>
      </c>
      <c r="AC266" t="s">
        <v>2665</v>
      </c>
      <c r="AD266" t="s">
        <v>2054</v>
      </c>
      <c r="AE266" t="s">
        <v>2054</v>
      </c>
    </row>
    <row r="267" spans="1:31" x14ac:dyDescent="0.25">
      <c r="A267" t="s">
        <v>1412</v>
      </c>
      <c r="B267" t="s">
        <v>1411</v>
      </c>
      <c r="C267" t="s">
        <v>3234</v>
      </c>
      <c r="D267" t="s">
        <v>3235</v>
      </c>
      <c r="E267" t="s">
        <v>2666</v>
      </c>
      <c r="F267" t="s">
        <v>3236</v>
      </c>
      <c r="G267" t="s">
        <v>2666</v>
      </c>
      <c r="H267" t="s">
        <v>2054</v>
      </c>
      <c r="I267" t="s">
        <v>2741</v>
      </c>
      <c r="J267" t="s">
        <v>2054</v>
      </c>
      <c r="K267" t="s">
        <v>2665</v>
      </c>
      <c r="L267" t="s">
        <v>1136</v>
      </c>
      <c r="M267" t="s">
        <v>2671</v>
      </c>
      <c r="N267" t="s">
        <v>2665</v>
      </c>
      <c r="O267" t="s">
        <v>3174</v>
      </c>
      <c r="P267" t="s">
        <v>2834</v>
      </c>
      <c r="Q267" t="s">
        <v>3162</v>
      </c>
      <c r="R267" t="s">
        <v>2665</v>
      </c>
      <c r="S267" t="s">
        <v>2781</v>
      </c>
      <c r="T267" t="s">
        <v>2922</v>
      </c>
      <c r="U267" t="s">
        <v>2665</v>
      </c>
      <c r="V267" t="s">
        <v>3119</v>
      </c>
      <c r="W267" t="s">
        <v>3175</v>
      </c>
      <c r="X267" t="s">
        <v>2665</v>
      </c>
      <c r="Y267" t="s">
        <v>2054</v>
      </c>
      <c r="Z267" t="s">
        <v>1136</v>
      </c>
      <c r="AA267" t="s">
        <v>2797</v>
      </c>
      <c r="AB267" t="s">
        <v>2797</v>
      </c>
      <c r="AC267" t="s">
        <v>2665</v>
      </c>
      <c r="AD267" t="s">
        <v>2054</v>
      </c>
      <c r="AE267" t="s">
        <v>2726</v>
      </c>
    </row>
    <row r="268" spans="1:31" x14ac:dyDescent="0.25">
      <c r="A268" t="s">
        <v>1414</v>
      </c>
      <c r="B268" t="s">
        <v>1413</v>
      </c>
      <c r="C268" t="s">
        <v>3237</v>
      </c>
      <c r="D268" t="s">
        <v>3238</v>
      </c>
      <c r="E268" t="s">
        <v>2666</v>
      </c>
      <c r="F268" t="s">
        <v>3239</v>
      </c>
      <c r="G268" t="s">
        <v>2666</v>
      </c>
      <c r="H268" t="s">
        <v>2054</v>
      </c>
      <c r="I268" t="s">
        <v>2741</v>
      </c>
      <c r="J268" t="s">
        <v>2054</v>
      </c>
      <c r="K268" t="s">
        <v>2665</v>
      </c>
      <c r="L268" t="s">
        <v>1136</v>
      </c>
      <c r="M268" t="s">
        <v>2671</v>
      </c>
      <c r="N268" t="s">
        <v>2665</v>
      </c>
      <c r="O268" t="s">
        <v>3174</v>
      </c>
      <c r="P268" t="s">
        <v>2834</v>
      </c>
      <c r="Q268" t="s">
        <v>3162</v>
      </c>
      <c r="R268" t="s">
        <v>2665</v>
      </c>
      <c r="S268" t="s">
        <v>2781</v>
      </c>
      <c r="T268" t="s">
        <v>2922</v>
      </c>
      <c r="U268" t="s">
        <v>2665</v>
      </c>
      <c r="V268" t="s">
        <v>3119</v>
      </c>
      <c r="W268" t="s">
        <v>3175</v>
      </c>
      <c r="X268" t="s">
        <v>2665</v>
      </c>
      <c r="Y268" t="s">
        <v>2054</v>
      </c>
      <c r="Z268" t="s">
        <v>1136</v>
      </c>
      <c r="AA268" t="s">
        <v>2797</v>
      </c>
      <c r="AB268" t="s">
        <v>2797</v>
      </c>
      <c r="AC268" t="s">
        <v>2665</v>
      </c>
      <c r="AD268" t="s">
        <v>2054</v>
      </c>
      <c r="AE268" t="s">
        <v>2054</v>
      </c>
    </row>
    <row r="269" spans="1:31" x14ac:dyDescent="0.25">
      <c r="A269" t="s">
        <v>1416</v>
      </c>
      <c r="B269" t="s">
        <v>1415</v>
      </c>
      <c r="C269" t="s">
        <v>3240</v>
      </c>
      <c r="D269" t="s">
        <v>3241</v>
      </c>
      <c r="E269" t="s">
        <v>2666</v>
      </c>
      <c r="F269" t="s">
        <v>2954</v>
      </c>
      <c r="G269" t="s">
        <v>2666</v>
      </c>
      <c r="H269" t="s">
        <v>2054</v>
      </c>
      <c r="I269" t="s">
        <v>2741</v>
      </c>
      <c r="J269" t="s">
        <v>2054</v>
      </c>
      <c r="K269" t="s">
        <v>2665</v>
      </c>
      <c r="L269" t="s">
        <v>1136</v>
      </c>
      <c r="M269" t="s">
        <v>2671</v>
      </c>
      <c r="N269" t="s">
        <v>2665</v>
      </c>
      <c r="O269" t="s">
        <v>3174</v>
      </c>
      <c r="P269" t="s">
        <v>2834</v>
      </c>
      <c r="Q269" t="s">
        <v>3162</v>
      </c>
      <c r="R269" t="s">
        <v>2665</v>
      </c>
      <c r="S269" t="s">
        <v>2781</v>
      </c>
      <c r="T269" t="s">
        <v>2922</v>
      </c>
      <c r="U269" t="s">
        <v>2665</v>
      </c>
      <c r="V269" t="s">
        <v>3119</v>
      </c>
      <c r="W269" t="s">
        <v>3175</v>
      </c>
      <c r="X269" t="s">
        <v>2665</v>
      </c>
      <c r="Y269" t="s">
        <v>2054</v>
      </c>
      <c r="Z269" t="s">
        <v>1136</v>
      </c>
      <c r="AA269" t="s">
        <v>2850</v>
      </c>
      <c r="AB269" t="s">
        <v>2850</v>
      </c>
      <c r="AC269" t="s">
        <v>2665</v>
      </c>
      <c r="AD269" t="s">
        <v>2054</v>
      </c>
      <c r="AE269" t="s">
        <v>2054</v>
      </c>
    </row>
    <row r="270" spans="1:31" x14ac:dyDescent="0.25">
      <c r="A270" t="s">
        <v>1418</v>
      </c>
      <c r="B270" t="s">
        <v>1417</v>
      </c>
      <c r="C270" t="s">
        <v>3242</v>
      </c>
      <c r="D270" t="s">
        <v>3243</v>
      </c>
      <c r="E270" t="s">
        <v>2666</v>
      </c>
      <c r="F270" t="s">
        <v>3173</v>
      </c>
      <c r="G270" t="s">
        <v>2666</v>
      </c>
      <c r="H270" t="s">
        <v>2054</v>
      </c>
      <c r="I270" t="s">
        <v>2741</v>
      </c>
      <c r="J270" t="s">
        <v>2054</v>
      </c>
      <c r="K270" t="s">
        <v>2665</v>
      </c>
      <c r="L270" t="s">
        <v>1136</v>
      </c>
      <c r="M270" t="s">
        <v>2671</v>
      </c>
      <c r="N270" t="s">
        <v>2665</v>
      </c>
      <c r="O270" t="s">
        <v>3174</v>
      </c>
      <c r="P270" t="s">
        <v>2834</v>
      </c>
      <c r="Q270" t="s">
        <v>3162</v>
      </c>
      <c r="R270" t="s">
        <v>2665</v>
      </c>
      <c r="S270" t="s">
        <v>2781</v>
      </c>
      <c r="T270" t="s">
        <v>2922</v>
      </c>
      <c r="U270" t="s">
        <v>2665</v>
      </c>
      <c r="V270" t="s">
        <v>3119</v>
      </c>
      <c r="W270" t="s">
        <v>3175</v>
      </c>
      <c r="X270" t="s">
        <v>2665</v>
      </c>
      <c r="Y270" t="s">
        <v>2054</v>
      </c>
      <c r="Z270" t="s">
        <v>1136</v>
      </c>
      <c r="AA270" t="s">
        <v>2850</v>
      </c>
      <c r="AB270" t="s">
        <v>2850</v>
      </c>
      <c r="AC270" t="s">
        <v>2665</v>
      </c>
      <c r="AD270" t="s">
        <v>2054</v>
      </c>
      <c r="AE270" t="s">
        <v>2054</v>
      </c>
    </row>
    <row r="271" spans="1:31" x14ac:dyDescent="0.25">
      <c r="A271" t="s">
        <v>1420</v>
      </c>
      <c r="B271" t="s">
        <v>1419</v>
      </c>
      <c r="C271" t="s">
        <v>3244</v>
      </c>
      <c r="D271" t="s">
        <v>3245</v>
      </c>
      <c r="E271" t="s">
        <v>2666</v>
      </c>
      <c r="F271" t="s">
        <v>2892</v>
      </c>
      <c r="G271" t="s">
        <v>2666</v>
      </c>
      <c r="H271" t="s">
        <v>2054</v>
      </c>
      <c r="I271" t="s">
        <v>2741</v>
      </c>
      <c r="J271" t="s">
        <v>2054</v>
      </c>
      <c r="K271" t="s">
        <v>2665</v>
      </c>
      <c r="L271" t="s">
        <v>1136</v>
      </c>
      <c r="M271" t="s">
        <v>2671</v>
      </c>
      <c r="N271" t="s">
        <v>2665</v>
      </c>
      <c r="O271" t="s">
        <v>3174</v>
      </c>
      <c r="P271" t="s">
        <v>2834</v>
      </c>
      <c r="Q271" t="s">
        <v>3162</v>
      </c>
      <c r="R271" t="s">
        <v>2665</v>
      </c>
      <c r="S271" t="s">
        <v>2781</v>
      </c>
      <c r="T271" t="s">
        <v>2922</v>
      </c>
      <c r="U271" t="s">
        <v>2665</v>
      </c>
      <c r="V271" t="s">
        <v>3119</v>
      </c>
      <c r="W271" t="s">
        <v>3175</v>
      </c>
      <c r="X271" t="s">
        <v>2665</v>
      </c>
      <c r="Y271" t="s">
        <v>2054</v>
      </c>
      <c r="Z271" t="s">
        <v>1136</v>
      </c>
      <c r="AA271" t="s">
        <v>2850</v>
      </c>
      <c r="AB271" t="s">
        <v>2850</v>
      </c>
      <c r="AC271" t="s">
        <v>2665</v>
      </c>
      <c r="AD271" t="s">
        <v>2054</v>
      </c>
      <c r="AE271" t="s">
        <v>2054</v>
      </c>
    </row>
    <row r="272" spans="1:31" x14ac:dyDescent="0.25">
      <c r="A272" t="s">
        <v>1422</v>
      </c>
      <c r="B272" t="s">
        <v>1421</v>
      </c>
      <c r="C272" t="s">
        <v>3246</v>
      </c>
      <c r="D272" t="s">
        <v>3247</v>
      </c>
      <c r="E272" t="s">
        <v>2666</v>
      </c>
      <c r="F272" t="s">
        <v>3248</v>
      </c>
      <c r="G272" t="s">
        <v>2666</v>
      </c>
      <c r="H272" t="s">
        <v>2054</v>
      </c>
      <c r="I272" t="s">
        <v>2741</v>
      </c>
      <c r="J272" t="s">
        <v>2054</v>
      </c>
      <c r="K272" t="s">
        <v>2665</v>
      </c>
      <c r="L272" t="s">
        <v>1136</v>
      </c>
      <c r="M272" t="s">
        <v>2671</v>
      </c>
      <c r="N272" t="s">
        <v>2665</v>
      </c>
      <c r="O272" t="s">
        <v>3174</v>
      </c>
      <c r="P272" t="s">
        <v>2834</v>
      </c>
      <c r="Q272" t="s">
        <v>3162</v>
      </c>
      <c r="R272" t="s">
        <v>2665</v>
      </c>
      <c r="S272" t="s">
        <v>2781</v>
      </c>
      <c r="T272" t="s">
        <v>2922</v>
      </c>
      <c r="U272" t="s">
        <v>2665</v>
      </c>
      <c r="V272" t="s">
        <v>3119</v>
      </c>
      <c r="W272" t="s">
        <v>3175</v>
      </c>
      <c r="X272" t="s">
        <v>2665</v>
      </c>
      <c r="Y272" t="s">
        <v>2054</v>
      </c>
      <c r="Z272" t="s">
        <v>1136</v>
      </c>
      <c r="AA272" t="s">
        <v>2850</v>
      </c>
      <c r="AB272" t="s">
        <v>2850</v>
      </c>
      <c r="AC272" t="s">
        <v>2665</v>
      </c>
      <c r="AD272" t="s">
        <v>2054</v>
      </c>
      <c r="AE272" t="s">
        <v>2054</v>
      </c>
    </row>
    <row r="273" spans="1:31" x14ac:dyDescent="0.25">
      <c r="A273" t="s">
        <v>1424</v>
      </c>
      <c r="B273" t="s">
        <v>1423</v>
      </c>
      <c r="C273" t="s">
        <v>3249</v>
      </c>
      <c r="D273" t="s">
        <v>3250</v>
      </c>
      <c r="E273" t="s">
        <v>2666</v>
      </c>
      <c r="F273" t="s">
        <v>3251</v>
      </c>
      <c r="G273" t="s">
        <v>2666</v>
      </c>
      <c r="H273" t="s">
        <v>2054</v>
      </c>
      <c r="I273" t="s">
        <v>2741</v>
      </c>
      <c r="J273" t="s">
        <v>2054</v>
      </c>
      <c r="K273" t="s">
        <v>2665</v>
      </c>
      <c r="L273" t="s">
        <v>1136</v>
      </c>
      <c r="M273" t="s">
        <v>2781</v>
      </c>
      <c r="N273" t="s">
        <v>2665</v>
      </c>
      <c r="O273" t="s">
        <v>3161</v>
      </c>
      <c r="P273" t="s">
        <v>2834</v>
      </c>
      <c r="Q273" t="s">
        <v>3162</v>
      </c>
      <c r="R273" t="s">
        <v>2665</v>
      </c>
      <c r="S273" t="s">
        <v>2781</v>
      </c>
      <c r="T273" t="s">
        <v>2922</v>
      </c>
      <c r="U273" t="s">
        <v>2665</v>
      </c>
      <c r="V273" t="s">
        <v>3163</v>
      </c>
      <c r="W273" t="s">
        <v>3164</v>
      </c>
      <c r="X273" t="s">
        <v>2665</v>
      </c>
      <c r="Y273" t="s">
        <v>2054</v>
      </c>
      <c r="Z273" t="s">
        <v>1136</v>
      </c>
      <c r="AA273" t="s">
        <v>2847</v>
      </c>
      <c r="AB273" t="s">
        <v>2847</v>
      </c>
      <c r="AC273" t="s">
        <v>2665</v>
      </c>
      <c r="AD273" t="s">
        <v>2054</v>
      </c>
      <c r="AE273" t="s">
        <v>2054</v>
      </c>
    </row>
    <row r="274" spans="1:31" x14ac:dyDescent="0.25">
      <c r="A274" t="s">
        <v>1425</v>
      </c>
      <c r="B274" t="s">
        <v>865</v>
      </c>
      <c r="C274" t="s">
        <v>3252</v>
      </c>
      <c r="D274" t="s">
        <v>886</v>
      </c>
      <c r="E274" t="s">
        <v>2666</v>
      </c>
      <c r="F274" t="s">
        <v>2777</v>
      </c>
      <c r="G274" t="s">
        <v>2666</v>
      </c>
      <c r="H274" t="s">
        <v>2054</v>
      </c>
      <c r="I274" t="s">
        <v>2741</v>
      </c>
      <c r="J274" t="s">
        <v>2054</v>
      </c>
      <c r="K274" t="s">
        <v>2665</v>
      </c>
      <c r="L274" t="s">
        <v>1136</v>
      </c>
      <c r="M274" t="s">
        <v>2781</v>
      </c>
      <c r="N274" t="s">
        <v>2665</v>
      </c>
      <c r="O274" t="s">
        <v>3161</v>
      </c>
      <c r="P274" t="s">
        <v>2834</v>
      </c>
      <c r="Q274" t="s">
        <v>3162</v>
      </c>
      <c r="R274" t="s">
        <v>2665</v>
      </c>
      <c r="S274" t="s">
        <v>2781</v>
      </c>
      <c r="T274" t="s">
        <v>2922</v>
      </c>
      <c r="U274" t="s">
        <v>2665</v>
      </c>
      <c r="V274" t="s">
        <v>3163</v>
      </c>
      <c r="W274" t="s">
        <v>3164</v>
      </c>
      <c r="X274" t="s">
        <v>2665</v>
      </c>
      <c r="Y274" t="s">
        <v>2054</v>
      </c>
      <c r="Z274" t="s">
        <v>1136</v>
      </c>
      <c r="AA274" t="s">
        <v>2850</v>
      </c>
      <c r="AB274" t="s">
        <v>2850</v>
      </c>
      <c r="AC274" t="s">
        <v>2665</v>
      </c>
      <c r="AD274" t="s">
        <v>2054</v>
      </c>
      <c r="AE274" t="s">
        <v>2054</v>
      </c>
    </row>
    <row r="275" spans="1:31" x14ac:dyDescent="0.25">
      <c r="A275" t="s">
        <v>1426</v>
      </c>
      <c r="B275" t="s">
        <v>866</v>
      </c>
      <c r="C275" t="s">
        <v>3253</v>
      </c>
      <c r="D275" t="s">
        <v>887</v>
      </c>
      <c r="E275" t="s">
        <v>2666</v>
      </c>
      <c r="F275" t="s">
        <v>2838</v>
      </c>
      <c r="G275" t="s">
        <v>2666</v>
      </c>
      <c r="H275" t="s">
        <v>2054</v>
      </c>
      <c r="I275" t="s">
        <v>2741</v>
      </c>
      <c r="J275" t="s">
        <v>2054</v>
      </c>
      <c r="K275" t="s">
        <v>2665</v>
      </c>
      <c r="L275" t="s">
        <v>1136</v>
      </c>
      <c r="M275" t="s">
        <v>2781</v>
      </c>
      <c r="N275" t="s">
        <v>2665</v>
      </c>
      <c r="O275" t="s">
        <v>3161</v>
      </c>
      <c r="P275" t="s">
        <v>2834</v>
      </c>
      <c r="Q275" t="s">
        <v>3162</v>
      </c>
      <c r="R275" t="s">
        <v>2665</v>
      </c>
      <c r="S275" t="s">
        <v>2781</v>
      </c>
      <c r="T275" t="s">
        <v>2922</v>
      </c>
      <c r="U275" t="s">
        <v>2665</v>
      </c>
      <c r="V275" t="s">
        <v>3163</v>
      </c>
      <c r="W275" t="s">
        <v>3164</v>
      </c>
      <c r="X275" t="s">
        <v>2665</v>
      </c>
      <c r="Y275" t="s">
        <v>2054</v>
      </c>
      <c r="Z275" t="s">
        <v>1136</v>
      </c>
      <c r="AA275" t="s">
        <v>2850</v>
      </c>
      <c r="AB275" t="s">
        <v>2850</v>
      </c>
      <c r="AC275" t="s">
        <v>2665</v>
      </c>
      <c r="AD275" t="s">
        <v>2054</v>
      </c>
      <c r="AE275" t="s">
        <v>2054</v>
      </c>
    </row>
    <row r="276" spans="1:31" x14ac:dyDescent="0.25">
      <c r="A276" t="s">
        <v>1427</v>
      </c>
      <c r="B276" t="s">
        <v>867</v>
      </c>
      <c r="C276" t="s">
        <v>3254</v>
      </c>
      <c r="D276" t="s">
        <v>884</v>
      </c>
      <c r="E276" t="s">
        <v>2666</v>
      </c>
      <c r="F276" t="s">
        <v>2889</v>
      </c>
      <c r="G276" t="s">
        <v>2666</v>
      </c>
      <c r="H276" t="s">
        <v>2054</v>
      </c>
      <c r="I276" t="s">
        <v>2741</v>
      </c>
      <c r="J276" t="s">
        <v>2054</v>
      </c>
      <c r="K276" t="s">
        <v>2665</v>
      </c>
      <c r="L276" t="s">
        <v>1136</v>
      </c>
      <c r="M276" t="s">
        <v>2781</v>
      </c>
      <c r="N276" t="s">
        <v>2665</v>
      </c>
      <c r="O276" t="s">
        <v>3161</v>
      </c>
      <c r="P276" t="s">
        <v>2834</v>
      </c>
      <c r="Q276" t="s">
        <v>3162</v>
      </c>
      <c r="R276" t="s">
        <v>2665</v>
      </c>
      <c r="S276" t="s">
        <v>2781</v>
      </c>
      <c r="T276" t="s">
        <v>2922</v>
      </c>
      <c r="U276" t="s">
        <v>2665</v>
      </c>
      <c r="V276" t="s">
        <v>3163</v>
      </c>
      <c r="W276" t="s">
        <v>3164</v>
      </c>
      <c r="X276" t="s">
        <v>2665</v>
      </c>
      <c r="Y276" t="s">
        <v>2054</v>
      </c>
      <c r="Z276" t="s">
        <v>1136</v>
      </c>
      <c r="AA276" t="s">
        <v>2850</v>
      </c>
      <c r="AB276" t="s">
        <v>2850</v>
      </c>
      <c r="AC276" t="s">
        <v>2665</v>
      </c>
      <c r="AD276" t="s">
        <v>2054</v>
      </c>
      <c r="AE276" t="s">
        <v>2054</v>
      </c>
    </row>
    <row r="277" spans="1:31" x14ac:dyDescent="0.25">
      <c r="A277" t="s">
        <v>1428</v>
      </c>
      <c r="B277" t="s">
        <v>868</v>
      </c>
      <c r="C277" t="s">
        <v>3255</v>
      </c>
      <c r="D277" t="s">
        <v>885</v>
      </c>
      <c r="E277" t="s">
        <v>2666</v>
      </c>
      <c r="F277" t="s">
        <v>3256</v>
      </c>
      <c r="G277" t="s">
        <v>2666</v>
      </c>
      <c r="H277" t="s">
        <v>2054</v>
      </c>
      <c r="I277" t="s">
        <v>2741</v>
      </c>
      <c r="J277" t="s">
        <v>2054</v>
      </c>
      <c r="K277" t="s">
        <v>2665</v>
      </c>
      <c r="L277" t="s">
        <v>1136</v>
      </c>
      <c r="M277" t="s">
        <v>2781</v>
      </c>
      <c r="N277" t="s">
        <v>2665</v>
      </c>
      <c r="O277" t="s">
        <v>3161</v>
      </c>
      <c r="P277" t="s">
        <v>2834</v>
      </c>
      <c r="Q277" t="s">
        <v>3162</v>
      </c>
      <c r="R277" t="s">
        <v>2665</v>
      </c>
      <c r="S277" t="s">
        <v>2781</v>
      </c>
      <c r="T277" t="s">
        <v>2922</v>
      </c>
      <c r="U277" t="s">
        <v>2665</v>
      </c>
      <c r="V277" t="s">
        <v>3163</v>
      </c>
      <c r="W277" t="s">
        <v>3164</v>
      </c>
      <c r="X277" t="s">
        <v>2665</v>
      </c>
      <c r="Y277" t="s">
        <v>2054</v>
      </c>
      <c r="Z277" t="s">
        <v>1136</v>
      </c>
      <c r="AA277" t="s">
        <v>2850</v>
      </c>
      <c r="AB277" t="s">
        <v>2850</v>
      </c>
      <c r="AC277" t="s">
        <v>2665</v>
      </c>
      <c r="AD277" t="s">
        <v>2054</v>
      </c>
      <c r="AE277" t="s">
        <v>2054</v>
      </c>
    </row>
    <row r="278" spans="1:31" x14ac:dyDescent="0.25">
      <c r="A278" t="s">
        <v>1429</v>
      </c>
      <c r="B278" t="s">
        <v>869</v>
      </c>
      <c r="C278" t="s">
        <v>3257</v>
      </c>
      <c r="D278" t="s">
        <v>3258</v>
      </c>
      <c r="E278" t="s">
        <v>2666</v>
      </c>
      <c r="F278" t="s">
        <v>3259</v>
      </c>
      <c r="G278" t="s">
        <v>2666</v>
      </c>
      <c r="H278" t="s">
        <v>2054</v>
      </c>
      <c r="I278" t="s">
        <v>2741</v>
      </c>
      <c r="J278" t="s">
        <v>2054</v>
      </c>
      <c r="K278" t="s">
        <v>2665</v>
      </c>
      <c r="L278" t="s">
        <v>1136</v>
      </c>
      <c r="M278" t="s">
        <v>2781</v>
      </c>
      <c r="N278" t="s">
        <v>2665</v>
      </c>
      <c r="O278" t="s">
        <v>3161</v>
      </c>
      <c r="P278" t="s">
        <v>2834</v>
      </c>
      <c r="Q278" t="s">
        <v>3162</v>
      </c>
      <c r="R278" t="s">
        <v>2665</v>
      </c>
      <c r="S278" t="s">
        <v>2781</v>
      </c>
      <c r="T278" t="s">
        <v>2922</v>
      </c>
      <c r="U278" t="s">
        <v>2665</v>
      </c>
      <c r="V278" t="s">
        <v>3163</v>
      </c>
      <c r="W278" t="s">
        <v>3164</v>
      </c>
      <c r="X278" t="s">
        <v>2665</v>
      </c>
      <c r="Y278" t="s">
        <v>2054</v>
      </c>
      <c r="Z278" t="s">
        <v>1136</v>
      </c>
      <c r="AA278" t="s">
        <v>2850</v>
      </c>
      <c r="AB278" t="s">
        <v>2850</v>
      </c>
      <c r="AC278" t="s">
        <v>2665</v>
      </c>
      <c r="AD278" t="s">
        <v>2054</v>
      </c>
      <c r="AE278" t="s">
        <v>2054</v>
      </c>
    </row>
    <row r="279" spans="1:31" x14ac:dyDescent="0.25">
      <c r="A279" t="s">
        <v>1430</v>
      </c>
      <c r="B279" t="s">
        <v>870</v>
      </c>
      <c r="C279" t="s">
        <v>3260</v>
      </c>
      <c r="D279" t="s">
        <v>890</v>
      </c>
      <c r="E279" t="s">
        <v>2666</v>
      </c>
      <c r="F279" t="s">
        <v>3261</v>
      </c>
      <c r="G279" t="s">
        <v>2666</v>
      </c>
      <c r="H279" t="s">
        <v>2054</v>
      </c>
      <c r="I279" t="s">
        <v>2741</v>
      </c>
      <c r="J279" t="s">
        <v>2054</v>
      </c>
      <c r="K279" t="s">
        <v>2665</v>
      </c>
      <c r="L279" t="s">
        <v>1136</v>
      </c>
      <c r="M279" t="s">
        <v>2781</v>
      </c>
      <c r="N279" t="s">
        <v>2665</v>
      </c>
      <c r="O279" t="s">
        <v>3161</v>
      </c>
      <c r="P279" t="s">
        <v>2834</v>
      </c>
      <c r="Q279" t="s">
        <v>3162</v>
      </c>
      <c r="R279" t="s">
        <v>2665</v>
      </c>
      <c r="S279" t="s">
        <v>2781</v>
      </c>
      <c r="T279" t="s">
        <v>2922</v>
      </c>
      <c r="U279" t="s">
        <v>2665</v>
      </c>
      <c r="V279" t="s">
        <v>3163</v>
      </c>
      <c r="W279" t="s">
        <v>3164</v>
      </c>
      <c r="X279" t="s">
        <v>2665</v>
      </c>
      <c r="Y279" t="s">
        <v>2054</v>
      </c>
      <c r="Z279" t="s">
        <v>1136</v>
      </c>
      <c r="AA279" t="s">
        <v>2850</v>
      </c>
      <c r="AB279" t="s">
        <v>2850</v>
      </c>
      <c r="AC279" t="s">
        <v>2665</v>
      </c>
      <c r="AD279" t="s">
        <v>2054</v>
      </c>
      <c r="AE279" t="s">
        <v>2054</v>
      </c>
    </row>
    <row r="280" spans="1:31" x14ac:dyDescent="0.25">
      <c r="A280" t="s">
        <v>1431</v>
      </c>
      <c r="B280" t="s">
        <v>871</v>
      </c>
      <c r="C280" t="s">
        <v>3262</v>
      </c>
      <c r="D280" t="s">
        <v>888</v>
      </c>
      <c r="E280" t="s">
        <v>2666</v>
      </c>
      <c r="F280" t="s">
        <v>3263</v>
      </c>
      <c r="G280" t="s">
        <v>2666</v>
      </c>
      <c r="H280" t="s">
        <v>2054</v>
      </c>
      <c r="I280" t="s">
        <v>2741</v>
      </c>
      <c r="J280" t="s">
        <v>2054</v>
      </c>
      <c r="K280" t="s">
        <v>2665</v>
      </c>
      <c r="L280" t="s">
        <v>1136</v>
      </c>
      <c r="M280" t="s">
        <v>2781</v>
      </c>
      <c r="N280" t="s">
        <v>2665</v>
      </c>
      <c r="O280" t="s">
        <v>3161</v>
      </c>
      <c r="P280" t="s">
        <v>2834</v>
      </c>
      <c r="Q280" t="s">
        <v>3162</v>
      </c>
      <c r="R280" t="s">
        <v>2665</v>
      </c>
      <c r="S280" t="s">
        <v>2781</v>
      </c>
      <c r="T280" t="s">
        <v>2922</v>
      </c>
      <c r="U280" t="s">
        <v>2665</v>
      </c>
      <c r="V280" t="s">
        <v>3163</v>
      </c>
      <c r="W280" t="s">
        <v>3164</v>
      </c>
      <c r="X280" t="s">
        <v>2665</v>
      </c>
      <c r="Y280" t="s">
        <v>2054</v>
      </c>
      <c r="Z280" t="s">
        <v>1136</v>
      </c>
      <c r="AA280" t="s">
        <v>2850</v>
      </c>
      <c r="AB280" t="s">
        <v>2850</v>
      </c>
      <c r="AC280" t="s">
        <v>2665</v>
      </c>
      <c r="AD280" t="s">
        <v>2054</v>
      </c>
      <c r="AE280" t="s">
        <v>2054</v>
      </c>
    </row>
    <row r="281" spans="1:31" x14ac:dyDescent="0.25">
      <c r="A281" t="s">
        <v>1432</v>
      </c>
      <c r="B281" t="s">
        <v>872</v>
      </c>
      <c r="C281" t="s">
        <v>3264</v>
      </c>
      <c r="D281" t="s">
        <v>889</v>
      </c>
      <c r="E281" t="s">
        <v>2666</v>
      </c>
      <c r="F281" t="s">
        <v>3265</v>
      </c>
      <c r="G281" t="s">
        <v>2666</v>
      </c>
      <c r="H281" t="s">
        <v>2054</v>
      </c>
      <c r="I281" t="s">
        <v>2741</v>
      </c>
      <c r="J281" t="s">
        <v>2054</v>
      </c>
      <c r="K281" t="s">
        <v>2665</v>
      </c>
      <c r="L281" t="s">
        <v>1136</v>
      </c>
      <c r="M281" t="s">
        <v>2781</v>
      </c>
      <c r="N281" t="s">
        <v>2665</v>
      </c>
      <c r="O281" t="s">
        <v>3161</v>
      </c>
      <c r="P281" t="s">
        <v>2834</v>
      </c>
      <c r="Q281" t="s">
        <v>3162</v>
      </c>
      <c r="R281" t="s">
        <v>2665</v>
      </c>
      <c r="S281" t="s">
        <v>2781</v>
      </c>
      <c r="T281" t="s">
        <v>2922</v>
      </c>
      <c r="U281" t="s">
        <v>2665</v>
      </c>
      <c r="V281" t="s">
        <v>3163</v>
      </c>
      <c r="W281" t="s">
        <v>3164</v>
      </c>
      <c r="X281" t="s">
        <v>2665</v>
      </c>
      <c r="Y281" t="s">
        <v>2054</v>
      </c>
      <c r="Z281" t="s">
        <v>1136</v>
      </c>
      <c r="AA281" t="s">
        <v>2850</v>
      </c>
      <c r="AB281" t="s">
        <v>2850</v>
      </c>
      <c r="AC281" t="s">
        <v>2665</v>
      </c>
      <c r="AD281" t="s">
        <v>2054</v>
      </c>
      <c r="AE281" t="s">
        <v>2054</v>
      </c>
    </row>
    <row r="282" spans="1:31" x14ac:dyDescent="0.25">
      <c r="A282" t="s">
        <v>1433</v>
      </c>
      <c r="B282" t="s">
        <v>873</v>
      </c>
      <c r="C282" t="s">
        <v>3266</v>
      </c>
      <c r="D282" t="s">
        <v>3267</v>
      </c>
      <c r="E282" t="s">
        <v>2666</v>
      </c>
      <c r="F282" t="s">
        <v>2889</v>
      </c>
      <c r="G282" t="s">
        <v>2666</v>
      </c>
      <c r="H282" t="s">
        <v>2054</v>
      </c>
      <c r="I282" t="s">
        <v>2741</v>
      </c>
      <c r="J282" t="s">
        <v>2054</v>
      </c>
      <c r="K282" t="s">
        <v>2665</v>
      </c>
      <c r="L282" t="s">
        <v>1136</v>
      </c>
      <c r="M282" t="s">
        <v>2781</v>
      </c>
      <c r="N282" t="s">
        <v>2665</v>
      </c>
      <c r="O282" t="s">
        <v>3161</v>
      </c>
      <c r="P282" t="s">
        <v>2834</v>
      </c>
      <c r="Q282" t="s">
        <v>3162</v>
      </c>
      <c r="R282" t="s">
        <v>2665</v>
      </c>
      <c r="S282" t="s">
        <v>2781</v>
      </c>
      <c r="T282" t="s">
        <v>2922</v>
      </c>
      <c r="U282" t="s">
        <v>2665</v>
      </c>
      <c r="V282" t="s">
        <v>3163</v>
      </c>
      <c r="W282" t="s">
        <v>3164</v>
      </c>
      <c r="X282" t="s">
        <v>2665</v>
      </c>
      <c r="Y282" t="s">
        <v>2054</v>
      </c>
      <c r="Z282" t="s">
        <v>1136</v>
      </c>
      <c r="AA282" t="s">
        <v>2797</v>
      </c>
      <c r="AB282" t="s">
        <v>2797</v>
      </c>
      <c r="AC282" t="s">
        <v>2665</v>
      </c>
      <c r="AD282" t="s">
        <v>2054</v>
      </c>
      <c r="AE282" t="s">
        <v>2054</v>
      </c>
    </row>
    <row r="283" spans="1:31" x14ac:dyDescent="0.25">
      <c r="A283" t="s">
        <v>1434</v>
      </c>
      <c r="B283" t="s">
        <v>874</v>
      </c>
      <c r="C283" t="s">
        <v>3268</v>
      </c>
      <c r="D283" t="s">
        <v>3269</v>
      </c>
      <c r="E283" t="s">
        <v>2666</v>
      </c>
      <c r="F283" t="s">
        <v>3270</v>
      </c>
      <c r="G283" t="s">
        <v>2666</v>
      </c>
      <c r="H283" t="s">
        <v>2054</v>
      </c>
      <c r="I283" t="s">
        <v>2741</v>
      </c>
      <c r="J283" t="s">
        <v>2054</v>
      </c>
      <c r="K283" t="s">
        <v>2665</v>
      </c>
      <c r="L283" t="s">
        <v>1136</v>
      </c>
      <c r="M283" t="s">
        <v>2781</v>
      </c>
      <c r="N283" t="s">
        <v>2665</v>
      </c>
      <c r="O283" t="s">
        <v>3161</v>
      </c>
      <c r="P283" t="s">
        <v>2834</v>
      </c>
      <c r="Q283" t="s">
        <v>3162</v>
      </c>
      <c r="R283" t="s">
        <v>2665</v>
      </c>
      <c r="S283" t="s">
        <v>2781</v>
      </c>
      <c r="T283" t="s">
        <v>2922</v>
      </c>
      <c r="U283" t="s">
        <v>2665</v>
      </c>
      <c r="V283" t="s">
        <v>3163</v>
      </c>
      <c r="W283" t="s">
        <v>3164</v>
      </c>
      <c r="X283" t="s">
        <v>2665</v>
      </c>
      <c r="Y283" t="s">
        <v>2054</v>
      </c>
      <c r="Z283" t="s">
        <v>1136</v>
      </c>
      <c r="AA283" t="s">
        <v>2797</v>
      </c>
      <c r="AB283" t="s">
        <v>2797</v>
      </c>
      <c r="AC283" t="s">
        <v>2665</v>
      </c>
      <c r="AD283" t="s">
        <v>2054</v>
      </c>
      <c r="AE283" t="s">
        <v>2054</v>
      </c>
    </row>
    <row r="284" spans="1:31" x14ac:dyDescent="0.25">
      <c r="A284" t="s">
        <v>1435</v>
      </c>
      <c r="B284" t="s">
        <v>25</v>
      </c>
      <c r="C284" t="s">
        <v>3271</v>
      </c>
      <c r="D284" t="s">
        <v>220</v>
      </c>
      <c r="E284" t="s">
        <v>2666</v>
      </c>
      <c r="F284" t="s">
        <v>3272</v>
      </c>
      <c r="G284" t="s">
        <v>2666</v>
      </c>
      <c r="H284" t="s">
        <v>2054</v>
      </c>
      <c r="I284" t="s">
        <v>2741</v>
      </c>
      <c r="J284" t="s">
        <v>2054</v>
      </c>
      <c r="K284" t="s">
        <v>2665</v>
      </c>
      <c r="L284" t="s">
        <v>1136</v>
      </c>
      <c r="M284" t="s">
        <v>2781</v>
      </c>
      <c r="N284" t="s">
        <v>2665</v>
      </c>
      <c r="O284" t="s">
        <v>3161</v>
      </c>
      <c r="P284" t="s">
        <v>2834</v>
      </c>
      <c r="Q284" t="s">
        <v>3162</v>
      </c>
      <c r="R284" t="s">
        <v>2665</v>
      </c>
      <c r="S284" t="s">
        <v>2781</v>
      </c>
      <c r="T284" t="s">
        <v>2922</v>
      </c>
      <c r="U284" t="s">
        <v>2665</v>
      </c>
      <c r="V284" t="s">
        <v>3163</v>
      </c>
      <c r="W284" t="s">
        <v>3164</v>
      </c>
      <c r="X284" t="s">
        <v>2665</v>
      </c>
      <c r="Y284" t="s">
        <v>2054</v>
      </c>
      <c r="Z284" t="s">
        <v>1136</v>
      </c>
      <c r="AA284" t="s">
        <v>2850</v>
      </c>
      <c r="AB284" t="s">
        <v>2850</v>
      </c>
      <c r="AC284" t="s">
        <v>2665</v>
      </c>
      <c r="AD284" t="s">
        <v>2054</v>
      </c>
      <c r="AE284" t="s">
        <v>2054</v>
      </c>
    </row>
    <row r="285" spans="1:31" x14ac:dyDescent="0.25">
      <c r="A285" t="s">
        <v>1436</v>
      </c>
      <c r="B285" t="s">
        <v>26</v>
      </c>
      <c r="C285" t="s">
        <v>3273</v>
      </c>
      <c r="D285" t="s">
        <v>221</v>
      </c>
      <c r="E285" t="s">
        <v>2666</v>
      </c>
      <c r="F285" t="s">
        <v>3274</v>
      </c>
      <c r="G285" t="s">
        <v>2666</v>
      </c>
      <c r="H285" t="s">
        <v>2054</v>
      </c>
      <c r="I285" t="s">
        <v>2741</v>
      </c>
      <c r="J285" t="s">
        <v>2054</v>
      </c>
      <c r="K285" t="s">
        <v>2665</v>
      </c>
      <c r="L285" t="s">
        <v>1136</v>
      </c>
      <c r="M285" t="s">
        <v>2781</v>
      </c>
      <c r="N285" t="s">
        <v>2665</v>
      </c>
      <c r="O285" t="s">
        <v>3161</v>
      </c>
      <c r="P285" t="s">
        <v>2834</v>
      </c>
      <c r="Q285" t="s">
        <v>3162</v>
      </c>
      <c r="R285" t="s">
        <v>2665</v>
      </c>
      <c r="S285" t="s">
        <v>2781</v>
      </c>
      <c r="T285" t="s">
        <v>2922</v>
      </c>
      <c r="U285" t="s">
        <v>2665</v>
      </c>
      <c r="V285" t="s">
        <v>3163</v>
      </c>
      <c r="W285" t="s">
        <v>3164</v>
      </c>
      <c r="X285" t="s">
        <v>2665</v>
      </c>
      <c r="Y285" t="s">
        <v>2054</v>
      </c>
      <c r="Z285" t="s">
        <v>1136</v>
      </c>
      <c r="AA285" t="s">
        <v>2850</v>
      </c>
      <c r="AB285" t="s">
        <v>2850</v>
      </c>
      <c r="AC285" t="s">
        <v>2665</v>
      </c>
      <c r="AD285" t="s">
        <v>2054</v>
      </c>
      <c r="AE285" t="s">
        <v>2054</v>
      </c>
    </row>
    <row r="286" spans="1:31" x14ac:dyDescent="0.25">
      <c r="A286" t="s">
        <v>1424</v>
      </c>
      <c r="B286" t="s">
        <v>27</v>
      </c>
      <c r="C286" t="s">
        <v>3275</v>
      </c>
      <c r="D286" t="s">
        <v>222</v>
      </c>
      <c r="E286" t="s">
        <v>2666</v>
      </c>
      <c r="F286" t="s">
        <v>3276</v>
      </c>
      <c r="G286" t="s">
        <v>2666</v>
      </c>
      <c r="H286" t="s">
        <v>2054</v>
      </c>
      <c r="I286" t="s">
        <v>2741</v>
      </c>
      <c r="J286" t="s">
        <v>2054</v>
      </c>
      <c r="K286" t="s">
        <v>2665</v>
      </c>
      <c r="L286" t="s">
        <v>1136</v>
      </c>
      <c r="M286" t="s">
        <v>2781</v>
      </c>
      <c r="N286" t="s">
        <v>2665</v>
      </c>
      <c r="O286" t="s">
        <v>3161</v>
      </c>
      <c r="P286" t="s">
        <v>2834</v>
      </c>
      <c r="Q286" t="s">
        <v>3162</v>
      </c>
      <c r="R286" t="s">
        <v>2665</v>
      </c>
      <c r="S286" t="s">
        <v>2781</v>
      </c>
      <c r="T286" t="s">
        <v>2922</v>
      </c>
      <c r="U286" t="s">
        <v>2665</v>
      </c>
      <c r="V286" t="s">
        <v>3163</v>
      </c>
      <c r="W286" t="s">
        <v>3164</v>
      </c>
      <c r="X286" t="s">
        <v>2665</v>
      </c>
      <c r="Y286" t="s">
        <v>2054</v>
      </c>
      <c r="Z286" t="s">
        <v>1136</v>
      </c>
      <c r="AA286" t="s">
        <v>2850</v>
      </c>
      <c r="AB286" t="s">
        <v>2850</v>
      </c>
      <c r="AC286" t="s">
        <v>2665</v>
      </c>
      <c r="AD286" t="s">
        <v>2054</v>
      </c>
      <c r="AE286" t="s">
        <v>2054</v>
      </c>
    </row>
    <row r="287" spans="1:31" x14ac:dyDescent="0.25">
      <c r="A287" t="s">
        <v>1437</v>
      </c>
      <c r="B287" t="s">
        <v>28</v>
      </c>
      <c r="C287" t="s">
        <v>3277</v>
      </c>
      <c r="D287" t="s">
        <v>223</v>
      </c>
      <c r="E287" t="s">
        <v>2666</v>
      </c>
      <c r="F287" t="s">
        <v>3278</v>
      </c>
      <c r="G287" t="s">
        <v>2666</v>
      </c>
      <c r="H287" t="s">
        <v>2054</v>
      </c>
      <c r="I287" t="s">
        <v>2741</v>
      </c>
      <c r="J287" t="s">
        <v>2054</v>
      </c>
      <c r="K287" t="s">
        <v>2665</v>
      </c>
      <c r="L287" t="s">
        <v>1136</v>
      </c>
      <c r="M287" t="s">
        <v>2781</v>
      </c>
      <c r="N287" t="s">
        <v>2665</v>
      </c>
      <c r="O287" t="s">
        <v>3161</v>
      </c>
      <c r="P287" t="s">
        <v>2834</v>
      </c>
      <c r="Q287" t="s">
        <v>3162</v>
      </c>
      <c r="R287" t="s">
        <v>2665</v>
      </c>
      <c r="S287" t="s">
        <v>2781</v>
      </c>
      <c r="T287" t="s">
        <v>2922</v>
      </c>
      <c r="U287" t="s">
        <v>2665</v>
      </c>
      <c r="V287" t="s">
        <v>3163</v>
      </c>
      <c r="W287" t="s">
        <v>3164</v>
      </c>
      <c r="X287" t="s">
        <v>2665</v>
      </c>
      <c r="Y287" t="s">
        <v>2054</v>
      </c>
      <c r="Z287" t="s">
        <v>1136</v>
      </c>
      <c r="AA287" t="s">
        <v>2850</v>
      </c>
      <c r="AB287" t="s">
        <v>2850</v>
      </c>
      <c r="AC287" t="s">
        <v>2665</v>
      </c>
      <c r="AD287" t="s">
        <v>2054</v>
      </c>
      <c r="AE287" t="s">
        <v>2054</v>
      </c>
    </row>
    <row r="288" spans="1:31" x14ac:dyDescent="0.25">
      <c r="A288" t="s">
        <v>1438</v>
      </c>
      <c r="B288" t="s">
        <v>29</v>
      </c>
      <c r="C288" t="s">
        <v>3279</v>
      </c>
      <c r="D288" t="s">
        <v>224</v>
      </c>
      <c r="E288" t="s">
        <v>2666</v>
      </c>
      <c r="F288" t="s">
        <v>3280</v>
      </c>
      <c r="G288" t="s">
        <v>2666</v>
      </c>
      <c r="H288" t="s">
        <v>2054</v>
      </c>
      <c r="I288" t="s">
        <v>2741</v>
      </c>
      <c r="J288" t="s">
        <v>2054</v>
      </c>
      <c r="K288" t="s">
        <v>2665</v>
      </c>
      <c r="L288" t="s">
        <v>1136</v>
      </c>
      <c r="M288" t="s">
        <v>2781</v>
      </c>
      <c r="N288" t="s">
        <v>2665</v>
      </c>
      <c r="O288" t="s">
        <v>3161</v>
      </c>
      <c r="P288" t="s">
        <v>2834</v>
      </c>
      <c r="Q288" t="s">
        <v>3162</v>
      </c>
      <c r="R288" t="s">
        <v>2665</v>
      </c>
      <c r="S288" t="s">
        <v>2781</v>
      </c>
      <c r="T288" t="s">
        <v>2922</v>
      </c>
      <c r="U288" t="s">
        <v>2665</v>
      </c>
      <c r="V288" t="s">
        <v>3163</v>
      </c>
      <c r="W288" t="s">
        <v>3164</v>
      </c>
      <c r="X288" t="s">
        <v>2665</v>
      </c>
      <c r="Y288" t="s">
        <v>2054</v>
      </c>
      <c r="Z288" t="s">
        <v>1136</v>
      </c>
      <c r="AA288" t="s">
        <v>2797</v>
      </c>
      <c r="AB288" t="s">
        <v>2797</v>
      </c>
      <c r="AC288" t="s">
        <v>2665</v>
      </c>
      <c r="AD288" t="s">
        <v>2054</v>
      </c>
      <c r="AE288" t="s">
        <v>2054</v>
      </c>
    </row>
    <row r="289" spans="1:31" x14ac:dyDescent="0.25">
      <c r="A289" t="s">
        <v>1439</v>
      </c>
      <c r="B289" t="s">
        <v>30</v>
      </c>
      <c r="C289" t="s">
        <v>3281</v>
      </c>
      <c r="D289" t="s">
        <v>225</v>
      </c>
      <c r="E289" t="s">
        <v>2666</v>
      </c>
      <c r="F289" t="s">
        <v>3239</v>
      </c>
      <c r="G289" t="s">
        <v>2666</v>
      </c>
      <c r="H289" t="s">
        <v>2054</v>
      </c>
      <c r="I289" t="s">
        <v>2741</v>
      </c>
      <c r="J289" t="s">
        <v>2054</v>
      </c>
      <c r="K289" t="s">
        <v>2665</v>
      </c>
      <c r="L289" t="s">
        <v>1136</v>
      </c>
      <c r="M289" t="s">
        <v>2781</v>
      </c>
      <c r="N289" t="s">
        <v>2665</v>
      </c>
      <c r="O289" t="s">
        <v>3161</v>
      </c>
      <c r="P289" t="s">
        <v>2834</v>
      </c>
      <c r="Q289" t="s">
        <v>3162</v>
      </c>
      <c r="R289" t="s">
        <v>2665</v>
      </c>
      <c r="S289" t="s">
        <v>2781</v>
      </c>
      <c r="T289" t="s">
        <v>2922</v>
      </c>
      <c r="U289" t="s">
        <v>2665</v>
      </c>
      <c r="V289" t="s">
        <v>3163</v>
      </c>
      <c r="W289" t="s">
        <v>3164</v>
      </c>
      <c r="X289" t="s">
        <v>2665</v>
      </c>
      <c r="Y289" t="s">
        <v>2054</v>
      </c>
      <c r="Z289" t="s">
        <v>1136</v>
      </c>
      <c r="AA289" t="s">
        <v>2797</v>
      </c>
      <c r="AB289" t="s">
        <v>2797</v>
      </c>
      <c r="AC289" t="s">
        <v>2665</v>
      </c>
      <c r="AD289" t="s">
        <v>2054</v>
      </c>
      <c r="AE289" t="s">
        <v>2054</v>
      </c>
    </row>
    <row r="290" spans="1:31" x14ac:dyDescent="0.25">
      <c r="A290" t="s">
        <v>1441</v>
      </c>
      <c r="B290" t="s">
        <v>1440</v>
      </c>
      <c r="C290" t="s">
        <v>3282</v>
      </c>
      <c r="D290" t="s">
        <v>3283</v>
      </c>
      <c r="E290" t="s">
        <v>2666</v>
      </c>
      <c r="F290" t="s">
        <v>3272</v>
      </c>
      <c r="G290" t="s">
        <v>2666</v>
      </c>
      <c r="H290" t="s">
        <v>2054</v>
      </c>
      <c r="I290" t="s">
        <v>2741</v>
      </c>
      <c r="J290" t="s">
        <v>2054</v>
      </c>
      <c r="K290" t="s">
        <v>2665</v>
      </c>
      <c r="L290" t="s">
        <v>1136</v>
      </c>
      <c r="M290" t="s">
        <v>2781</v>
      </c>
      <c r="N290" t="s">
        <v>2665</v>
      </c>
      <c r="O290" t="s">
        <v>3161</v>
      </c>
      <c r="P290" t="s">
        <v>2834</v>
      </c>
      <c r="Q290" t="s">
        <v>3162</v>
      </c>
      <c r="R290" t="s">
        <v>2665</v>
      </c>
      <c r="S290" t="s">
        <v>2781</v>
      </c>
      <c r="T290" t="s">
        <v>2922</v>
      </c>
      <c r="U290" t="s">
        <v>2665</v>
      </c>
      <c r="V290" t="s">
        <v>3163</v>
      </c>
      <c r="W290" t="s">
        <v>3164</v>
      </c>
      <c r="X290" t="s">
        <v>2665</v>
      </c>
      <c r="Y290" t="s">
        <v>2054</v>
      </c>
      <c r="Z290" t="s">
        <v>1136</v>
      </c>
      <c r="AA290" t="s">
        <v>2850</v>
      </c>
      <c r="AB290" t="s">
        <v>2850</v>
      </c>
      <c r="AC290" t="s">
        <v>2665</v>
      </c>
      <c r="AD290" t="s">
        <v>2054</v>
      </c>
      <c r="AE290" t="s">
        <v>2054</v>
      </c>
    </row>
    <row r="291" spans="1:31" x14ac:dyDescent="0.25">
      <c r="A291" t="s">
        <v>1443</v>
      </c>
      <c r="B291" t="s">
        <v>1442</v>
      </c>
      <c r="C291" t="s">
        <v>3284</v>
      </c>
      <c r="D291" t="s">
        <v>3285</v>
      </c>
      <c r="E291" t="s">
        <v>2666</v>
      </c>
      <c r="F291" t="s">
        <v>3276</v>
      </c>
      <c r="G291" t="s">
        <v>2666</v>
      </c>
      <c r="H291" t="s">
        <v>2054</v>
      </c>
      <c r="I291" t="s">
        <v>2741</v>
      </c>
      <c r="J291" t="s">
        <v>2054</v>
      </c>
      <c r="K291" t="s">
        <v>2665</v>
      </c>
      <c r="L291" t="s">
        <v>1136</v>
      </c>
      <c r="M291" t="s">
        <v>2781</v>
      </c>
      <c r="N291" t="s">
        <v>2665</v>
      </c>
      <c r="O291" t="s">
        <v>3161</v>
      </c>
      <c r="P291" t="s">
        <v>2834</v>
      </c>
      <c r="Q291" t="s">
        <v>3162</v>
      </c>
      <c r="R291" t="s">
        <v>2665</v>
      </c>
      <c r="S291" t="s">
        <v>2781</v>
      </c>
      <c r="T291" t="s">
        <v>2922</v>
      </c>
      <c r="U291" t="s">
        <v>2665</v>
      </c>
      <c r="V291" t="s">
        <v>3163</v>
      </c>
      <c r="W291" t="s">
        <v>3164</v>
      </c>
      <c r="X291" t="s">
        <v>2665</v>
      </c>
      <c r="Y291" t="s">
        <v>2054</v>
      </c>
      <c r="Z291" t="s">
        <v>1136</v>
      </c>
      <c r="AA291" t="s">
        <v>2850</v>
      </c>
      <c r="AB291" t="s">
        <v>2850</v>
      </c>
      <c r="AC291" t="s">
        <v>2665</v>
      </c>
      <c r="AD291" t="s">
        <v>2054</v>
      </c>
      <c r="AE291" t="s">
        <v>2054</v>
      </c>
    </row>
    <row r="292" spans="1:31" x14ac:dyDescent="0.25">
      <c r="A292" t="s">
        <v>1445</v>
      </c>
      <c r="B292" t="s">
        <v>1444</v>
      </c>
      <c r="C292" t="s">
        <v>3286</v>
      </c>
      <c r="D292" t="s">
        <v>3287</v>
      </c>
      <c r="E292" t="s">
        <v>2666</v>
      </c>
      <c r="F292" t="s">
        <v>3278</v>
      </c>
      <c r="G292" t="s">
        <v>2666</v>
      </c>
      <c r="H292" t="s">
        <v>2054</v>
      </c>
      <c r="I292" t="s">
        <v>2741</v>
      </c>
      <c r="J292" t="s">
        <v>2054</v>
      </c>
      <c r="K292" t="s">
        <v>2665</v>
      </c>
      <c r="L292" t="s">
        <v>1136</v>
      </c>
      <c r="M292" t="s">
        <v>2781</v>
      </c>
      <c r="N292" t="s">
        <v>2665</v>
      </c>
      <c r="O292" t="s">
        <v>3161</v>
      </c>
      <c r="P292" t="s">
        <v>2834</v>
      </c>
      <c r="Q292" t="s">
        <v>3162</v>
      </c>
      <c r="R292" t="s">
        <v>2665</v>
      </c>
      <c r="S292" t="s">
        <v>2781</v>
      </c>
      <c r="T292" t="s">
        <v>2922</v>
      </c>
      <c r="U292" t="s">
        <v>2665</v>
      </c>
      <c r="V292" t="s">
        <v>3163</v>
      </c>
      <c r="W292" t="s">
        <v>3164</v>
      </c>
      <c r="X292" t="s">
        <v>2665</v>
      </c>
      <c r="Y292" t="s">
        <v>2054</v>
      </c>
      <c r="Z292" t="s">
        <v>1136</v>
      </c>
      <c r="AA292" t="s">
        <v>2850</v>
      </c>
      <c r="AB292" t="s">
        <v>2850</v>
      </c>
      <c r="AC292" t="s">
        <v>2665</v>
      </c>
      <c r="AD292" t="s">
        <v>2054</v>
      </c>
      <c r="AE292" t="s">
        <v>2054</v>
      </c>
    </row>
    <row r="293" spans="1:31" x14ac:dyDescent="0.25">
      <c r="A293" t="s">
        <v>1447</v>
      </c>
      <c r="B293" t="s">
        <v>1446</v>
      </c>
      <c r="C293" t="s">
        <v>3288</v>
      </c>
      <c r="D293" t="s">
        <v>3289</v>
      </c>
      <c r="E293" t="s">
        <v>2666</v>
      </c>
      <c r="F293" t="s">
        <v>3290</v>
      </c>
      <c r="G293" t="s">
        <v>2666</v>
      </c>
      <c r="H293" t="s">
        <v>2054</v>
      </c>
      <c r="I293" t="s">
        <v>2741</v>
      </c>
      <c r="J293" t="s">
        <v>2054</v>
      </c>
      <c r="K293" t="s">
        <v>2665</v>
      </c>
      <c r="L293" t="s">
        <v>1136</v>
      </c>
      <c r="M293" t="s">
        <v>2781</v>
      </c>
      <c r="N293" t="s">
        <v>2665</v>
      </c>
      <c r="O293" t="s">
        <v>3161</v>
      </c>
      <c r="P293" t="s">
        <v>2834</v>
      </c>
      <c r="Q293" t="s">
        <v>3162</v>
      </c>
      <c r="R293" t="s">
        <v>2665</v>
      </c>
      <c r="S293" t="s">
        <v>2781</v>
      </c>
      <c r="T293" t="s">
        <v>2922</v>
      </c>
      <c r="U293" t="s">
        <v>2665</v>
      </c>
      <c r="V293" t="s">
        <v>3163</v>
      </c>
      <c r="W293" t="s">
        <v>3164</v>
      </c>
      <c r="X293" t="s">
        <v>2665</v>
      </c>
      <c r="Y293" t="s">
        <v>2054</v>
      </c>
      <c r="Z293" t="s">
        <v>1136</v>
      </c>
      <c r="AA293" t="s">
        <v>2797</v>
      </c>
      <c r="AB293" t="s">
        <v>2797</v>
      </c>
      <c r="AC293" t="s">
        <v>2665</v>
      </c>
      <c r="AD293" t="s">
        <v>2054</v>
      </c>
      <c r="AE293" t="s">
        <v>2054</v>
      </c>
    </row>
    <row r="294" spans="1:31" x14ac:dyDescent="0.25">
      <c r="A294" t="s">
        <v>1448</v>
      </c>
      <c r="B294" t="s">
        <v>31</v>
      </c>
      <c r="C294" t="s">
        <v>3291</v>
      </c>
      <c r="D294" t="s">
        <v>3292</v>
      </c>
      <c r="E294" t="s">
        <v>2666</v>
      </c>
      <c r="F294" t="s">
        <v>3272</v>
      </c>
      <c r="G294" t="s">
        <v>2666</v>
      </c>
      <c r="H294" t="s">
        <v>2054</v>
      </c>
      <c r="I294" t="s">
        <v>2741</v>
      </c>
      <c r="J294" t="s">
        <v>2054</v>
      </c>
      <c r="K294" t="s">
        <v>2665</v>
      </c>
      <c r="L294" t="s">
        <v>1136</v>
      </c>
      <c r="M294" t="s">
        <v>2781</v>
      </c>
      <c r="N294" t="s">
        <v>2665</v>
      </c>
      <c r="O294" t="s">
        <v>3161</v>
      </c>
      <c r="P294" t="s">
        <v>2834</v>
      </c>
      <c r="Q294" t="s">
        <v>3162</v>
      </c>
      <c r="R294" t="s">
        <v>2665</v>
      </c>
      <c r="S294" t="s">
        <v>2781</v>
      </c>
      <c r="T294" t="s">
        <v>2922</v>
      </c>
      <c r="U294" t="s">
        <v>2665</v>
      </c>
      <c r="V294" t="s">
        <v>3163</v>
      </c>
      <c r="W294" t="s">
        <v>3164</v>
      </c>
      <c r="X294" t="s">
        <v>2665</v>
      </c>
      <c r="Y294" t="s">
        <v>2054</v>
      </c>
      <c r="Z294" t="s">
        <v>1136</v>
      </c>
      <c r="AA294" t="s">
        <v>2850</v>
      </c>
      <c r="AB294" t="s">
        <v>2850</v>
      </c>
      <c r="AC294" t="s">
        <v>2665</v>
      </c>
      <c r="AD294" t="s">
        <v>2054</v>
      </c>
      <c r="AE294" t="s">
        <v>2054</v>
      </c>
    </row>
    <row r="295" spans="1:31" x14ac:dyDescent="0.25">
      <c r="A295" t="s">
        <v>1449</v>
      </c>
      <c r="B295" t="s">
        <v>32</v>
      </c>
      <c r="C295" t="s">
        <v>3293</v>
      </c>
      <c r="D295" t="s">
        <v>3294</v>
      </c>
      <c r="E295" t="s">
        <v>2666</v>
      </c>
      <c r="F295" t="s">
        <v>3276</v>
      </c>
      <c r="G295" t="s">
        <v>2666</v>
      </c>
      <c r="H295" t="s">
        <v>2054</v>
      </c>
      <c r="I295" t="s">
        <v>2741</v>
      </c>
      <c r="J295" t="s">
        <v>2054</v>
      </c>
      <c r="K295" t="s">
        <v>2665</v>
      </c>
      <c r="L295" t="s">
        <v>1136</v>
      </c>
      <c r="M295" t="s">
        <v>2781</v>
      </c>
      <c r="N295" t="s">
        <v>2665</v>
      </c>
      <c r="O295" t="s">
        <v>3161</v>
      </c>
      <c r="P295" t="s">
        <v>2834</v>
      </c>
      <c r="Q295" t="s">
        <v>3162</v>
      </c>
      <c r="R295" t="s">
        <v>2665</v>
      </c>
      <c r="S295" t="s">
        <v>2781</v>
      </c>
      <c r="T295" t="s">
        <v>2922</v>
      </c>
      <c r="U295" t="s">
        <v>2665</v>
      </c>
      <c r="V295" t="s">
        <v>3163</v>
      </c>
      <c r="W295" t="s">
        <v>3164</v>
      </c>
      <c r="X295" t="s">
        <v>2665</v>
      </c>
      <c r="Y295" t="s">
        <v>2054</v>
      </c>
      <c r="Z295" t="s">
        <v>1136</v>
      </c>
      <c r="AA295" t="s">
        <v>2850</v>
      </c>
      <c r="AB295" t="s">
        <v>2850</v>
      </c>
      <c r="AC295" t="s">
        <v>2665</v>
      </c>
      <c r="AD295" t="s">
        <v>2054</v>
      </c>
      <c r="AE295" t="s">
        <v>2054</v>
      </c>
    </row>
    <row r="296" spans="1:31" x14ac:dyDescent="0.25">
      <c r="A296" t="s">
        <v>1450</v>
      </c>
      <c r="B296" t="s">
        <v>33</v>
      </c>
      <c r="C296" t="s">
        <v>3295</v>
      </c>
      <c r="D296" t="s">
        <v>3296</v>
      </c>
      <c r="E296" t="s">
        <v>2666</v>
      </c>
      <c r="F296" t="s">
        <v>3278</v>
      </c>
      <c r="G296" t="s">
        <v>2666</v>
      </c>
      <c r="H296" t="s">
        <v>2054</v>
      </c>
      <c r="I296" t="s">
        <v>2741</v>
      </c>
      <c r="J296" t="s">
        <v>2054</v>
      </c>
      <c r="K296" t="s">
        <v>2665</v>
      </c>
      <c r="L296" t="s">
        <v>1136</v>
      </c>
      <c r="M296" t="s">
        <v>2781</v>
      </c>
      <c r="N296" t="s">
        <v>2665</v>
      </c>
      <c r="O296" t="s">
        <v>3161</v>
      </c>
      <c r="P296" t="s">
        <v>2834</v>
      </c>
      <c r="Q296" t="s">
        <v>3162</v>
      </c>
      <c r="R296" t="s">
        <v>2665</v>
      </c>
      <c r="S296" t="s">
        <v>2781</v>
      </c>
      <c r="T296" t="s">
        <v>2922</v>
      </c>
      <c r="U296" t="s">
        <v>2665</v>
      </c>
      <c r="V296" t="s">
        <v>3163</v>
      </c>
      <c r="W296" t="s">
        <v>3164</v>
      </c>
      <c r="X296" t="s">
        <v>2665</v>
      </c>
      <c r="Y296" t="s">
        <v>2054</v>
      </c>
      <c r="Z296" t="s">
        <v>1136</v>
      </c>
      <c r="AA296" t="s">
        <v>2850</v>
      </c>
      <c r="AB296" t="s">
        <v>2850</v>
      </c>
      <c r="AC296" t="s">
        <v>2665</v>
      </c>
      <c r="AD296" t="s">
        <v>2054</v>
      </c>
      <c r="AE296" t="s">
        <v>2054</v>
      </c>
    </row>
    <row r="297" spans="1:31" x14ac:dyDescent="0.25">
      <c r="A297" t="s">
        <v>1452</v>
      </c>
      <c r="B297" t="s">
        <v>1451</v>
      </c>
      <c r="C297" t="s">
        <v>3297</v>
      </c>
      <c r="D297" t="s">
        <v>3298</v>
      </c>
      <c r="E297" t="s">
        <v>2666</v>
      </c>
      <c r="F297" t="s">
        <v>3276</v>
      </c>
      <c r="G297" t="s">
        <v>2666</v>
      </c>
      <c r="H297" t="s">
        <v>2054</v>
      </c>
      <c r="I297" t="s">
        <v>2741</v>
      </c>
      <c r="J297" t="s">
        <v>2054</v>
      </c>
      <c r="K297" t="s">
        <v>2665</v>
      </c>
      <c r="L297" t="s">
        <v>1136</v>
      </c>
      <c r="M297" t="s">
        <v>2781</v>
      </c>
      <c r="N297" t="s">
        <v>2665</v>
      </c>
      <c r="O297" t="s">
        <v>3161</v>
      </c>
      <c r="P297" t="s">
        <v>2834</v>
      </c>
      <c r="Q297" t="s">
        <v>3162</v>
      </c>
      <c r="R297" t="s">
        <v>2665</v>
      </c>
      <c r="S297" t="s">
        <v>2781</v>
      </c>
      <c r="T297" t="s">
        <v>2922</v>
      </c>
      <c r="U297" t="s">
        <v>2665</v>
      </c>
      <c r="V297" t="s">
        <v>3163</v>
      </c>
      <c r="W297" t="s">
        <v>3164</v>
      </c>
      <c r="X297" t="s">
        <v>2665</v>
      </c>
      <c r="Y297" t="s">
        <v>2054</v>
      </c>
      <c r="Z297" t="s">
        <v>1136</v>
      </c>
      <c r="AA297" t="s">
        <v>2850</v>
      </c>
      <c r="AB297" t="s">
        <v>2850</v>
      </c>
      <c r="AC297" t="s">
        <v>2665</v>
      </c>
      <c r="AD297" t="s">
        <v>2054</v>
      </c>
      <c r="AE297" t="s">
        <v>2054</v>
      </c>
    </row>
    <row r="298" spans="1:31" x14ac:dyDescent="0.25">
      <c r="A298" t="s">
        <v>1454</v>
      </c>
      <c r="B298" t="s">
        <v>1453</v>
      </c>
      <c r="C298" t="s">
        <v>3299</v>
      </c>
      <c r="D298" t="s">
        <v>3300</v>
      </c>
      <c r="E298" t="s">
        <v>2666</v>
      </c>
      <c r="F298" t="s">
        <v>3272</v>
      </c>
      <c r="G298" t="s">
        <v>2666</v>
      </c>
      <c r="H298" t="s">
        <v>2054</v>
      </c>
      <c r="I298" t="s">
        <v>2741</v>
      </c>
      <c r="J298" t="s">
        <v>2054</v>
      </c>
      <c r="K298" t="s">
        <v>2665</v>
      </c>
      <c r="L298" t="s">
        <v>1136</v>
      </c>
      <c r="M298" t="s">
        <v>2781</v>
      </c>
      <c r="N298" t="s">
        <v>2665</v>
      </c>
      <c r="O298" t="s">
        <v>3161</v>
      </c>
      <c r="P298" t="s">
        <v>2834</v>
      </c>
      <c r="Q298" t="s">
        <v>3162</v>
      </c>
      <c r="R298" t="s">
        <v>2665</v>
      </c>
      <c r="S298" t="s">
        <v>2781</v>
      </c>
      <c r="T298" t="s">
        <v>2922</v>
      </c>
      <c r="U298" t="s">
        <v>2665</v>
      </c>
      <c r="V298" t="s">
        <v>3163</v>
      </c>
      <c r="W298" t="s">
        <v>3164</v>
      </c>
      <c r="X298" t="s">
        <v>2665</v>
      </c>
      <c r="Y298" t="s">
        <v>2054</v>
      </c>
      <c r="Z298" t="s">
        <v>1136</v>
      </c>
      <c r="AA298" t="s">
        <v>2850</v>
      </c>
      <c r="AB298" t="s">
        <v>2850</v>
      </c>
      <c r="AC298" t="s">
        <v>2665</v>
      </c>
      <c r="AD298" t="s">
        <v>2054</v>
      </c>
      <c r="AE298" t="s">
        <v>2054</v>
      </c>
    </row>
    <row r="299" spans="1:31" x14ac:dyDescent="0.25">
      <c r="A299" t="s">
        <v>1456</v>
      </c>
      <c r="B299" t="s">
        <v>1455</v>
      </c>
      <c r="C299" t="s">
        <v>3301</v>
      </c>
      <c r="D299" t="s">
        <v>3302</v>
      </c>
      <c r="E299" t="s">
        <v>2666</v>
      </c>
      <c r="F299" t="s">
        <v>3274</v>
      </c>
      <c r="G299" t="s">
        <v>2666</v>
      </c>
      <c r="H299" t="s">
        <v>2054</v>
      </c>
      <c r="I299" t="s">
        <v>2741</v>
      </c>
      <c r="J299" t="s">
        <v>2054</v>
      </c>
      <c r="K299" t="s">
        <v>2665</v>
      </c>
      <c r="L299" t="s">
        <v>1136</v>
      </c>
      <c r="M299" t="s">
        <v>2781</v>
      </c>
      <c r="N299" t="s">
        <v>2665</v>
      </c>
      <c r="O299" t="s">
        <v>3161</v>
      </c>
      <c r="P299" t="s">
        <v>2834</v>
      </c>
      <c r="Q299" t="s">
        <v>3162</v>
      </c>
      <c r="R299" t="s">
        <v>2665</v>
      </c>
      <c r="S299" t="s">
        <v>2781</v>
      </c>
      <c r="T299" t="s">
        <v>2922</v>
      </c>
      <c r="U299" t="s">
        <v>2665</v>
      </c>
      <c r="V299" t="s">
        <v>3163</v>
      </c>
      <c r="W299" t="s">
        <v>3164</v>
      </c>
      <c r="X299" t="s">
        <v>2665</v>
      </c>
      <c r="Y299" t="s">
        <v>2054</v>
      </c>
      <c r="Z299" t="s">
        <v>1136</v>
      </c>
      <c r="AA299" t="s">
        <v>2850</v>
      </c>
      <c r="AB299" t="s">
        <v>2850</v>
      </c>
      <c r="AC299" t="s">
        <v>2665</v>
      </c>
      <c r="AD299" t="s">
        <v>2054</v>
      </c>
      <c r="AE299" t="s">
        <v>2054</v>
      </c>
    </row>
    <row r="300" spans="1:31" x14ac:dyDescent="0.25">
      <c r="A300" t="s">
        <v>1458</v>
      </c>
      <c r="B300" t="s">
        <v>1457</v>
      </c>
      <c r="C300" t="s">
        <v>3303</v>
      </c>
      <c r="D300" t="s">
        <v>3304</v>
      </c>
      <c r="E300" t="s">
        <v>2666</v>
      </c>
      <c r="F300" t="s">
        <v>3276</v>
      </c>
      <c r="G300" t="s">
        <v>2666</v>
      </c>
      <c r="H300" t="s">
        <v>2054</v>
      </c>
      <c r="I300" t="s">
        <v>2741</v>
      </c>
      <c r="J300" t="s">
        <v>2054</v>
      </c>
      <c r="K300" t="s">
        <v>2665</v>
      </c>
      <c r="L300" t="s">
        <v>1136</v>
      </c>
      <c r="M300" t="s">
        <v>2781</v>
      </c>
      <c r="N300" t="s">
        <v>2665</v>
      </c>
      <c r="O300" t="s">
        <v>3161</v>
      </c>
      <c r="P300" t="s">
        <v>2834</v>
      </c>
      <c r="Q300" t="s">
        <v>3162</v>
      </c>
      <c r="R300" t="s">
        <v>2665</v>
      </c>
      <c r="S300" t="s">
        <v>2781</v>
      </c>
      <c r="T300" t="s">
        <v>2922</v>
      </c>
      <c r="U300" t="s">
        <v>2665</v>
      </c>
      <c r="V300" t="s">
        <v>3163</v>
      </c>
      <c r="W300" t="s">
        <v>3164</v>
      </c>
      <c r="X300" t="s">
        <v>2665</v>
      </c>
      <c r="Y300" t="s">
        <v>2054</v>
      </c>
      <c r="Z300" t="s">
        <v>1136</v>
      </c>
      <c r="AA300" t="s">
        <v>2850</v>
      </c>
      <c r="AB300" t="s">
        <v>2850</v>
      </c>
      <c r="AC300" t="s">
        <v>2665</v>
      </c>
      <c r="AD300" t="s">
        <v>2054</v>
      </c>
      <c r="AE300" t="s">
        <v>2054</v>
      </c>
    </row>
    <row r="301" spans="1:31" x14ac:dyDescent="0.25">
      <c r="A301" t="s">
        <v>1460</v>
      </c>
      <c r="B301" t="s">
        <v>1459</v>
      </c>
      <c r="C301" t="s">
        <v>3305</v>
      </c>
      <c r="D301" t="s">
        <v>3306</v>
      </c>
      <c r="E301" t="s">
        <v>2666</v>
      </c>
      <c r="F301" t="s">
        <v>3278</v>
      </c>
      <c r="G301" t="s">
        <v>2666</v>
      </c>
      <c r="H301" t="s">
        <v>2054</v>
      </c>
      <c r="I301" t="s">
        <v>2741</v>
      </c>
      <c r="J301" t="s">
        <v>2054</v>
      </c>
      <c r="K301" t="s">
        <v>2665</v>
      </c>
      <c r="L301" t="s">
        <v>1136</v>
      </c>
      <c r="M301" t="s">
        <v>2781</v>
      </c>
      <c r="N301" t="s">
        <v>2665</v>
      </c>
      <c r="O301" t="s">
        <v>3161</v>
      </c>
      <c r="P301" t="s">
        <v>2834</v>
      </c>
      <c r="Q301" t="s">
        <v>3162</v>
      </c>
      <c r="R301" t="s">
        <v>2665</v>
      </c>
      <c r="S301" t="s">
        <v>2781</v>
      </c>
      <c r="T301" t="s">
        <v>2922</v>
      </c>
      <c r="U301" t="s">
        <v>2665</v>
      </c>
      <c r="V301" t="s">
        <v>3163</v>
      </c>
      <c r="W301" t="s">
        <v>3164</v>
      </c>
      <c r="X301" t="s">
        <v>2665</v>
      </c>
      <c r="Y301" t="s">
        <v>2054</v>
      </c>
      <c r="Z301" t="s">
        <v>1136</v>
      </c>
      <c r="AA301" t="s">
        <v>2850</v>
      </c>
      <c r="AB301" t="s">
        <v>2850</v>
      </c>
      <c r="AC301" t="s">
        <v>2665</v>
      </c>
      <c r="AD301" t="s">
        <v>2054</v>
      </c>
      <c r="AE301" t="s">
        <v>2054</v>
      </c>
    </row>
    <row r="302" spans="1:31" x14ac:dyDescent="0.25">
      <c r="A302" t="s">
        <v>1462</v>
      </c>
      <c r="B302" t="s">
        <v>1461</v>
      </c>
      <c r="C302" t="s">
        <v>3307</v>
      </c>
      <c r="D302" t="s">
        <v>3308</v>
      </c>
      <c r="E302" t="s">
        <v>2666</v>
      </c>
      <c r="F302" t="s">
        <v>3309</v>
      </c>
      <c r="G302" t="s">
        <v>2666</v>
      </c>
      <c r="H302" t="s">
        <v>2054</v>
      </c>
      <c r="I302" t="s">
        <v>2741</v>
      </c>
      <c r="J302" t="s">
        <v>2054</v>
      </c>
      <c r="K302" t="s">
        <v>2665</v>
      </c>
      <c r="L302" t="s">
        <v>1136</v>
      </c>
      <c r="M302" t="s">
        <v>2781</v>
      </c>
      <c r="N302" t="s">
        <v>2665</v>
      </c>
      <c r="O302" t="s">
        <v>3161</v>
      </c>
      <c r="P302" t="s">
        <v>2834</v>
      </c>
      <c r="Q302" t="s">
        <v>3162</v>
      </c>
      <c r="R302" t="s">
        <v>2665</v>
      </c>
      <c r="S302" t="s">
        <v>2781</v>
      </c>
      <c r="T302" t="s">
        <v>2922</v>
      </c>
      <c r="U302" t="s">
        <v>2665</v>
      </c>
      <c r="V302" t="s">
        <v>3163</v>
      </c>
      <c r="W302" t="s">
        <v>3164</v>
      </c>
      <c r="X302" t="s">
        <v>2665</v>
      </c>
      <c r="Y302" t="s">
        <v>2054</v>
      </c>
      <c r="Z302" t="s">
        <v>1136</v>
      </c>
      <c r="AA302" t="s">
        <v>2850</v>
      </c>
      <c r="AB302" t="s">
        <v>2850</v>
      </c>
      <c r="AC302" t="s">
        <v>2665</v>
      </c>
      <c r="AD302" t="s">
        <v>2054</v>
      </c>
      <c r="AE302" t="s">
        <v>2726</v>
      </c>
    </row>
    <row r="303" spans="1:31" x14ac:dyDescent="0.25">
      <c r="A303" t="s">
        <v>1464</v>
      </c>
      <c r="B303" t="s">
        <v>1463</v>
      </c>
      <c r="C303" t="s">
        <v>3310</v>
      </c>
      <c r="D303" t="s">
        <v>3311</v>
      </c>
      <c r="E303" t="s">
        <v>2666</v>
      </c>
      <c r="F303" t="s">
        <v>2854</v>
      </c>
      <c r="G303" t="s">
        <v>2666</v>
      </c>
      <c r="H303" t="s">
        <v>2054</v>
      </c>
      <c r="I303" t="s">
        <v>2741</v>
      </c>
      <c r="J303" t="s">
        <v>2054</v>
      </c>
      <c r="K303" t="s">
        <v>2665</v>
      </c>
      <c r="L303" t="s">
        <v>1136</v>
      </c>
      <c r="M303" t="s">
        <v>2781</v>
      </c>
      <c r="N303" t="s">
        <v>2665</v>
      </c>
      <c r="O303" t="s">
        <v>3161</v>
      </c>
      <c r="P303" t="s">
        <v>2834</v>
      </c>
      <c r="Q303" t="s">
        <v>3162</v>
      </c>
      <c r="R303" t="s">
        <v>2665</v>
      </c>
      <c r="S303" t="s">
        <v>2781</v>
      </c>
      <c r="T303" t="s">
        <v>2922</v>
      </c>
      <c r="U303" t="s">
        <v>2665</v>
      </c>
      <c r="V303" t="s">
        <v>3163</v>
      </c>
      <c r="W303" t="s">
        <v>3164</v>
      </c>
      <c r="X303" t="s">
        <v>2665</v>
      </c>
      <c r="Y303" t="s">
        <v>2054</v>
      </c>
      <c r="Z303" t="s">
        <v>1136</v>
      </c>
      <c r="AA303" t="s">
        <v>2850</v>
      </c>
      <c r="AB303" t="s">
        <v>2850</v>
      </c>
      <c r="AC303" t="s">
        <v>2665</v>
      </c>
      <c r="AD303" t="s">
        <v>2054</v>
      </c>
      <c r="AE303" t="s">
        <v>2726</v>
      </c>
    </row>
    <row r="304" spans="1:31" x14ac:dyDescent="0.25">
      <c r="A304" t="s">
        <v>1466</v>
      </c>
      <c r="B304" t="s">
        <v>1465</v>
      </c>
      <c r="C304" t="s">
        <v>3312</v>
      </c>
      <c r="D304" t="s">
        <v>3313</v>
      </c>
      <c r="E304" t="s">
        <v>2666</v>
      </c>
      <c r="F304" t="s">
        <v>3314</v>
      </c>
      <c r="G304" t="s">
        <v>2666</v>
      </c>
      <c r="H304" t="s">
        <v>2054</v>
      </c>
      <c r="I304" t="s">
        <v>2741</v>
      </c>
      <c r="J304" t="s">
        <v>2054</v>
      </c>
      <c r="K304" t="s">
        <v>2665</v>
      </c>
      <c r="L304" t="s">
        <v>1136</v>
      </c>
      <c r="M304" t="s">
        <v>2781</v>
      </c>
      <c r="N304" t="s">
        <v>2665</v>
      </c>
      <c r="O304" t="s">
        <v>3161</v>
      </c>
      <c r="P304" t="s">
        <v>2834</v>
      </c>
      <c r="Q304" t="s">
        <v>3162</v>
      </c>
      <c r="R304" t="s">
        <v>2665</v>
      </c>
      <c r="S304" t="s">
        <v>2781</v>
      </c>
      <c r="T304" t="s">
        <v>2922</v>
      </c>
      <c r="U304" t="s">
        <v>2665</v>
      </c>
      <c r="V304" t="s">
        <v>3163</v>
      </c>
      <c r="W304" t="s">
        <v>3164</v>
      </c>
      <c r="X304" t="s">
        <v>2665</v>
      </c>
      <c r="Y304" t="s">
        <v>2054</v>
      </c>
      <c r="Z304" t="s">
        <v>1136</v>
      </c>
      <c r="AA304" t="s">
        <v>2797</v>
      </c>
      <c r="AB304" t="s">
        <v>2797</v>
      </c>
      <c r="AC304" t="s">
        <v>2665</v>
      </c>
      <c r="AD304" t="s">
        <v>2054</v>
      </c>
      <c r="AE304" t="s">
        <v>2054</v>
      </c>
    </row>
    <row r="305" spans="1:31" x14ac:dyDescent="0.25">
      <c r="A305" t="s">
        <v>1468</v>
      </c>
      <c r="B305" t="s">
        <v>1467</v>
      </c>
      <c r="C305" t="s">
        <v>3315</v>
      </c>
      <c r="D305" t="s">
        <v>3316</v>
      </c>
      <c r="E305" t="s">
        <v>2666</v>
      </c>
      <c r="F305" t="s">
        <v>3317</v>
      </c>
      <c r="G305" t="s">
        <v>2666</v>
      </c>
      <c r="H305" t="s">
        <v>2054</v>
      </c>
      <c r="I305" t="s">
        <v>2741</v>
      </c>
      <c r="J305" t="s">
        <v>2054</v>
      </c>
      <c r="K305" t="s">
        <v>2665</v>
      </c>
      <c r="L305" t="s">
        <v>1136</v>
      </c>
      <c r="M305" t="s">
        <v>2781</v>
      </c>
      <c r="N305" t="s">
        <v>2665</v>
      </c>
      <c r="O305" t="s">
        <v>3161</v>
      </c>
      <c r="P305" t="s">
        <v>2834</v>
      </c>
      <c r="Q305" t="s">
        <v>3162</v>
      </c>
      <c r="R305" t="s">
        <v>2665</v>
      </c>
      <c r="S305" t="s">
        <v>2781</v>
      </c>
      <c r="T305" t="s">
        <v>2922</v>
      </c>
      <c r="U305" t="s">
        <v>2665</v>
      </c>
      <c r="V305" t="s">
        <v>3318</v>
      </c>
      <c r="W305" t="s">
        <v>3319</v>
      </c>
      <c r="X305" t="s">
        <v>2665</v>
      </c>
      <c r="Y305" t="s">
        <v>2054</v>
      </c>
      <c r="Z305" t="s">
        <v>1136</v>
      </c>
      <c r="AA305" t="s">
        <v>2850</v>
      </c>
      <c r="AB305" t="s">
        <v>2850</v>
      </c>
      <c r="AC305" t="s">
        <v>2665</v>
      </c>
      <c r="AD305" t="s">
        <v>2054</v>
      </c>
      <c r="AE305" t="s">
        <v>2054</v>
      </c>
    </row>
    <row r="306" spans="1:31" x14ac:dyDescent="0.25">
      <c r="A306" t="s">
        <v>1469</v>
      </c>
      <c r="B306" t="s">
        <v>34</v>
      </c>
      <c r="C306" t="s">
        <v>3320</v>
      </c>
      <c r="D306" t="s">
        <v>226</v>
      </c>
      <c r="E306" t="s">
        <v>2666</v>
      </c>
      <c r="F306" t="s">
        <v>3276</v>
      </c>
      <c r="G306" t="s">
        <v>2666</v>
      </c>
      <c r="H306" t="s">
        <v>2054</v>
      </c>
      <c r="I306" t="s">
        <v>2778</v>
      </c>
      <c r="J306" t="s">
        <v>2054</v>
      </c>
      <c r="K306" t="s">
        <v>2665</v>
      </c>
      <c r="L306" t="s">
        <v>1179</v>
      </c>
      <c r="M306" t="s">
        <v>2781</v>
      </c>
      <c r="N306" t="s">
        <v>2665</v>
      </c>
      <c r="O306" t="s">
        <v>3161</v>
      </c>
      <c r="P306" t="s">
        <v>2834</v>
      </c>
      <c r="Q306" t="s">
        <v>3162</v>
      </c>
      <c r="R306" t="s">
        <v>2665</v>
      </c>
      <c r="S306" t="s">
        <v>2781</v>
      </c>
      <c r="T306" t="s">
        <v>2922</v>
      </c>
      <c r="U306" t="s">
        <v>2665</v>
      </c>
      <c r="V306" t="s">
        <v>3318</v>
      </c>
      <c r="W306" t="s">
        <v>3319</v>
      </c>
      <c r="X306" t="s">
        <v>2665</v>
      </c>
      <c r="Y306" t="s">
        <v>2054</v>
      </c>
      <c r="Z306" t="s">
        <v>1179</v>
      </c>
      <c r="AA306" t="s">
        <v>2850</v>
      </c>
      <c r="AB306" t="s">
        <v>2850</v>
      </c>
      <c r="AC306" t="s">
        <v>2665</v>
      </c>
      <c r="AD306" t="s">
        <v>2054</v>
      </c>
      <c r="AE306" t="s">
        <v>2054</v>
      </c>
    </row>
    <row r="307" spans="1:31" x14ac:dyDescent="0.25">
      <c r="A307" t="s">
        <v>1470</v>
      </c>
      <c r="B307" t="s">
        <v>35</v>
      </c>
      <c r="C307" t="s">
        <v>3321</v>
      </c>
      <c r="D307" t="s">
        <v>227</v>
      </c>
      <c r="E307" t="s">
        <v>2666</v>
      </c>
      <c r="F307" t="s">
        <v>3278</v>
      </c>
      <c r="G307" t="s">
        <v>2666</v>
      </c>
      <c r="H307" t="s">
        <v>2054</v>
      </c>
      <c r="I307" t="s">
        <v>2741</v>
      </c>
      <c r="J307" t="s">
        <v>2054</v>
      </c>
      <c r="K307" t="s">
        <v>2665</v>
      </c>
      <c r="L307" t="s">
        <v>1136</v>
      </c>
      <c r="M307" t="s">
        <v>2781</v>
      </c>
      <c r="N307" t="s">
        <v>2665</v>
      </c>
      <c r="O307" t="s">
        <v>3161</v>
      </c>
      <c r="P307" t="s">
        <v>2834</v>
      </c>
      <c r="Q307" t="s">
        <v>3162</v>
      </c>
      <c r="R307" t="s">
        <v>2665</v>
      </c>
      <c r="S307" t="s">
        <v>2781</v>
      </c>
      <c r="T307" t="s">
        <v>2922</v>
      </c>
      <c r="U307" t="s">
        <v>2665</v>
      </c>
      <c r="V307" t="s">
        <v>3318</v>
      </c>
      <c r="W307" t="s">
        <v>3319</v>
      </c>
      <c r="X307" t="s">
        <v>2665</v>
      </c>
      <c r="Y307" t="s">
        <v>2054</v>
      </c>
      <c r="Z307" t="s">
        <v>1136</v>
      </c>
      <c r="AA307" t="s">
        <v>2850</v>
      </c>
      <c r="AB307" t="s">
        <v>2850</v>
      </c>
      <c r="AC307" t="s">
        <v>2665</v>
      </c>
      <c r="AD307" t="s">
        <v>2054</v>
      </c>
      <c r="AE307" t="s">
        <v>2054</v>
      </c>
    </row>
    <row r="308" spans="1:31" x14ac:dyDescent="0.25">
      <c r="A308" t="s">
        <v>1472</v>
      </c>
      <c r="B308" t="s">
        <v>1471</v>
      </c>
      <c r="C308" t="s">
        <v>3322</v>
      </c>
      <c r="D308" t="s">
        <v>3323</v>
      </c>
      <c r="E308" t="s">
        <v>2666</v>
      </c>
      <c r="F308" t="s">
        <v>3256</v>
      </c>
      <c r="G308" t="s">
        <v>2666</v>
      </c>
      <c r="H308" t="s">
        <v>2054</v>
      </c>
      <c r="I308" t="s">
        <v>2741</v>
      </c>
      <c r="J308" t="s">
        <v>2054</v>
      </c>
      <c r="K308" t="s">
        <v>2665</v>
      </c>
      <c r="L308" t="s">
        <v>1136</v>
      </c>
      <c r="M308" t="s">
        <v>2781</v>
      </c>
      <c r="N308" t="s">
        <v>2665</v>
      </c>
      <c r="O308" t="s">
        <v>3161</v>
      </c>
      <c r="P308" t="s">
        <v>2834</v>
      </c>
      <c r="Q308" t="s">
        <v>3162</v>
      </c>
      <c r="R308" t="s">
        <v>2665</v>
      </c>
      <c r="S308" t="s">
        <v>2781</v>
      </c>
      <c r="T308" t="s">
        <v>2922</v>
      </c>
      <c r="U308" t="s">
        <v>2665</v>
      </c>
      <c r="V308" t="s">
        <v>3318</v>
      </c>
      <c r="W308" t="s">
        <v>3319</v>
      </c>
      <c r="X308" t="s">
        <v>2665</v>
      </c>
      <c r="Y308" t="s">
        <v>2054</v>
      </c>
      <c r="Z308" t="s">
        <v>1136</v>
      </c>
      <c r="AA308" t="s">
        <v>2850</v>
      </c>
      <c r="AB308" t="s">
        <v>2850</v>
      </c>
      <c r="AC308" t="s">
        <v>2665</v>
      </c>
      <c r="AD308" t="s">
        <v>2054</v>
      </c>
      <c r="AE308" t="s">
        <v>2054</v>
      </c>
    </row>
    <row r="309" spans="1:31" x14ac:dyDescent="0.25">
      <c r="A309" t="s">
        <v>1474</v>
      </c>
      <c r="B309" t="s">
        <v>1473</v>
      </c>
      <c r="C309" t="s">
        <v>3324</v>
      </c>
      <c r="D309" t="s">
        <v>3325</v>
      </c>
      <c r="E309" t="s">
        <v>2666</v>
      </c>
      <c r="F309" t="s">
        <v>3326</v>
      </c>
      <c r="G309" t="s">
        <v>2666</v>
      </c>
      <c r="H309" t="s">
        <v>2054</v>
      </c>
      <c r="I309" t="s">
        <v>2741</v>
      </c>
      <c r="J309" t="s">
        <v>2054</v>
      </c>
      <c r="K309" t="s">
        <v>2665</v>
      </c>
      <c r="L309" t="s">
        <v>1136</v>
      </c>
      <c r="M309" t="s">
        <v>2781</v>
      </c>
      <c r="N309" t="s">
        <v>2665</v>
      </c>
      <c r="O309" t="s">
        <v>3161</v>
      </c>
      <c r="P309" t="s">
        <v>2834</v>
      </c>
      <c r="Q309" t="s">
        <v>3162</v>
      </c>
      <c r="R309" t="s">
        <v>2665</v>
      </c>
      <c r="S309" t="s">
        <v>2781</v>
      </c>
      <c r="T309" t="s">
        <v>2922</v>
      </c>
      <c r="U309" t="s">
        <v>2665</v>
      </c>
      <c r="V309" t="s">
        <v>3318</v>
      </c>
      <c r="W309" t="s">
        <v>3319</v>
      </c>
      <c r="X309" t="s">
        <v>2665</v>
      </c>
      <c r="Y309" t="s">
        <v>2054</v>
      </c>
      <c r="Z309" t="s">
        <v>1136</v>
      </c>
      <c r="AA309" t="s">
        <v>2850</v>
      </c>
      <c r="AB309" t="s">
        <v>2850</v>
      </c>
      <c r="AC309" t="s">
        <v>2665</v>
      </c>
      <c r="AD309" t="s">
        <v>2054</v>
      </c>
      <c r="AE309" t="s">
        <v>2054</v>
      </c>
    </row>
    <row r="310" spans="1:31" x14ac:dyDescent="0.25">
      <c r="A310" t="s">
        <v>1476</v>
      </c>
      <c r="B310" t="s">
        <v>1475</v>
      </c>
      <c r="C310" t="s">
        <v>3327</v>
      </c>
      <c r="D310" t="s">
        <v>3328</v>
      </c>
      <c r="E310" t="s">
        <v>2666</v>
      </c>
      <c r="F310" t="s">
        <v>3329</v>
      </c>
      <c r="G310" t="s">
        <v>2666</v>
      </c>
      <c r="H310" t="s">
        <v>2054</v>
      </c>
      <c r="I310" t="s">
        <v>2741</v>
      </c>
      <c r="J310" t="s">
        <v>2054</v>
      </c>
      <c r="K310" t="s">
        <v>2665</v>
      </c>
      <c r="L310" t="s">
        <v>1136</v>
      </c>
      <c r="M310" t="s">
        <v>2781</v>
      </c>
      <c r="N310" t="s">
        <v>2665</v>
      </c>
      <c r="O310" t="s">
        <v>3161</v>
      </c>
      <c r="P310" t="s">
        <v>2834</v>
      </c>
      <c r="Q310" t="s">
        <v>3162</v>
      </c>
      <c r="R310" t="s">
        <v>2665</v>
      </c>
      <c r="S310" t="s">
        <v>2781</v>
      </c>
      <c r="T310" t="s">
        <v>2922</v>
      </c>
      <c r="U310" t="s">
        <v>2665</v>
      </c>
      <c r="V310" t="s">
        <v>3318</v>
      </c>
      <c r="W310" t="s">
        <v>3319</v>
      </c>
      <c r="X310" t="s">
        <v>2665</v>
      </c>
      <c r="Y310" t="s">
        <v>2054</v>
      </c>
      <c r="Z310" t="s">
        <v>1136</v>
      </c>
      <c r="AA310" t="s">
        <v>2850</v>
      </c>
      <c r="AB310" t="s">
        <v>2850</v>
      </c>
      <c r="AC310" t="s">
        <v>2665</v>
      </c>
      <c r="AD310" t="s">
        <v>2054</v>
      </c>
      <c r="AE310" t="s">
        <v>2054</v>
      </c>
    </row>
    <row r="311" spans="1:31" x14ac:dyDescent="0.25">
      <c r="A311" t="s">
        <v>1477</v>
      </c>
      <c r="B311" t="s">
        <v>36</v>
      </c>
      <c r="C311" t="s">
        <v>3330</v>
      </c>
      <c r="D311" t="s">
        <v>375</v>
      </c>
      <c r="E311" t="s">
        <v>2666</v>
      </c>
      <c r="F311" t="s">
        <v>2801</v>
      </c>
      <c r="G311" t="s">
        <v>2666</v>
      </c>
      <c r="H311" t="s">
        <v>2054</v>
      </c>
      <c r="I311" t="s">
        <v>2741</v>
      </c>
      <c r="J311" t="s">
        <v>2054</v>
      </c>
      <c r="K311" t="s">
        <v>2665</v>
      </c>
      <c r="L311" t="s">
        <v>1136</v>
      </c>
      <c r="M311" t="s">
        <v>2779</v>
      </c>
      <c r="N311" t="s">
        <v>2665</v>
      </c>
      <c r="O311" t="s">
        <v>3331</v>
      </c>
      <c r="P311" t="s">
        <v>2834</v>
      </c>
      <c r="Q311" t="s">
        <v>3162</v>
      </c>
      <c r="R311" t="s">
        <v>2665</v>
      </c>
      <c r="S311" t="s">
        <v>2781</v>
      </c>
      <c r="T311" t="s">
        <v>2922</v>
      </c>
      <c r="U311" t="s">
        <v>2665</v>
      </c>
      <c r="V311" t="s">
        <v>3332</v>
      </c>
      <c r="W311" t="s">
        <v>3333</v>
      </c>
      <c r="X311" t="s">
        <v>2665</v>
      </c>
      <c r="Y311" t="s">
        <v>2054</v>
      </c>
      <c r="Z311" t="s">
        <v>1136</v>
      </c>
      <c r="AA311" t="s">
        <v>2850</v>
      </c>
      <c r="AB311" t="s">
        <v>2850</v>
      </c>
      <c r="AC311" t="s">
        <v>2665</v>
      </c>
      <c r="AD311" t="s">
        <v>2054</v>
      </c>
      <c r="AE311" t="s">
        <v>2054</v>
      </c>
    </row>
    <row r="312" spans="1:31" x14ac:dyDescent="0.25">
      <c r="A312" t="s">
        <v>1478</v>
      </c>
      <c r="B312" t="s">
        <v>37</v>
      </c>
      <c r="C312" t="s">
        <v>3334</v>
      </c>
      <c r="D312" t="s">
        <v>378</v>
      </c>
      <c r="E312" t="s">
        <v>2666</v>
      </c>
      <c r="F312" t="s">
        <v>3335</v>
      </c>
      <c r="G312" t="s">
        <v>2666</v>
      </c>
      <c r="H312" t="s">
        <v>2054</v>
      </c>
      <c r="I312" t="s">
        <v>2741</v>
      </c>
      <c r="J312" t="s">
        <v>2054</v>
      </c>
      <c r="K312" t="s">
        <v>2665</v>
      </c>
      <c r="L312" t="s">
        <v>1136</v>
      </c>
      <c r="M312" t="s">
        <v>2779</v>
      </c>
      <c r="N312" t="s">
        <v>2665</v>
      </c>
      <c r="O312" t="s">
        <v>3331</v>
      </c>
      <c r="P312" t="s">
        <v>2834</v>
      </c>
      <c r="Q312" t="s">
        <v>3162</v>
      </c>
      <c r="R312" t="s">
        <v>2665</v>
      </c>
      <c r="S312" t="s">
        <v>2781</v>
      </c>
      <c r="T312" t="s">
        <v>2922</v>
      </c>
      <c r="U312" t="s">
        <v>2665</v>
      </c>
      <c r="V312" t="s">
        <v>3332</v>
      </c>
      <c r="W312" t="s">
        <v>3333</v>
      </c>
      <c r="X312" t="s">
        <v>2665</v>
      </c>
      <c r="Y312" t="s">
        <v>2054</v>
      </c>
      <c r="Z312" t="s">
        <v>1136</v>
      </c>
      <c r="AA312" t="s">
        <v>2850</v>
      </c>
      <c r="AB312" t="s">
        <v>2850</v>
      </c>
      <c r="AC312" t="s">
        <v>2665</v>
      </c>
      <c r="AD312" t="s">
        <v>2054</v>
      </c>
      <c r="AE312" t="s">
        <v>2054</v>
      </c>
    </row>
    <row r="313" spans="1:31" x14ac:dyDescent="0.25">
      <c r="A313" t="s">
        <v>1479</v>
      </c>
      <c r="B313" t="s">
        <v>38</v>
      </c>
      <c r="C313" t="s">
        <v>3336</v>
      </c>
      <c r="D313" t="s">
        <v>381</v>
      </c>
      <c r="E313" t="s">
        <v>2666</v>
      </c>
      <c r="F313" t="s">
        <v>3337</v>
      </c>
      <c r="G313" t="s">
        <v>2666</v>
      </c>
      <c r="H313" t="s">
        <v>2054</v>
      </c>
      <c r="I313" t="s">
        <v>2741</v>
      </c>
      <c r="J313" t="s">
        <v>2054</v>
      </c>
      <c r="K313" t="s">
        <v>2665</v>
      </c>
      <c r="L313" t="s">
        <v>1136</v>
      </c>
      <c r="M313" t="s">
        <v>2779</v>
      </c>
      <c r="N313" t="s">
        <v>2665</v>
      </c>
      <c r="O313" t="s">
        <v>3331</v>
      </c>
      <c r="P313" t="s">
        <v>2834</v>
      </c>
      <c r="Q313" t="s">
        <v>3162</v>
      </c>
      <c r="R313" t="s">
        <v>2665</v>
      </c>
      <c r="S313" t="s">
        <v>2781</v>
      </c>
      <c r="T313" t="s">
        <v>2922</v>
      </c>
      <c r="U313" t="s">
        <v>2665</v>
      </c>
      <c r="V313" t="s">
        <v>3332</v>
      </c>
      <c r="W313" t="s">
        <v>3333</v>
      </c>
      <c r="X313" t="s">
        <v>2665</v>
      </c>
      <c r="Y313" t="s">
        <v>2054</v>
      </c>
      <c r="Z313" t="s">
        <v>1136</v>
      </c>
      <c r="AA313" t="s">
        <v>2797</v>
      </c>
      <c r="AB313" t="s">
        <v>2797</v>
      </c>
      <c r="AC313" t="s">
        <v>2665</v>
      </c>
      <c r="AD313" t="s">
        <v>2054</v>
      </c>
      <c r="AE313" t="s">
        <v>2054</v>
      </c>
    </row>
    <row r="314" spans="1:31" x14ac:dyDescent="0.25">
      <c r="A314" t="s">
        <v>1480</v>
      </c>
      <c r="B314" t="s">
        <v>39</v>
      </c>
      <c r="C314" t="s">
        <v>3338</v>
      </c>
      <c r="D314" t="s">
        <v>384</v>
      </c>
      <c r="E314" t="s">
        <v>2666</v>
      </c>
      <c r="F314" t="s">
        <v>3339</v>
      </c>
      <c r="G314" t="s">
        <v>2666</v>
      </c>
      <c r="H314" t="s">
        <v>2054</v>
      </c>
      <c r="I314" t="s">
        <v>2741</v>
      </c>
      <c r="J314" t="s">
        <v>2054</v>
      </c>
      <c r="K314" t="s">
        <v>2665</v>
      </c>
      <c r="L314" t="s">
        <v>1136</v>
      </c>
      <c r="M314" t="s">
        <v>2779</v>
      </c>
      <c r="N314" t="s">
        <v>2665</v>
      </c>
      <c r="O314" t="s">
        <v>3331</v>
      </c>
      <c r="P314" t="s">
        <v>2834</v>
      </c>
      <c r="Q314" t="s">
        <v>3162</v>
      </c>
      <c r="R314" t="s">
        <v>2665</v>
      </c>
      <c r="S314" t="s">
        <v>2781</v>
      </c>
      <c r="T314" t="s">
        <v>2922</v>
      </c>
      <c r="U314" t="s">
        <v>2665</v>
      </c>
      <c r="V314" t="s">
        <v>3332</v>
      </c>
      <c r="W314" t="s">
        <v>3333</v>
      </c>
      <c r="X314" t="s">
        <v>2665</v>
      </c>
      <c r="Y314" t="s">
        <v>2054</v>
      </c>
      <c r="Z314" t="s">
        <v>1136</v>
      </c>
      <c r="AA314" t="s">
        <v>2797</v>
      </c>
      <c r="AB314" t="s">
        <v>2797</v>
      </c>
      <c r="AC314" t="s">
        <v>2665</v>
      </c>
      <c r="AD314" t="s">
        <v>2054</v>
      </c>
      <c r="AE314" t="s">
        <v>2054</v>
      </c>
    </row>
    <row r="315" spans="1:31" x14ac:dyDescent="0.25">
      <c r="A315" t="s">
        <v>1481</v>
      </c>
      <c r="B315" t="s">
        <v>40</v>
      </c>
      <c r="C315" t="s">
        <v>3340</v>
      </c>
      <c r="D315" t="s">
        <v>386</v>
      </c>
      <c r="E315" t="s">
        <v>2666</v>
      </c>
      <c r="F315" t="s">
        <v>3341</v>
      </c>
      <c r="G315" t="s">
        <v>2666</v>
      </c>
      <c r="H315" t="s">
        <v>2054</v>
      </c>
      <c r="I315" t="s">
        <v>2741</v>
      </c>
      <c r="J315" t="s">
        <v>2054</v>
      </c>
      <c r="K315" t="s">
        <v>2665</v>
      </c>
      <c r="L315" t="s">
        <v>1136</v>
      </c>
      <c r="M315" t="s">
        <v>2779</v>
      </c>
      <c r="N315" t="s">
        <v>2665</v>
      </c>
      <c r="O315" t="s">
        <v>3331</v>
      </c>
      <c r="P315" t="s">
        <v>2834</v>
      </c>
      <c r="Q315" t="s">
        <v>3162</v>
      </c>
      <c r="R315" t="s">
        <v>2665</v>
      </c>
      <c r="S315" t="s">
        <v>2781</v>
      </c>
      <c r="T315" t="s">
        <v>2922</v>
      </c>
      <c r="U315" t="s">
        <v>2665</v>
      </c>
      <c r="V315" t="s">
        <v>3332</v>
      </c>
      <c r="W315" t="s">
        <v>3333</v>
      </c>
      <c r="X315" t="s">
        <v>2665</v>
      </c>
      <c r="Y315" t="s">
        <v>2054</v>
      </c>
      <c r="Z315" t="s">
        <v>1136</v>
      </c>
      <c r="AA315" t="s">
        <v>2797</v>
      </c>
      <c r="AB315" t="s">
        <v>2797</v>
      </c>
      <c r="AC315" t="s">
        <v>2665</v>
      </c>
      <c r="AD315" t="s">
        <v>2054</v>
      </c>
      <c r="AE315" t="s">
        <v>2054</v>
      </c>
    </row>
    <row r="316" spans="1:31" x14ac:dyDescent="0.25">
      <c r="A316" t="s">
        <v>1482</v>
      </c>
      <c r="B316" t="s">
        <v>41</v>
      </c>
      <c r="C316" t="s">
        <v>3342</v>
      </c>
      <c r="D316" t="s">
        <v>389</v>
      </c>
      <c r="E316" t="s">
        <v>2666</v>
      </c>
      <c r="F316" t="s">
        <v>3343</v>
      </c>
      <c r="G316" t="s">
        <v>2666</v>
      </c>
      <c r="H316" t="s">
        <v>2054</v>
      </c>
      <c r="I316" t="s">
        <v>2741</v>
      </c>
      <c r="J316" t="s">
        <v>2054</v>
      </c>
      <c r="K316" t="s">
        <v>2665</v>
      </c>
      <c r="L316" t="s">
        <v>1136</v>
      </c>
      <c r="M316" t="s">
        <v>2779</v>
      </c>
      <c r="N316" t="s">
        <v>2665</v>
      </c>
      <c r="O316" t="s">
        <v>3331</v>
      </c>
      <c r="P316" t="s">
        <v>2834</v>
      </c>
      <c r="Q316" t="s">
        <v>3162</v>
      </c>
      <c r="R316" t="s">
        <v>2665</v>
      </c>
      <c r="S316" t="s">
        <v>2781</v>
      </c>
      <c r="T316" t="s">
        <v>2922</v>
      </c>
      <c r="U316" t="s">
        <v>2665</v>
      </c>
      <c r="V316" t="s">
        <v>3332</v>
      </c>
      <c r="W316" t="s">
        <v>3333</v>
      </c>
      <c r="X316" t="s">
        <v>2665</v>
      </c>
      <c r="Y316" t="s">
        <v>2054</v>
      </c>
      <c r="Z316" t="s">
        <v>1136</v>
      </c>
      <c r="AA316" t="s">
        <v>2797</v>
      </c>
      <c r="AB316" t="s">
        <v>2797</v>
      </c>
      <c r="AC316" t="s">
        <v>2665</v>
      </c>
      <c r="AD316" t="s">
        <v>2054</v>
      </c>
      <c r="AE316" t="s">
        <v>2054</v>
      </c>
    </row>
    <row r="317" spans="1:31" x14ac:dyDescent="0.25">
      <c r="A317" t="s">
        <v>1483</v>
      </c>
      <c r="B317" t="s">
        <v>42</v>
      </c>
      <c r="C317" t="s">
        <v>3344</v>
      </c>
      <c r="D317" t="s">
        <v>392</v>
      </c>
      <c r="E317" t="s">
        <v>2666</v>
      </c>
      <c r="F317" t="s">
        <v>3345</v>
      </c>
      <c r="G317" t="s">
        <v>2666</v>
      </c>
      <c r="H317" t="s">
        <v>2054</v>
      </c>
      <c r="I317" t="s">
        <v>2741</v>
      </c>
      <c r="J317" t="s">
        <v>2054</v>
      </c>
      <c r="K317" t="s">
        <v>2665</v>
      </c>
      <c r="L317" t="s">
        <v>1136</v>
      </c>
      <c r="M317" t="s">
        <v>2779</v>
      </c>
      <c r="N317" t="s">
        <v>2665</v>
      </c>
      <c r="O317" t="s">
        <v>3331</v>
      </c>
      <c r="P317" t="s">
        <v>2834</v>
      </c>
      <c r="Q317" t="s">
        <v>3162</v>
      </c>
      <c r="R317" t="s">
        <v>2665</v>
      </c>
      <c r="S317" t="s">
        <v>2781</v>
      </c>
      <c r="T317" t="s">
        <v>2922</v>
      </c>
      <c r="U317" t="s">
        <v>2665</v>
      </c>
      <c r="V317" t="s">
        <v>3332</v>
      </c>
      <c r="W317" t="s">
        <v>3333</v>
      </c>
      <c r="X317" t="s">
        <v>2665</v>
      </c>
      <c r="Y317" t="s">
        <v>2054</v>
      </c>
      <c r="Z317" t="s">
        <v>1136</v>
      </c>
      <c r="AA317" t="s">
        <v>2797</v>
      </c>
      <c r="AB317" t="s">
        <v>2797</v>
      </c>
      <c r="AC317" t="s">
        <v>2665</v>
      </c>
      <c r="AD317" t="s">
        <v>2054</v>
      </c>
      <c r="AE317" t="s">
        <v>2054</v>
      </c>
    </row>
    <row r="318" spans="1:31" x14ac:dyDescent="0.25">
      <c r="A318" t="s">
        <v>1484</v>
      </c>
      <c r="B318" t="s">
        <v>43</v>
      </c>
      <c r="C318" t="s">
        <v>3346</v>
      </c>
      <c r="D318" t="s">
        <v>395</v>
      </c>
      <c r="E318" t="s">
        <v>2666</v>
      </c>
      <c r="F318" t="s">
        <v>3347</v>
      </c>
      <c r="G318" t="s">
        <v>2666</v>
      </c>
      <c r="H318" t="s">
        <v>2054</v>
      </c>
      <c r="I318" t="s">
        <v>2741</v>
      </c>
      <c r="J318" t="s">
        <v>2054</v>
      </c>
      <c r="K318" t="s">
        <v>2665</v>
      </c>
      <c r="L318" t="s">
        <v>1136</v>
      </c>
      <c r="M318" t="s">
        <v>2779</v>
      </c>
      <c r="N318" t="s">
        <v>2665</v>
      </c>
      <c r="O318" t="s">
        <v>3331</v>
      </c>
      <c r="P318" t="s">
        <v>2834</v>
      </c>
      <c r="Q318" t="s">
        <v>3162</v>
      </c>
      <c r="R318" t="s">
        <v>2665</v>
      </c>
      <c r="S318" t="s">
        <v>2781</v>
      </c>
      <c r="T318" t="s">
        <v>2922</v>
      </c>
      <c r="U318" t="s">
        <v>2665</v>
      </c>
      <c r="V318" t="s">
        <v>3332</v>
      </c>
      <c r="W318" t="s">
        <v>3333</v>
      </c>
      <c r="X318" t="s">
        <v>2665</v>
      </c>
      <c r="Y318" t="s">
        <v>2054</v>
      </c>
      <c r="Z318" t="s">
        <v>1136</v>
      </c>
      <c r="AA318" t="s">
        <v>2850</v>
      </c>
      <c r="AB318" t="s">
        <v>2850</v>
      </c>
      <c r="AC318" t="s">
        <v>2665</v>
      </c>
      <c r="AD318" t="s">
        <v>2054</v>
      </c>
      <c r="AE318" t="s">
        <v>2054</v>
      </c>
    </row>
    <row r="319" spans="1:31" x14ac:dyDescent="0.25">
      <c r="A319" t="s">
        <v>1485</v>
      </c>
      <c r="B319" t="s">
        <v>44</v>
      </c>
      <c r="C319" t="s">
        <v>3348</v>
      </c>
      <c r="D319" t="s">
        <v>398</v>
      </c>
      <c r="E319" t="s">
        <v>2666</v>
      </c>
      <c r="F319" t="s">
        <v>3349</v>
      </c>
      <c r="G319" t="s">
        <v>2666</v>
      </c>
      <c r="H319" t="s">
        <v>2054</v>
      </c>
      <c r="I319" t="s">
        <v>2741</v>
      </c>
      <c r="J319" t="s">
        <v>2054</v>
      </c>
      <c r="K319" t="s">
        <v>2665</v>
      </c>
      <c r="L319" t="s">
        <v>1136</v>
      </c>
      <c r="M319" t="s">
        <v>2779</v>
      </c>
      <c r="N319" t="s">
        <v>2665</v>
      </c>
      <c r="O319" t="s">
        <v>3331</v>
      </c>
      <c r="P319" t="s">
        <v>2834</v>
      </c>
      <c r="Q319" t="s">
        <v>3162</v>
      </c>
      <c r="R319" t="s">
        <v>2665</v>
      </c>
      <c r="S319" t="s">
        <v>2781</v>
      </c>
      <c r="T319" t="s">
        <v>2922</v>
      </c>
      <c r="U319" t="s">
        <v>2665</v>
      </c>
      <c r="V319" t="s">
        <v>3332</v>
      </c>
      <c r="W319" t="s">
        <v>3333</v>
      </c>
      <c r="X319" t="s">
        <v>2665</v>
      </c>
      <c r="Y319" t="s">
        <v>2054</v>
      </c>
      <c r="Z319" t="s">
        <v>1136</v>
      </c>
      <c r="AA319" t="s">
        <v>2850</v>
      </c>
      <c r="AB319" t="s">
        <v>2850</v>
      </c>
      <c r="AC319" t="s">
        <v>2665</v>
      </c>
      <c r="AD319" t="s">
        <v>2054</v>
      </c>
      <c r="AE319" t="s">
        <v>2054</v>
      </c>
    </row>
    <row r="320" spans="1:31" x14ac:dyDescent="0.25">
      <c r="A320" t="s">
        <v>1486</v>
      </c>
      <c r="B320" t="s">
        <v>45</v>
      </c>
      <c r="C320" t="s">
        <v>3350</v>
      </c>
      <c r="D320" t="s">
        <v>401</v>
      </c>
      <c r="E320" t="s">
        <v>2666</v>
      </c>
      <c r="F320" t="s">
        <v>3351</v>
      </c>
      <c r="G320" t="s">
        <v>2666</v>
      </c>
      <c r="H320" t="s">
        <v>2054</v>
      </c>
      <c r="I320" t="s">
        <v>2741</v>
      </c>
      <c r="J320" t="s">
        <v>2054</v>
      </c>
      <c r="K320" t="s">
        <v>2665</v>
      </c>
      <c r="L320" t="s">
        <v>1136</v>
      </c>
      <c r="M320" t="s">
        <v>2779</v>
      </c>
      <c r="N320" t="s">
        <v>2665</v>
      </c>
      <c r="O320" t="s">
        <v>3331</v>
      </c>
      <c r="P320" t="s">
        <v>2834</v>
      </c>
      <c r="Q320" t="s">
        <v>3162</v>
      </c>
      <c r="R320" t="s">
        <v>2665</v>
      </c>
      <c r="S320" t="s">
        <v>2781</v>
      </c>
      <c r="T320" t="s">
        <v>2922</v>
      </c>
      <c r="U320" t="s">
        <v>2665</v>
      </c>
      <c r="V320" t="s">
        <v>3332</v>
      </c>
      <c r="W320" t="s">
        <v>3333</v>
      </c>
      <c r="X320" t="s">
        <v>2665</v>
      </c>
      <c r="Y320" t="s">
        <v>2054</v>
      </c>
      <c r="Z320" t="s">
        <v>1136</v>
      </c>
      <c r="AA320" t="s">
        <v>2797</v>
      </c>
      <c r="AB320" t="s">
        <v>2797</v>
      </c>
      <c r="AC320" t="s">
        <v>2665</v>
      </c>
      <c r="AD320" t="s">
        <v>2054</v>
      </c>
      <c r="AE320" t="s">
        <v>2054</v>
      </c>
    </row>
    <row r="321" spans="1:31" x14ac:dyDescent="0.25">
      <c r="A321" t="s">
        <v>1487</v>
      </c>
      <c r="B321" t="s">
        <v>46</v>
      </c>
      <c r="C321" t="s">
        <v>3352</v>
      </c>
      <c r="D321" t="s">
        <v>403</v>
      </c>
      <c r="E321" t="s">
        <v>2666</v>
      </c>
      <c r="F321" t="s">
        <v>3353</v>
      </c>
      <c r="G321" t="s">
        <v>2666</v>
      </c>
      <c r="H321" t="s">
        <v>2054</v>
      </c>
      <c r="I321" t="s">
        <v>2741</v>
      </c>
      <c r="J321" t="s">
        <v>2054</v>
      </c>
      <c r="K321" t="s">
        <v>2665</v>
      </c>
      <c r="L321" t="s">
        <v>1136</v>
      </c>
      <c r="M321" t="s">
        <v>2779</v>
      </c>
      <c r="N321" t="s">
        <v>2665</v>
      </c>
      <c r="O321" t="s">
        <v>3331</v>
      </c>
      <c r="P321" t="s">
        <v>2834</v>
      </c>
      <c r="Q321" t="s">
        <v>3162</v>
      </c>
      <c r="R321" t="s">
        <v>2665</v>
      </c>
      <c r="S321" t="s">
        <v>2781</v>
      </c>
      <c r="T321" t="s">
        <v>2922</v>
      </c>
      <c r="U321" t="s">
        <v>2665</v>
      </c>
      <c r="V321" t="s">
        <v>3332</v>
      </c>
      <c r="W321" t="s">
        <v>3333</v>
      </c>
      <c r="X321" t="s">
        <v>2665</v>
      </c>
      <c r="Y321" t="s">
        <v>2054</v>
      </c>
      <c r="Z321" t="s">
        <v>1136</v>
      </c>
      <c r="AA321" t="s">
        <v>2795</v>
      </c>
      <c r="AB321" t="s">
        <v>2795</v>
      </c>
      <c r="AC321" t="s">
        <v>2665</v>
      </c>
      <c r="AD321" t="s">
        <v>2054</v>
      </c>
      <c r="AE321" t="s">
        <v>2054</v>
      </c>
    </row>
    <row r="322" spans="1:31" x14ac:dyDescent="0.25">
      <c r="A322" t="s">
        <v>1488</v>
      </c>
      <c r="B322" t="s">
        <v>47</v>
      </c>
      <c r="C322" t="s">
        <v>3354</v>
      </c>
      <c r="D322" t="s">
        <v>3355</v>
      </c>
      <c r="E322" t="s">
        <v>2666</v>
      </c>
      <c r="F322" t="s">
        <v>2799</v>
      </c>
      <c r="G322" t="s">
        <v>2666</v>
      </c>
      <c r="H322" t="s">
        <v>2054</v>
      </c>
      <c r="I322" t="s">
        <v>2741</v>
      </c>
      <c r="J322" t="s">
        <v>2054</v>
      </c>
      <c r="K322" t="s">
        <v>2665</v>
      </c>
      <c r="L322" t="s">
        <v>1136</v>
      </c>
      <c r="M322" t="s">
        <v>2779</v>
      </c>
      <c r="N322" t="s">
        <v>2665</v>
      </c>
      <c r="O322" t="s">
        <v>3331</v>
      </c>
      <c r="P322" t="s">
        <v>2834</v>
      </c>
      <c r="Q322" t="s">
        <v>3162</v>
      </c>
      <c r="R322" t="s">
        <v>2665</v>
      </c>
      <c r="S322" t="s">
        <v>2781</v>
      </c>
      <c r="T322" t="s">
        <v>2922</v>
      </c>
      <c r="U322" t="s">
        <v>2665</v>
      </c>
      <c r="V322" t="s">
        <v>3332</v>
      </c>
      <c r="W322" t="s">
        <v>3333</v>
      </c>
      <c r="X322" t="s">
        <v>2665</v>
      </c>
      <c r="Y322" t="s">
        <v>2054</v>
      </c>
      <c r="Z322" t="s">
        <v>1136</v>
      </c>
      <c r="AA322" t="s">
        <v>2795</v>
      </c>
      <c r="AB322" t="s">
        <v>2795</v>
      </c>
      <c r="AC322" t="s">
        <v>2665</v>
      </c>
      <c r="AD322" t="s">
        <v>2054</v>
      </c>
      <c r="AE322" t="s">
        <v>2054</v>
      </c>
    </row>
    <row r="323" spans="1:31" x14ac:dyDescent="0.25">
      <c r="A323" t="s">
        <v>1489</v>
      </c>
      <c r="B323" t="s">
        <v>48</v>
      </c>
      <c r="C323" t="s">
        <v>3356</v>
      </c>
      <c r="D323" t="s">
        <v>3357</v>
      </c>
      <c r="E323" t="s">
        <v>2666</v>
      </c>
      <c r="F323" t="s">
        <v>3358</v>
      </c>
      <c r="G323" t="s">
        <v>2666</v>
      </c>
      <c r="H323" t="s">
        <v>2054</v>
      </c>
      <c r="I323" t="s">
        <v>2741</v>
      </c>
      <c r="J323" t="s">
        <v>2054</v>
      </c>
      <c r="K323" t="s">
        <v>2665</v>
      </c>
      <c r="L323" t="s">
        <v>1136</v>
      </c>
      <c r="M323" t="s">
        <v>2779</v>
      </c>
      <c r="N323" t="s">
        <v>2665</v>
      </c>
      <c r="O323" t="s">
        <v>3331</v>
      </c>
      <c r="P323" t="s">
        <v>2834</v>
      </c>
      <c r="Q323" t="s">
        <v>3162</v>
      </c>
      <c r="R323" t="s">
        <v>2665</v>
      </c>
      <c r="S323" t="s">
        <v>2781</v>
      </c>
      <c r="T323" t="s">
        <v>2922</v>
      </c>
      <c r="U323" t="s">
        <v>2665</v>
      </c>
      <c r="V323" t="s">
        <v>3332</v>
      </c>
      <c r="W323" t="s">
        <v>3333</v>
      </c>
      <c r="X323" t="s">
        <v>2665</v>
      </c>
      <c r="Y323" t="s">
        <v>2054</v>
      </c>
      <c r="Z323" t="s">
        <v>1136</v>
      </c>
      <c r="AA323" t="s">
        <v>2795</v>
      </c>
      <c r="AB323" t="s">
        <v>2795</v>
      </c>
      <c r="AC323" t="s">
        <v>2665</v>
      </c>
      <c r="AD323" t="s">
        <v>2054</v>
      </c>
      <c r="AE323" t="s">
        <v>2054</v>
      </c>
    </row>
    <row r="324" spans="1:31" x14ac:dyDescent="0.25">
      <c r="A324" t="s">
        <v>1006</v>
      </c>
      <c r="B324" t="s">
        <v>998</v>
      </c>
      <c r="C324" t="s">
        <v>3359</v>
      </c>
      <c r="D324" t="s">
        <v>999</v>
      </c>
      <c r="E324" t="s">
        <v>2666</v>
      </c>
      <c r="F324" t="s">
        <v>3335</v>
      </c>
      <c r="G324" t="s">
        <v>2666</v>
      </c>
      <c r="H324" t="s">
        <v>2054</v>
      </c>
      <c r="I324" t="s">
        <v>2741</v>
      </c>
      <c r="J324" t="s">
        <v>2054</v>
      </c>
      <c r="K324" t="s">
        <v>2665</v>
      </c>
      <c r="L324" t="s">
        <v>1136</v>
      </c>
      <c r="M324" t="s">
        <v>2779</v>
      </c>
      <c r="N324" t="s">
        <v>2665</v>
      </c>
      <c r="O324" t="s">
        <v>3331</v>
      </c>
      <c r="P324" t="s">
        <v>2834</v>
      </c>
      <c r="Q324" t="s">
        <v>3162</v>
      </c>
      <c r="R324" t="s">
        <v>2665</v>
      </c>
      <c r="S324" t="s">
        <v>2781</v>
      </c>
      <c r="T324" t="s">
        <v>2922</v>
      </c>
      <c r="U324" t="s">
        <v>2665</v>
      </c>
      <c r="V324" t="s">
        <v>3332</v>
      </c>
      <c r="W324" t="s">
        <v>3333</v>
      </c>
      <c r="X324" t="s">
        <v>2665</v>
      </c>
      <c r="Y324" t="s">
        <v>2054</v>
      </c>
      <c r="Z324" t="s">
        <v>1136</v>
      </c>
      <c r="AA324" t="s">
        <v>2742</v>
      </c>
      <c r="AB324" t="s">
        <v>2742</v>
      </c>
      <c r="AC324" t="s">
        <v>2665</v>
      </c>
      <c r="AD324" t="s">
        <v>2054</v>
      </c>
      <c r="AE324" t="s">
        <v>2054</v>
      </c>
    </row>
    <row r="325" spans="1:31" x14ac:dyDescent="0.25">
      <c r="A325" t="s">
        <v>2118</v>
      </c>
      <c r="B325" t="s">
        <v>2117</v>
      </c>
      <c r="C325" t="s">
        <v>3360</v>
      </c>
      <c r="D325" t="s">
        <v>2303</v>
      </c>
      <c r="E325" t="s">
        <v>2666</v>
      </c>
      <c r="F325" t="s">
        <v>3361</v>
      </c>
      <c r="G325" t="s">
        <v>2666</v>
      </c>
      <c r="H325" t="s">
        <v>2054</v>
      </c>
      <c r="I325" t="s">
        <v>2741</v>
      </c>
      <c r="J325" t="s">
        <v>2054</v>
      </c>
      <c r="K325" t="s">
        <v>2665</v>
      </c>
      <c r="L325" t="s">
        <v>1136</v>
      </c>
      <c r="M325" t="s">
        <v>2779</v>
      </c>
      <c r="N325" t="s">
        <v>2665</v>
      </c>
      <c r="O325" t="s">
        <v>3331</v>
      </c>
      <c r="P325" t="s">
        <v>2834</v>
      </c>
      <c r="Q325" t="s">
        <v>3162</v>
      </c>
      <c r="R325" t="s">
        <v>2665</v>
      </c>
      <c r="S325" t="s">
        <v>2781</v>
      </c>
      <c r="T325" t="s">
        <v>2922</v>
      </c>
      <c r="U325" t="s">
        <v>2665</v>
      </c>
      <c r="V325" t="s">
        <v>3332</v>
      </c>
      <c r="W325" t="s">
        <v>3333</v>
      </c>
      <c r="X325" t="s">
        <v>2665</v>
      </c>
      <c r="Y325" t="s">
        <v>2054</v>
      </c>
      <c r="Z325" t="s">
        <v>1136</v>
      </c>
      <c r="AA325" t="s">
        <v>2742</v>
      </c>
      <c r="AB325" t="s">
        <v>2742</v>
      </c>
      <c r="AC325" t="s">
        <v>2665</v>
      </c>
      <c r="AD325" t="s">
        <v>2054</v>
      </c>
      <c r="AE325" t="s">
        <v>2054</v>
      </c>
    </row>
    <row r="326" spans="1:31" x14ac:dyDescent="0.25">
      <c r="A326" t="s">
        <v>2559</v>
      </c>
      <c r="B326" t="s">
        <v>2558</v>
      </c>
      <c r="C326" t="s">
        <v>3362</v>
      </c>
      <c r="D326" t="s">
        <v>3363</v>
      </c>
      <c r="E326" t="s">
        <v>2666</v>
      </c>
      <c r="F326" t="s">
        <v>2842</v>
      </c>
      <c r="G326" t="s">
        <v>2666</v>
      </c>
      <c r="H326" t="s">
        <v>2054</v>
      </c>
      <c r="I326" t="s">
        <v>2741</v>
      </c>
      <c r="J326" t="s">
        <v>2054</v>
      </c>
      <c r="K326" t="s">
        <v>2665</v>
      </c>
      <c r="L326" t="s">
        <v>1136</v>
      </c>
      <c r="M326" t="s">
        <v>2779</v>
      </c>
      <c r="N326" t="s">
        <v>2665</v>
      </c>
      <c r="O326" t="s">
        <v>3331</v>
      </c>
      <c r="P326" t="s">
        <v>2834</v>
      </c>
      <c r="Q326" t="s">
        <v>3162</v>
      </c>
      <c r="R326" t="s">
        <v>2665</v>
      </c>
      <c r="S326" t="s">
        <v>2781</v>
      </c>
      <c r="T326" t="s">
        <v>2922</v>
      </c>
      <c r="U326" t="s">
        <v>2665</v>
      </c>
      <c r="V326" t="s">
        <v>3332</v>
      </c>
      <c r="W326" t="s">
        <v>3333</v>
      </c>
      <c r="X326" t="s">
        <v>2665</v>
      </c>
      <c r="Y326" t="s">
        <v>2054</v>
      </c>
      <c r="Z326" t="s">
        <v>1136</v>
      </c>
      <c r="AA326" t="s">
        <v>2742</v>
      </c>
      <c r="AB326" t="s">
        <v>2742</v>
      </c>
      <c r="AC326" t="s">
        <v>2665</v>
      </c>
      <c r="AD326" t="s">
        <v>2054</v>
      </c>
      <c r="AE326" t="s">
        <v>2054</v>
      </c>
    </row>
    <row r="327" spans="1:31" x14ac:dyDescent="0.25">
      <c r="A327" t="s">
        <v>2561</v>
      </c>
      <c r="B327" t="s">
        <v>2560</v>
      </c>
      <c r="C327" t="s">
        <v>3364</v>
      </c>
      <c r="D327" t="s">
        <v>3365</v>
      </c>
      <c r="E327" t="s">
        <v>2666</v>
      </c>
      <c r="F327" t="s">
        <v>3366</v>
      </c>
      <c r="G327" t="s">
        <v>2666</v>
      </c>
      <c r="H327" t="s">
        <v>2054</v>
      </c>
      <c r="I327" t="s">
        <v>2741</v>
      </c>
      <c r="J327" t="s">
        <v>2054</v>
      </c>
      <c r="K327" t="s">
        <v>2665</v>
      </c>
      <c r="L327" t="s">
        <v>1136</v>
      </c>
      <c r="M327" t="s">
        <v>2779</v>
      </c>
      <c r="N327" t="s">
        <v>2665</v>
      </c>
      <c r="O327" t="s">
        <v>3331</v>
      </c>
      <c r="P327" t="s">
        <v>2834</v>
      </c>
      <c r="Q327" t="s">
        <v>3162</v>
      </c>
      <c r="R327" t="s">
        <v>2665</v>
      </c>
      <c r="S327" t="s">
        <v>2781</v>
      </c>
      <c r="T327" t="s">
        <v>2922</v>
      </c>
      <c r="U327" t="s">
        <v>2665</v>
      </c>
      <c r="V327" t="s">
        <v>3332</v>
      </c>
      <c r="W327" t="s">
        <v>3333</v>
      </c>
      <c r="X327" t="s">
        <v>2665</v>
      </c>
      <c r="Y327" t="s">
        <v>2054</v>
      </c>
      <c r="Z327" t="s">
        <v>1136</v>
      </c>
      <c r="AA327" t="s">
        <v>2742</v>
      </c>
      <c r="AB327" t="s">
        <v>2742</v>
      </c>
      <c r="AC327" t="s">
        <v>2665</v>
      </c>
      <c r="AD327" t="s">
        <v>2054</v>
      </c>
      <c r="AE327" t="s">
        <v>2054</v>
      </c>
    </row>
    <row r="328" spans="1:31" x14ac:dyDescent="0.25">
      <c r="A328" t="s">
        <v>2120</v>
      </c>
      <c r="B328" t="s">
        <v>2119</v>
      </c>
      <c r="C328" t="s">
        <v>3367</v>
      </c>
      <c r="D328" t="s">
        <v>2304</v>
      </c>
      <c r="E328" t="s">
        <v>2666</v>
      </c>
      <c r="F328" t="s">
        <v>3368</v>
      </c>
      <c r="G328" t="s">
        <v>2666</v>
      </c>
      <c r="H328" t="s">
        <v>2054</v>
      </c>
      <c r="I328" t="s">
        <v>2741</v>
      </c>
      <c r="J328" t="s">
        <v>2054</v>
      </c>
      <c r="K328" t="s">
        <v>2665</v>
      </c>
      <c r="L328" t="s">
        <v>1136</v>
      </c>
      <c r="M328" t="s">
        <v>2779</v>
      </c>
      <c r="N328" t="s">
        <v>2665</v>
      </c>
      <c r="O328" t="s">
        <v>3331</v>
      </c>
      <c r="P328" t="s">
        <v>2834</v>
      </c>
      <c r="Q328" t="s">
        <v>3162</v>
      </c>
      <c r="R328" t="s">
        <v>2665</v>
      </c>
      <c r="S328" t="s">
        <v>2781</v>
      </c>
      <c r="T328" t="s">
        <v>2922</v>
      </c>
      <c r="U328" t="s">
        <v>2665</v>
      </c>
      <c r="V328" t="s">
        <v>3332</v>
      </c>
      <c r="W328" t="s">
        <v>3333</v>
      </c>
      <c r="X328" t="s">
        <v>2665</v>
      </c>
      <c r="Y328" t="s">
        <v>2054</v>
      </c>
      <c r="Z328" t="s">
        <v>1136</v>
      </c>
      <c r="AA328" t="s">
        <v>2791</v>
      </c>
      <c r="AB328" t="s">
        <v>2791</v>
      </c>
      <c r="AC328" t="s">
        <v>2665</v>
      </c>
      <c r="AD328" t="s">
        <v>2054</v>
      </c>
      <c r="AE328" t="s">
        <v>2054</v>
      </c>
    </row>
    <row r="329" spans="1:31" x14ac:dyDescent="0.25">
      <c r="A329" t="s">
        <v>2121</v>
      </c>
      <c r="B329" t="s">
        <v>2011</v>
      </c>
      <c r="C329" t="s">
        <v>3369</v>
      </c>
      <c r="D329" t="s">
        <v>2007</v>
      </c>
      <c r="E329" t="s">
        <v>2666</v>
      </c>
      <c r="F329" t="s">
        <v>3370</v>
      </c>
      <c r="G329" t="s">
        <v>2666</v>
      </c>
      <c r="H329" t="s">
        <v>2054</v>
      </c>
      <c r="I329" t="s">
        <v>2741</v>
      </c>
      <c r="J329" t="s">
        <v>2054</v>
      </c>
      <c r="K329" t="s">
        <v>2665</v>
      </c>
      <c r="L329" t="s">
        <v>1136</v>
      </c>
      <c r="M329" t="s">
        <v>2779</v>
      </c>
      <c r="N329" t="s">
        <v>2665</v>
      </c>
      <c r="O329" t="s">
        <v>3331</v>
      </c>
      <c r="P329" t="s">
        <v>2834</v>
      </c>
      <c r="Q329" t="s">
        <v>3162</v>
      </c>
      <c r="R329" t="s">
        <v>2665</v>
      </c>
      <c r="S329" t="s">
        <v>2781</v>
      </c>
      <c r="T329" t="s">
        <v>2922</v>
      </c>
      <c r="U329" t="s">
        <v>2665</v>
      </c>
      <c r="V329" t="s">
        <v>3332</v>
      </c>
      <c r="W329" t="s">
        <v>3333</v>
      </c>
      <c r="X329" t="s">
        <v>2665</v>
      </c>
      <c r="Y329" t="s">
        <v>2054</v>
      </c>
      <c r="Z329" t="s">
        <v>1136</v>
      </c>
      <c r="AA329" t="s">
        <v>2797</v>
      </c>
      <c r="AB329" t="s">
        <v>2797</v>
      </c>
      <c r="AC329" t="s">
        <v>2665</v>
      </c>
      <c r="AD329" t="s">
        <v>2054</v>
      </c>
      <c r="AE329" t="s">
        <v>2054</v>
      </c>
    </row>
    <row r="330" spans="1:31" x14ac:dyDescent="0.25">
      <c r="A330" t="s">
        <v>2122</v>
      </c>
      <c r="B330" t="s">
        <v>2012</v>
      </c>
      <c r="C330" t="s">
        <v>3371</v>
      </c>
      <c r="D330" t="s">
        <v>2008</v>
      </c>
      <c r="E330" t="s">
        <v>2666</v>
      </c>
      <c r="F330" t="s">
        <v>3372</v>
      </c>
      <c r="G330" t="s">
        <v>2666</v>
      </c>
      <c r="H330" t="s">
        <v>2054</v>
      </c>
      <c r="I330" t="s">
        <v>2741</v>
      </c>
      <c r="J330" t="s">
        <v>2054</v>
      </c>
      <c r="K330" t="s">
        <v>2665</v>
      </c>
      <c r="L330" t="s">
        <v>1136</v>
      </c>
      <c r="M330" t="s">
        <v>2779</v>
      </c>
      <c r="N330" t="s">
        <v>2665</v>
      </c>
      <c r="O330" t="s">
        <v>3331</v>
      </c>
      <c r="P330" t="s">
        <v>2834</v>
      </c>
      <c r="Q330" t="s">
        <v>3162</v>
      </c>
      <c r="R330" t="s">
        <v>2665</v>
      </c>
      <c r="S330" t="s">
        <v>2781</v>
      </c>
      <c r="T330" t="s">
        <v>2922</v>
      </c>
      <c r="U330" t="s">
        <v>2665</v>
      </c>
      <c r="V330" t="s">
        <v>3332</v>
      </c>
      <c r="W330" t="s">
        <v>3333</v>
      </c>
      <c r="X330" t="s">
        <v>2665</v>
      </c>
      <c r="Y330" t="s">
        <v>2054</v>
      </c>
      <c r="Z330" t="s">
        <v>1136</v>
      </c>
      <c r="AA330" t="s">
        <v>2797</v>
      </c>
      <c r="AB330" t="s">
        <v>2797</v>
      </c>
      <c r="AC330" t="s">
        <v>2665</v>
      </c>
      <c r="AD330" t="s">
        <v>2054</v>
      </c>
      <c r="AE330" t="s">
        <v>2054</v>
      </c>
    </row>
    <row r="331" spans="1:31" x14ac:dyDescent="0.25">
      <c r="A331" t="s">
        <v>2123</v>
      </c>
      <c r="B331" t="s">
        <v>2013</v>
      </c>
      <c r="C331" t="s">
        <v>3373</v>
      </c>
      <c r="D331" t="s">
        <v>2009</v>
      </c>
      <c r="E331" t="s">
        <v>2666</v>
      </c>
      <c r="F331" t="s">
        <v>3374</v>
      </c>
      <c r="G331" t="s">
        <v>2666</v>
      </c>
      <c r="H331" t="s">
        <v>2054</v>
      </c>
      <c r="I331" t="s">
        <v>2741</v>
      </c>
      <c r="J331" t="s">
        <v>2054</v>
      </c>
      <c r="K331" t="s">
        <v>2665</v>
      </c>
      <c r="L331" t="s">
        <v>1136</v>
      </c>
      <c r="M331" t="s">
        <v>2779</v>
      </c>
      <c r="N331" t="s">
        <v>2665</v>
      </c>
      <c r="O331" t="s">
        <v>3331</v>
      </c>
      <c r="P331" t="s">
        <v>2834</v>
      </c>
      <c r="Q331" t="s">
        <v>3162</v>
      </c>
      <c r="R331" t="s">
        <v>2665</v>
      </c>
      <c r="S331" t="s">
        <v>2781</v>
      </c>
      <c r="T331" t="s">
        <v>2922</v>
      </c>
      <c r="U331" t="s">
        <v>2665</v>
      </c>
      <c r="V331" t="s">
        <v>3332</v>
      </c>
      <c r="W331" t="s">
        <v>3333</v>
      </c>
      <c r="X331" t="s">
        <v>2665</v>
      </c>
      <c r="Y331" t="s">
        <v>2054</v>
      </c>
      <c r="Z331" t="s">
        <v>1136</v>
      </c>
      <c r="AA331" t="s">
        <v>2797</v>
      </c>
      <c r="AB331" t="s">
        <v>2797</v>
      </c>
      <c r="AC331" t="s">
        <v>2665</v>
      </c>
      <c r="AD331" t="s">
        <v>2054</v>
      </c>
      <c r="AE331" t="s">
        <v>2054</v>
      </c>
    </row>
    <row r="332" spans="1:31" x14ac:dyDescent="0.25">
      <c r="A332" t="s">
        <v>2124</v>
      </c>
      <c r="B332" t="s">
        <v>2014</v>
      </c>
      <c r="C332" t="s">
        <v>3375</v>
      </c>
      <c r="D332" t="s">
        <v>2010</v>
      </c>
      <c r="E332" t="s">
        <v>2666</v>
      </c>
      <c r="F332" t="s">
        <v>3374</v>
      </c>
      <c r="G332" t="s">
        <v>2666</v>
      </c>
      <c r="H332" t="s">
        <v>2054</v>
      </c>
      <c r="I332" t="s">
        <v>2741</v>
      </c>
      <c r="J332" t="s">
        <v>2054</v>
      </c>
      <c r="K332" t="s">
        <v>2665</v>
      </c>
      <c r="L332" t="s">
        <v>1136</v>
      </c>
      <c r="M332" t="s">
        <v>2779</v>
      </c>
      <c r="N332" t="s">
        <v>2665</v>
      </c>
      <c r="O332" t="s">
        <v>3331</v>
      </c>
      <c r="P332" t="s">
        <v>2834</v>
      </c>
      <c r="Q332" t="s">
        <v>3162</v>
      </c>
      <c r="R332" t="s">
        <v>2665</v>
      </c>
      <c r="S332" t="s">
        <v>2781</v>
      </c>
      <c r="T332" t="s">
        <v>2922</v>
      </c>
      <c r="U332" t="s">
        <v>2665</v>
      </c>
      <c r="V332" t="s">
        <v>3332</v>
      </c>
      <c r="W332" t="s">
        <v>3333</v>
      </c>
      <c r="X332" t="s">
        <v>2665</v>
      </c>
      <c r="Y332" t="s">
        <v>2054</v>
      </c>
      <c r="Z332" t="s">
        <v>1136</v>
      </c>
      <c r="AA332" t="s">
        <v>2797</v>
      </c>
      <c r="AB332" t="s">
        <v>2797</v>
      </c>
      <c r="AC332" t="s">
        <v>2665</v>
      </c>
      <c r="AD332" t="s">
        <v>2054</v>
      </c>
      <c r="AE332" t="s">
        <v>2054</v>
      </c>
    </row>
    <row r="333" spans="1:31" x14ac:dyDescent="0.25">
      <c r="A333" t="s">
        <v>2126</v>
      </c>
      <c r="B333" t="s">
        <v>2125</v>
      </c>
      <c r="C333" t="s">
        <v>3376</v>
      </c>
      <c r="D333" t="s">
        <v>2300</v>
      </c>
      <c r="E333" t="s">
        <v>2666</v>
      </c>
      <c r="F333" t="s">
        <v>3361</v>
      </c>
      <c r="G333" t="s">
        <v>2666</v>
      </c>
      <c r="H333" t="s">
        <v>2054</v>
      </c>
      <c r="I333" t="s">
        <v>2741</v>
      </c>
      <c r="J333" t="s">
        <v>2054</v>
      </c>
      <c r="K333" t="s">
        <v>2665</v>
      </c>
      <c r="L333" t="s">
        <v>1136</v>
      </c>
      <c r="M333" t="s">
        <v>2779</v>
      </c>
      <c r="N333" t="s">
        <v>2665</v>
      </c>
      <c r="O333" t="s">
        <v>3331</v>
      </c>
      <c r="P333" t="s">
        <v>2834</v>
      </c>
      <c r="Q333" t="s">
        <v>3162</v>
      </c>
      <c r="R333" t="s">
        <v>2665</v>
      </c>
      <c r="S333" t="s">
        <v>2781</v>
      </c>
      <c r="T333" t="s">
        <v>2922</v>
      </c>
      <c r="U333" t="s">
        <v>2665</v>
      </c>
      <c r="V333" t="s">
        <v>3332</v>
      </c>
      <c r="W333" t="s">
        <v>3333</v>
      </c>
      <c r="X333" t="s">
        <v>2665</v>
      </c>
      <c r="Y333" t="s">
        <v>2054</v>
      </c>
      <c r="Z333" t="s">
        <v>1136</v>
      </c>
      <c r="AA333" t="s">
        <v>2742</v>
      </c>
      <c r="AB333" t="s">
        <v>2742</v>
      </c>
      <c r="AC333" t="s">
        <v>2665</v>
      </c>
      <c r="AD333" t="s">
        <v>2054</v>
      </c>
      <c r="AE333" t="s">
        <v>2054</v>
      </c>
    </row>
    <row r="334" spans="1:31" x14ac:dyDescent="0.25">
      <c r="A334" t="s">
        <v>2128</v>
      </c>
      <c r="B334" t="s">
        <v>2127</v>
      </c>
      <c r="C334" t="s">
        <v>3377</v>
      </c>
      <c r="D334" t="s">
        <v>2302</v>
      </c>
      <c r="E334" t="s">
        <v>2666</v>
      </c>
      <c r="F334" t="s">
        <v>3378</v>
      </c>
      <c r="G334" t="s">
        <v>2666</v>
      </c>
      <c r="H334" t="s">
        <v>2054</v>
      </c>
      <c r="I334" t="s">
        <v>2741</v>
      </c>
      <c r="J334" t="s">
        <v>2054</v>
      </c>
      <c r="K334" t="s">
        <v>2665</v>
      </c>
      <c r="L334" t="s">
        <v>1136</v>
      </c>
      <c r="M334" t="s">
        <v>2779</v>
      </c>
      <c r="N334" t="s">
        <v>2665</v>
      </c>
      <c r="O334" t="s">
        <v>3331</v>
      </c>
      <c r="P334" t="s">
        <v>2834</v>
      </c>
      <c r="Q334" t="s">
        <v>3162</v>
      </c>
      <c r="R334" t="s">
        <v>2665</v>
      </c>
      <c r="S334" t="s">
        <v>2781</v>
      </c>
      <c r="T334" t="s">
        <v>2922</v>
      </c>
      <c r="U334" t="s">
        <v>2665</v>
      </c>
      <c r="V334" t="s">
        <v>3332</v>
      </c>
      <c r="W334" t="s">
        <v>3333</v>
      </c>
      <c r="X334" t="s">
        <v>2665</v>
      </c>
      <c r="Y334" t="s">
        <v>2054</v>
      </c>
      <c r="Z334" t="s">
        <v>1136</v>
      </c>
      <c r="AA334" t="s">
        <v>2742</v>
      </c>
      <c r="AB334" t="s">
        <v>2742</v>
      </c>
      <c r="AC334" t="s">
        <v>2665</v>
      </c>
      <c r="AD334" t="s">
        <v>2054</v>
      </c>
      <c r="AE334" t="s">
        <v>2054</v>
      </c>
    </row>
    <row r="335" spans="1:31" x14ac:dyDescent="0.25">
      <c r="A335" t="s">
        <v>2130</v>
      </c>
      <c r="B335" t="s">
        <v>2129</v>
      </c>
      <c r="C335" t="s">
        <v>3379</v>
      </c>
      <c r="D335" t="s">
        <v>2301</v>
      </c>
      <c r="E335" t="s">
        <v>2666</v>
      </c>
      <c r="F335" t="s">
        <v>3380</v>
      </c>
      <c r="G335" t="s">
        <v>2666</v>
      </c>
      <c r="H335" t="s">
        <v>2054</v>
      </c>
      <c r="I335" t="s">
        <v>2741</v>
      </c>
      <c r="J335" t="s">
        <v>2054</v>
      </c>
      <c r="K335" t="s">
        <v>2665</v>
      </c>
      <c r="L335" t="s">
        <v>1136</v>
      </c>
      <c r="M335" t="s">
        <v>2779</v>
      </c>
      <c r="N335" t="s">
        <v>2665</v>
      </c>
      <c r="O335" t="s">
        <v>3331</v>
      </c>
      <c r="P335" t="s">
        <v>2834</v>
      </c>
      <c r="Q335" t="s">
        <v>3162</v>
      </c>
      <c r="R335" t="s">
        <v>2665</v>
      </c>
      <c r="S335" t="s">
        <v>2781</v>
      </c>
      <c r="T335" t="s">
        <v>2922</v>
      </c>
      <c r="U335" t="s">
        <v>2665</v>
      </c>
      <c r="V335" t="s">
        <v>3332</v>
      </c>
      <c r="W335" t="s">
        <v>3333</v>
      </c>
      <c r="X335" t="s">
        <v>2665</v>
      </c>
      <c r="Y335" t="s">
        <v>2054</v>
      </c>
      <c r="Z335" t="s">
        <v>1136</v>
      </c>
      <c r="AA335" t="s">
        <v>2742</v>
      </c>
      <c r="AB335" t="s">
        <v>2742</v>
      </c>
      <c r="AC335" t="s">
        <v>2665</v>
      </c>
      <c r="AD335" t="s">
        <v>2054</v>
      </c>
      <c r="AE335" t="s">
        <v>2054</v>
      </c>
    </row>
    <row r="336" spans="1:31" x14ac:dyDescent="0.25">
      <c r="A336" t="s">
        <v>2132</v>
      </c>
      <c r="B336" t="s">
        <v>2131</v>
      </c>
      <c r="C336" t="s">
        <v>3381</v>
      </c>
      <c r="D336" t="s">
        <v>2316</v>
      </c>
      <c r="E336" t="s">
        <v>2666</v>
      </c>
      <c r="F336" t="s">
        <v>3341</v>
      </c>
      <c r="G336" t="s">
        <v>2666</v>
      </c>
      <c r="H336" t="s">
        <v>2054</v>
      </c>
      <c r="I336" t="s">
        <v>2741</v>
      </c>
      <c r="J336" t="s">
        <v>2054</v>
      </c>
      <c r="K336" t="s">
        <v>2665</v>
      </c>
      <c r="L336" t="s">
        <v>1136</v>
      </c>
      <c r="M336" t="s">
        <v>2779</v>
      </c>
      <c r="N336" t="s">
        <v>2665</v>
      </c>
      <c r="O336" t="s">
        <v>3331</v>
      </c>
      <c r="P336" t="s">
        <v>2834</v>
      </c>
      <c r="Q336" t="s">
        <v>3162</v>
      </c>
      <c r="R336" t="s">
        <v>2665</v>
      </c>
      <c r="S336" t="s">
        <v>2781</v>
      </c>
      <c r="T336" t="s">
        <v>2922</v>
      </c>
      <c r="U336" t="s">
        <v>2665</v>
      </c>
      <c r="V336" t="s">
        <v>3332</v>
      </c>
      <c r="W336" t="s">
        <v>3333</v>
      </c>
      <c r="X336" t="s">
        <v>2665</v>
      </c>
      <c r="Y336" t="s">
        <v>2054</v>
      </c>
      <c r="Z336" t="s">
        <v>1136</v>
      </c>
      <c r="AA336" t="s">
        <v>3382</v>
      </c>
      <c r="AB336" t="s">
        <v>3382</v>
      </c>
      <c r="AC336" t="s">
        <v>2665</v>
      </c>
      <c r="AD336" t="s">
        <v>2054</v>
      </c>
      <c r="AE336" t="s">
        <v>2054</v>
      </c>
    </row>
    <row r="337" spans="1:31" x14ac:dyDescent="0.25">
      <c r="A337" t="s">
        <v>2135</v>
      </c>
      <c r="B337" t="s">
        <v>2134</v>
      </c>
      <c r="C337" t="s">
        <v>3383</v>
      </c>
      <c r="D337" t="s">
        <v>2509</v>
      </c>
      <c r="E337" t="s">
        <v>2666</v>
      </c>
      <c r="F337" t="s">
        <v>3384</v>
      </c>
      <c r="G337" t="s">
        <v>2666</v>
      </c>
      <c r="H337" t="s">
        <v>2054</v>
      </c>
      <c r="I337" t="s">
        <v>2741</v>
      </c>
      <c r="J337" t="s">
        <v>2054</v>
      </c>
      <c r="K337" t="s">
        <v>2665</v>
      </c>
      <c r="L337" t="s">
        <v>1136</v>
      </c>
      <c r="M337" t="s">
        <v>2779</v>
      </c>
      <c r="N337" t="s">
        <v>2665</v>
      </c>
      <c r="O337" t="s">
        <v>3331</v>
      </c>
      <c r="P337" t="s">
        <v>2834</v>
      </c>
      <c r="Q337" t="s">
        <v>3162</v>
      </c>
      <c r="R337" t="s">
        <v>2665</v>
      </c>
      <c r="S337" t="s">
        <v>2781</v>
      </c>
      <c r="T337" t="s">
        <v>2922</v>
      </c>
      <c r="U337" t="s">
        <v>2665</v>
      </c>
      <c r="V337" t="s">
        <v>3332</v>
      </c>
      <c r="W337" t="s">
        <v>3333</v>
      </c>
      <c r="X337" t="s">
        <v>2665</v>
      </c>
      <c r="Y337" t="s">
        <v>2054</v>
      </c>
      <c r="Z337" t="s">
        <v>1136</v>
      </c>
      <c r="AA337" t="s">
        <v>3382</v>
      </c>
      <c r="AB337" t="s">
        <v>3382</v>
      </c>
      <c r="AC337" t="s">
        <v>2665</v>
      </c>
      <c r="AD337" t="s">
        <v>2054</v>
      </c>
      <c r="AE337" t="s">
        <v>2054</v>
      </c>
    </row>
    <row r="338" spans="1:31" x14ac:dyDescent="0.25">
      <c r="A338" t="s">
        <v>2137</v>
      </c>
      <c r="B338" t="s">
        <v>2136</v>
      </c>
      <c r="C338" t="s">
        <v>3385</v>
      </c>
      <c r="D338" t="s">
        <v>2312</v>
      </c>
      <c r="E338" t="s">
        <v>2666</v>
      </c>
      <c r="F338" t="s">
        <v>3386</v>
      </c>
      <c r="G338" t="s">
        <v>2666</v>
      </c>
      <c r="H338" t="s">
        <v>2054</v>
      </c>
      <c r="I338" t="s">
        <v>2741</v>
      </c>
      <c r="J338" t="s">
        <v>2054</v>
      </c>
      <c r="K338" t="s">
        <v>2665</v>
      </c>
      <c r="L338" t="s">
        <v>1136</v>
      </c>
      <c r="M338" t="s">
        <v>2779</v>
      </c>
      <c r="N338" t="s">
        <v>2665</v>
      </c>
      <c r="O338" t="s">
        <v>3331</v>
      </c>
      <c r="P338" t="s">
        <v>2834</v>
      </c>
      <c r="Q338" t="s">
        <v>3162</v>
      </c>
      <c r="R338" t="s">
        <v>2665</v>
      </c>
      <c r="S338" t="s">
        <v>2781</v>
      </c>
      <c r="T338" t="s">
        <v>2922</v>
      </c>
      <c r="U338" t="s">
        <v>2665</v>
      </c>
      <c r="V338" t="s">
        <v>3332</v>
      </c>
      <c r="W338" t="s">
        <v>3333</v>
      </c>
      <c r="X338" t="s">
        <v>2665</v>
      </c>
      <c r="Y338" t="s">
        <v>2054</v>
      </c>
      <c r="Z338" t="s">
        <v>1136</v>
      </c>
      <c r="AA338" t="s">
        <v>3382</v>
      </c>
      <c r="AB338" t="s">
        <v>3382</v>
      </c>
      <c r="AC338" t="s">
        <v>2665</v>
      </c>
      <c r="AD338" t="s">
        <v>2054</v>
      </c>
      <c r="AE338" t="s">
        <v>2054</v>
      </c>
    </row>
    <row r="339" spans="1:31" x14ac:dyDescent="0.25">
      <c r="A339" t="s">
        <v>2563</v>
      </c>
      <c r="B339" t="s">
        <v>2562</v>
      </c>
      <c r="C339" t="s">
        <v>3387</v>
      </c>
      <c r="D339" t="s">
        <v>3388</v>
      </c>
      <c r="E339" t="s">
        <v>2666</v>
      </c>
      <c r="F339" t="s">
        <v>3389</v>
      </c>
      <c r="G339" t="s">
        <v>2666</v>
      </c>
      <c r="H339" t="s">
        <v>2054</v>
      </c>
      <c r="I339" t="s">
        <v>2741</v>
      </c>
      <c r="J339" t="s">
        <v>2054</v>
      </c>
      <c r="K339" t="s">
        <v>2665</v>
      </c>
      <c r="L339" t="s">
        <v>1136</v>
      </c>
      <c r="M339" t="s">
        <v>2781</v>
      </c>
      <c r="N339" t="s">
        <v>2665</v>
      </c>
      <c r="O339" t="s">
        <v>3161</v>
      </c>
      <c r="P339" t="s">
        <v>2781</v>
      </c>
      <c r="Q339" t="s">
        <v>2877</v>
      </c>
      <c r="R339" t="s">
        <v>2665</v>
      </c>
      <c r="S339" t="s">
        <v>2781</v>
      </c>
      <c r="T339" t="s">
        <v>2922</v>
      </c>
      <c r="U339" t="s">
        <v>2665</v>
      </c>
      <c r="V339" t="s">
        <v>3163</v>
      </c>
      <c r="W339" t="s">
        <v>3164</v>
      </c>
      <c r="X339" t="s">
        <v>2665</v>
      </c>
      <c r="Y339" t="s">
        <v>2054</v>
      </c>
      <c r="Z339" t="s">
        <v>1136</v>
      </c>
      <c r="AA339" t="s">
        <v>2783</v>
      </c>
      <c r="AB339" t="s">
        <v>2783</v>
      </c>
      <c r="AC339" t="s">
        <v>2665</v>
      </c>
      <c r="AD339" t="s">
        <v>2054</v>
      </c>
      <c r="AE339" t="s">
        <v>2054</v>
      </c>
    </row>
    <row r="340" spans="1:31" x14ac:dyDescent="0.25">
      <c r="A340" t="s">
        <v>1007</v>
      </c>
      <c r="B340" t="s">
        <v>1000</v>
      </c>
      <c r="C340" t="s">
        <v>3390</v>
      </c>
      <c r="D340" t="s">
        <v>1001</v>
      </c>
      <c r="E340" t="s">
        <v>2666</v>
      </c>
      <c r="F340" t="s">
        <v>3391</v>
      </c>
      <c r="G340" t="s">
        <v>2666</v>
      </c>
      <c r="H340" t="s">
        <v>2054</v>
      </c>
      <c r="I340" t="s">
        <v>2741</v>
      </c>
      <c r="J340" t="s">
        <v>2054</v>
      </c>
      <c r="K340" t="s">
        <v>2665</v>
      </c>
      <c r="L340" t="s">
        <v>1136</v>
      </c>
      <c r="M340" t="s">
        <v>2781</v>
      </c>
      <c r="N340" t="s">
        <v>2665</v>
      </c>
      <c r="O340" t="s">
        <v>3161</v>
      </c>
      <c r="P340" t="s">
        <v>2781</v>
      </c>
      <c r="Q340" t="s">
        <v>2877</v>
      </c>
      <c r="R340" t="s">
        <v>2665</v>
      </c>
      <c r="S340" t="s">
        <v>2781</v>
      </c>
      <c r="T340" t="s">
        <v>2922</v>
      </c>
      <c r="U340" t="s">
        <v>2665</v>
      </c>
      <c r="V340" t="s">
        <v>3163</v>
      </c>
      <c r="W340" t="s">
        <v>3164</v>
      </c>
      <c r="X340" t="s">
        <v>2665</v>
      </c>
      <c r="Y340" t="s">
        <v>2054</v>
      </c>
      <c r="Z340" t="s">
        <v>1136</v>
      </c>
      <c r="AA340" t="s">
        <v>2783</v>
      </c>
      <c r="AB340" t="s">
        <v>2783</v>
      </c>
      <c r="AC340" t="s">
        <v>2665</v>
      </c>
      <c r="AD340" t="s">
        <v>2054</v>
      </c>
      <c r="AE340" t="s">
        <v>2054</v>
      </c>
    </row>
    <row r="341" spans="1:31" x14ac:dyDescent="0.25">
      <c r="A341" t="s">
        <v>2139</v>
      </c>
      <c r="B341" t="s">
        <v>2138</v>
      </c>
      <c r="C341" t="s">
        <v>3392</v>
      </c>
      <c r="D341" t="s">
        <v>2308</v>
      </c>
      <c r="E341" t="s">
        <v>2666</v>
      </c>
      <c r="F341" t="s">
        <v>3393</v>
      </c>
      <c r="G341" t="s">
        <v>2666</v>
      </c>
      <c r="H341" t="s">
        <v>2054</v>
      </c>
      <c r="I341" t="s">
        <v>2741</v>
      </c>
      <c r="J341" t="s">
        <v>2054</v>
      </c>
      <c r="K341" t="s">
        <v>2665</v>
      </c>
      <c r="L341" t="s">
        <v>1136</v>
      </c>
      <c r="M341" t="s">
        <v>2781</v>
      </c>
      <c r="N341" t="s">
        <v>2665</v>
      </c>
      <c r="O341" t="s">
        <v>3161</v>
      </c>
      <c r="P341" t="s">
        <v>2781</v>
      </c>
      <c r="Q341" t="s">
        <v>2877</v>
      </c>
      <c r="R341" t="s">
        <v>2665</v>
      </c>
      <c r="S341" t="s">
        <v>2781</v>
      </c>
      <c r="T341" t="s">
        <v>2922</v>
      </c>
      <c r="U341" t="s">
        <v>2665</v>
      </c>
      <c r="V341" t="s">
        <v>3163</v>
      </c>
      <c r="W341" t="s">
        <v>3164</v>
      </c>
      <c r="X341" t="s">
        <v>2665</v>
      </c>
      <c r="Y341" t="s">
        <v>2054</v>
      </c>
      <c r="Z341" t="s">
        <v>1136</v>
      </c>
      <c r="AA341" t="s">
        <v>2742</v>
      </c>
      <c r="AB341" t="s">
        <v>2742</v>
      </c>
      <c r="AC341" t="s">
        <v>2665</v>
      </c>
      <c r="AD341" t="s">
        <v>2054</v>
      </c>
      <c r="AE341" t="s">
        <v>2054</v>
      </c>
    </row>
    <row r="342" spans="1:31" x14ac:dyDescent="0.25">
      <c r="A342" t="s">
        <v>2141</v>
      </c>
      <c r="B342" t="s">
        <v>2140</v>
      </c>
      <c r="C342" t="s">
        <v>3394</v>
      </c>
      <c r="D342" t="s">
        <v>2295</v>
      </c>
      <c r="E342" t="s">
        <v>2666</v>
      </c>
      <c r="F342" t="s">
        <v>3393</v>
      </c>
      <c r="G342" t="s">
        <v>2666</v>
      </c>
      <c r="H342" t="s">
        <v>2054</v>
      </c>
      <c r="I342" t="s">
        <v>2741</v>
      </c>
      <c r="J342" t="s">
        <v>2054</v>
      </c>
      <c r="K342" t="s">
        <v>2665</v>
      </c>
      <c r="L342" t="s">
        <v>1136</v>
      </c>
      <c r="M342" t="s">
        <v>2781</v>
      </c>
      <c r="N342" t="s">
        <v>2665</v>
      </c>
      <c r="O342" t="s">
        <v>3161</v>
      </c>
      <c r="P342" t="s">
        <v>2834</v>
      </c>
      <c r="Q342" t="s">
        <v>3162</v>
      </c>
      <c r="R342" t="s">
        <v>2665</v>
      </c>
      <c r="S342" t="s">
        <v>2781</v>
      </c>
      <c r="T342" t="s">
        <v>2922</v>
      </c>
      <c r="U342" t="s">
        <v>2665</v>
      </c>
      <c r="V342" t="s">
        <v>3163</v>
      </c>
      <c r="W342" t="s">
        <v>3164</v>
      </c>
      <c r="X342" t="s">
        <v>2665</v>
      </c>
      <c r="Y342" t="s">
        <v>2054</v>
      </c>
      <c r="Z342" t="s">
        <v>1136</v>
      </c>
      <c r="AA342" t="s">
        <v>2742</v>
      </c>
      <c r="AB342" t="s">
        <v>2742</v>
      </c>
      <c r="AC342" t="s">
        <v>2665</v>
      </c>
      <c r="AD342" t="s">
        <v>2054</v>
      </c>
      <c r="AE342" t="s">
        <v>2054</v>
      </c>
    </row>
    <row r="343" spans="1:31" x14ac:dyDescent="0.25">
      <c r="A343" t="s">
        <v>1008</v>
      </c>
      <c r="B343" t="s">
        <v>1002</v>
      </c>
      <c r="C343" t="s">
        <v>3395</v>
      </c>
      <c r="D343" t="s">
        <v>1003</v>
      </c>
      <c r="E343" t="s">
        <v>2666</v>
      </c>
      <c r="F343" t="s">
        <v>3393</v>
      </c>
      <c r="G343" t="s">
        <v>2666</v>
      </c>
      <c r="H343" t="s">
        <v>2054</v>
      </c>
      <c r="I343" t="s">
        <v>2741</v>
      </c>
      <c r="J343" t="s">
        <v>2054</v>
      </c>
      <c r="K343" t="s">
        <v>2665</v>
      </c>
      <c r="L343" t="s">
        <v>1136</v>
      </c>
      <c r="M343" t="s">
        <v>2781</v>
      </c>
      <c r="N343" t="s">
        <v>2665</v>
      </c>
      <c r="O343" t="s">
        <v>3161</v>
      </c>
      <c r="P343" t="s">
        <v>2834</v>
      </c>
      <c r="Q343" t="s">
        <v>3162</v>
      </c>
      <c r="R343" t="s">
        <v>2665</v>
      </c>
      <c r="S343" t="s">
        <v>2781</v>
      </c>
      <c r="T343" t="s">
        <v>2922</v>
      </c>
      <c r="U343" t="s">
        <v>2665</v>
      </c>
      <c r="V343" t="s">
        <v>3163</v>
      </c>
      <c r="W343" t="s">
        <v>3164</v>
      </c>
      <c r="X343" t="s">
        <v>2665</v>
      </c>
      <c r="Y343" t="s">
        <v>2054</v>
      </c>
      <c r="Z343" t="s">
        <v>1136</v>
      </c>
      <c r="AA343" t="s">
        <v>2742</v>
      </c>
      <c r="AB343" t="s">
        <v>2742</v>
      </c>
      <c r="AC343" t="s">
        <v>2665</v>
      </c>
      <c r="AD343" t="s">
        <v>2054</v>
      </c>
      <c r="AE343" t="s">
        <v>2054</v>
      </c>
    </row>
    <row r="344" spans="1:31" x14ac:dyDescent="0.25">
      <c r="A344" t="s">
        <v>2143</v>
      </c>
      <c r="B344" t="s">
        <v>2142</v>
      </c>
      <c r="C344" t="s">
        <v>3396</v>
      </c>
      <c r="D344" t="s">
        <v>2313</v>
      </c>
      <c r="E344" t="s">
        <v>2666</v>
      </c>
      <c r="F344" t="s">
        <v>3358</v>
      </c>
      <c r="G344" t="s">
        <v>2666</v>
      </c>
      <c r="H344" t="s">
        <v>2054</v>
      </c>
      <c r="I344" t="s">
        <v>2741</v>
      </c>
      <c r="J344" t="s">
        <v>2054</v>
      </c>
      <c r="K344" t="s">
        <v>2665</v>
      </c>
      <c r="L344" t="s">
        <v>1136</v>
      </c>
      <c r="M344" t="s">
        <v>2781</v>
      </c>
      <c r="N344" t="s">
        <v>2665</v>
      </c>
      <c r="O344" t="s">
        <v>3161</v>
      </c>
      <c r="P344" t="s">
        <v>2827</v>
      </c>
      <c r="Q344" t="s">
        <v>3397</v>
      </c>
      <c r="R344" t="s">
        <v>2665</v>
      </c>
      <c r="S344" t="s">
        <v>2781</v>
      </c>
      <c r="T344" t="s">
        <v>2922</v>
      </c>
      <c r="U344" t="s">
        <v>2665</v>
      </c>
      <c r="V344" t="s">
        <v>3398</v>
      </c>
      <c r="W344" t="s">
        <v>3399</v>
      </c>
      <c r="X344" t="s">
        <v>2665</v>
      </c>
      <c r="Y344" t="s">
        <v>2054</v>
      </c>
      <c r="Z344" t="s">
        <v>1136</v>
      </c>
      <c r="AA344" t="s">
        <v>2742</v>
      </c>
      <c r="AB344" t="s">
        <v>2742</v>
      </c>
      <c r="AC344" t="s">
        <v>2665</v>
      </c>
      <c r="AD344" t="s">
        <v>2054</v>
      </c>
      <c r="AE344" t="s">
        <v>2054</v>
      </c>
    </row>
    <row r="345" spans="1:31" x14ac:dyDescent="0.25">
      <c r="A345" t="s">
        <v>1009</v>
      </c>
      <c r="B345" t="s">
        <v>1004</v>
      </c>
      <c r="C345" t="s">
        <v>3400</v>
      </c>
      <c r="D345" t="s">
        <v>1005</v>
      </c>
      <c r="E345" t="s">
        <v>2666</v>
      </c>
      <c r="F345" t="s">
        <v>3361</v>
      </c>
      <c r="G345" t="s">
        <v>2666</v>
      </c>
      <c r="H345" t="s">
        <v>2054</v>
      </c>
      <c r="I345" t="s">
        <v>2741</v>
      </c>
      <c r="J345" t="s">
        <v>2054</v>
      </c>
      <c r="K345" t="s">
        <v>2665</v>
      </c>
      <c r="L345" t="s">
        <v>1136</v>
      </c>
      <c r="M345" t="s">
        <v>2671</v>
      </c>
      <c r="N345" t="s">
        <v>2665</v>
      </c>
      <c r="O345" t="s">
        <v>3174</v>
      </c>
      <c r="P345" t="s">
        <v>2834</v>
      </c>
      <c r="Q345" t="s">
        <v>3162</v>
      </c>
      <c r="R345" t="s">
        <v>2665</v>
      </c>
      <c r="S345" t="s">
        <v>2781</v>
      </c>
      <c r="T345" t="s">
        <v>2922</v>
      </c>
      <c r="U345" t="s">
        <v>2665</v>
      </c>
      <c r="V345" t="s">
        <v>3119</v>
      </c>
      <c r="W345" t="s">
        <v>3175</v>
      </c>
      <c r="X345" t="s">
        <v>2665</v>
      </c>
      <c r="Y345" t="s">
        <v>2054</v>
      </c>
      <c r="Z345" t="s">
        <v>1136</v>
      </c>
      <c r="AA345" t="s">
        <v>2742</v>
      </c>
      <c r="AB345" t="s">
        <v>2742</v>
      </c>
      <c r="AC345" t="s">
        <v>2665</v>
      </c>
      <c r="AD345" t="s">
        <v>2054</v>
      </c>
      <c r="AE345" t="s">
        <v>2054</v>
      </c>
    </row>
    <row r="346" spans="1:31" x14ac:dyDescent="0.25">
      <c r="A346" t="s">
        <v>3401</v>
      </c>
      <c r="B346" t="s">
        <v>3402</v>
      </c>
      <c r="C346" t="s">
        <v>3403</v>
      </c>
      <c r="D346" t="s">
        <v>3402</v>
      </c>
      <c r="E346" t="s">
        <v>2666</v>
      </c>
      <c r="F346" t="s">
        <v>2712</v>
      </c>
      <c r="G346" t="s">
        <v>2666</v>
      </c>
      <c r="H346" t="s">
        <v>2054</v>
      </c>
      <c r="I346" t="s">
        <v>2778</v>
      </c>
      <c r="J346" t="s">
        <v>2054</v>
      </c>
      <c r="K346" t="s">
        <v>2665</v>
      </c>
      <c r="L346" t="s">
        <v>1179</v>
      </c>
      <c r="M346" t="s">
        <v>2898</v>
      </c>
      <c r="N346" t="s">
        <v>2665</v>
      </c>
      <c r="O346" t="s">
        <v>2984</v>
      </c>
      <c r="P346" t="s">
        <v>2834</v>
      </c>
      <c r="Q346" t="s">
        <v>3162</v>
      </c>
      <c r="R346" t="s">
        <v>2665</v>
      </c>
      <c r="S346" t="s">
        <v>2779</v>
      </c>
      <c r="T346" t="s">
        <v>2780</v>
      </c>
      <c r="U346" t="s">
        <v>2665</v>
      </c>
      <c r="V346" t="s">
        <v>3404</v>
      </c>
      <c r="W346" t="s">
        <v>3405</v>
      </c>
      <c r="X346" t="s">
        <v>2665</v>
      </c>
      <c r="Y346" t="s">
        <v>2054</v>
      </c>
      <c r="Z346" t="s">
        <v>1179</v>
      </c>
      <c r="AA346" t="s">
        <v>2791</v>
      </c>
      <c r="AB346" t="s">
        <v>2791</v>
      </c>
      <c r="AC346" t="s">
        <v>2665</v>
      </c>
      <c r="AD346" t="s">
        <v>2054</v>
      </c>
      <c r="AE346" t="s">
        <v>2718</v>
      </c>
    </row>
    <row r="347" spans="1:31" x14ac:dyDescent="0.25">
      <c r="A347" t="s">
        <v>1490</v>
      </c>
      <c r="B347" t="s">
        <v>49</v>
      </c>
      <c r="C347" t="s">
        <v>2763</v>
      </c>
      <c r="D347" t="s">
        <v>49</v>
      </c>
      <c r="E347" t="s">
        <v>2666</v>
      </c>
      <c r="F347" t="s">
        <v>3256</v>
      </c>
      <c r="G347" t="s">
        <v>2666</v>
      </c>
      <c r="H347" t="s">
        <v>2054</v>
      </c>
      <c r="I347" t="s">
        <v>2778</v>
      </c>
      <c r="J347" t="s">
        <v>2054</v>
      </c>
      <c r="K347" t="s">
        <v>2665</v>
      </c>
      <c r="L347" t="s">
        <v>1179</v>
      </c>
      <c r="M347" t="s">
        <v>2898</v>
      </c>
      <c r="N347" t="s">
        <v>2665</v>
      </c>
      <c r="O347" t="s">
        <v>2984</v>
      </c>
      <c r="P347" t="s">
        <v>2834</v>
      </c>
      <c r="Q347" t="s">
        <v>3162</v>
      </c>
      <c r="R347" t="s">
        <v>2665</v>
      </c>
      <c r="S347" t="s">
        <v>2779</v>
      </c>
      <c r="T347" t="s">
        <v>2780</v>
      </c>
      <c r="U347" t="s">
        <v>2665</v>
      </c>
      <c r="V347" t="s">
        <v>3404</v>
      </c>
      <c r="W347" t="s">
        <v>3405</v>
      </c>
      <c r="X347" t="s">
        <v>2665</v>
      </c>
      <c r="Y347" t="s">
        <v>2054</v>
      </c>
      <c r="Z347" t="s">
        <v>1179</v>
      </c>
      <c r="AA347" t="s">
        <v>2742</v>
      </c>
      <c r="AB347" t="s">
        <v>2742</v>
      </c>
      <c r="AC347" t="s">
        <v>2665</v>
      </c>
      <c r="AD347" t="s">
        <v>2054</v>
      </c>
      <c r="AE347" t="s">
        <v>2054</v>
      </c>
    </row>
    <row r="348" spans="1:31" x14ac:dyDescent="0.25">
      <c r="A348" t="s">
        <v>1491</v>
      </c>
      <c r="B348" t="s">
        <v>50</v>
      </c>
      <c r="C348" t="s">
        <v>3406</v>
      </c>
      <c r="D348" t="s">
        <v>50</v>
      </c>
      <c r="E348" t="s">
        <v>2666</v>
      </c>
      <c r="F348" t="s">
        <v>3407</v>
      </c>
      <c r="G348" t="s">
        <v>2666</v>
      </c>
      <c r="H348" t="s">
        <v>2054</v>
      </c>
      <c r="I348" t="s">
        <v>2778</v>
      </c>
      <c r="J348" t="s">
        <v>2054</v>
      </c>
      <c r="K348" t="s">
        <v>2665</v>
      </c>
      <c r="L348" t="s">
        <v>1179</v>
      </c>
      <c r="M348" t="s">
        <v>2898</v>
      </c>
      <c r="N348" t="s">
        <v>2665</v>
      </c>
      <c r="O348" t="s">
        <v>2984</v>
      </c>
      <c r="P348" t="s">
        <v>2834</v>
      </c>
      <c r="Q348" t="s">
        <v>3162</v>
      </c>
      <c r="R348" t="s">
        <v>2665</v>
      </c>
      <c r="S348" t="s">
        <v>2779</v>
      </c>
      <c r="T348" t="s">
        <v>2780</v>
      </c>
      <c r="U348" t="s">
        <v>2665</v>
      </c>
      <c r="V348" t="s">
        <v>3404</v>
      </c>
      <c r="W348" t="s">
        <v>3405</v>
      </c>
      <c r="X348" t="s">
        <v>2665</v>
      </c>
      <c r="Y348" t="s">
        <v>2054</v>
      </c>
      <c r="Z348" t="s">
        <v>1179</v>
      </c>
      <c r="AA348" t="s">
        <v>2742</v>
      </c>
      <c r="AB348" t="s">
        <v>2742</v>
      </c>
      <c r="AC348" t="s">
        <v>2665</v>
      </c>
      <c r="AD348" t="s">
        <v>2054</v>
      </c>
      <c r="AE348" t="s">
        <v>2054</v>
      </c>
    </row>
    <row r="349" spans="1:31" x14ac:dyDescent="0.25">
      <c r="A349" t="s">
        <v>1492</v>
      </c>
      <c r="B349" t="s">
        <v>51</v>
      </c>
      <c r="C349" t="s">
        <v>3408</v>
      </c>
      <c r="D349" t="s">
        <v>51</v>
      </c>
      <c r="E349" t="s">
        <v>2666</v>
      </c>
      <c r="F349" t="s">
        <v>2765</v>
      </c>
      <c r="G349" t="s">
        <v>2666</v>
      </c>
      <c r="H349" t="s">
        <v>2054</v>
      </c>
      <c r="I349" t="s">
        <v>2778</v>
      </c>
      <c r="J349" t="s">
        <v>2054</v>
      </c>
      <c r="K349" t="s">
        <v>2665</v>
      </c>
      <c r="L349" t="s">
        <v>1179</v>
      </c>
      <c r="M349" t="s">
        <v>2898</v>
      </c>
      <c r="N349" t="s">
        <v>2665</v>
      </c>
      <c r="O349" t="s">
        <v>2984</v>
      </c>
      <c r="P349" t="s">
        <v>2834</v>
      </c>
      <c r="Q349" t="s">
        <v>3162</v>
      </c>
      <c r="R349" t="s">
        <v>2665</v>
      </c>
      <c r="S349" t="s">
        <v>2779</v>
      </c>
      <c r="T349" t="s">
        <v>2780</v>
      </c>
      <c r="U349" t="s">
        <v>2665</v>
      </c>
      <c r="V349" t="s">
        <v>3404</v>
      </c>
      <c r="W349" t="s">
        <v>3405</v>
      </c>
      <c r="X349" t="s">
        <v>2665</v>
      </c>
      <c r="Y349" t="s">
        <v>2054</v>
      </c>
      <c r="Z349" t="s">
        <v>1179</v>
      </c>
      <c r="AA349" t="s">
        <v>2742</v>
      </c>
      <c r="AB349" t="s">
        <v>2742</v>
      </c>
      <c r="AC349" t="s">
        <v>2665</v>
      </c>
      <c r="AD349" t="s">
        <v>2054</v>
      </c>
      <c r="AE349" t="s">
        <v>2054</v>
      </c>
    </row>
    <row r="350" spans="1:31" x14ac:dyDescent="0.25">
      <c r="A350" t="s">
        <v>1493</v>
      </c>
      <c r="B350" t="s">
        <v>52</v>
      </c>
      <c r="C350" t="s">
        <v>3409</v>
      </c>
      <c r="D350" t="s">
        <v>52</v>
      </c>
      <c r="E350" t="s">
        <v>2666</v>
      </c>
      <c r="F350" t="s">
        <v>2852</v>
      </c>
      <c r="G350" t="s">
        <v>2666</v>
      </c>
      <c r="H350" t="s">
        <v>2054</v>
      </c>
      <c r="I350" t="s">
        <v>2778</v>
      </c>
      <c r="J350" t="s">
        <v>2054</v>
      </c>
      <c r="K350" t="s">
        <v>2665</v>
      </c>
      <c r="L350" t="s">
        <v>1179</v>
      </c>
      <c r="M350" t="s">
        <v>2898</v>
      </c>
      <c r="N350" t="s">
        <v>2665</v>
      </c>
      <c r="O350" t="s">
        <v>2984</v>
      </c>
      <c r="P350" t="s">
        <v>2834</v>
      </c>
      <c r="Q350" t="s">
        <v>3162</v>
      </c>
      <c r="R350" t="s">
        <v>2665</v>
      </c>
      <c r="S350" t="s">
        <v>2779</v>
      </c>
      <c r="T350" t="s">
        <v>2780</v>
      </c>
      <c r="U350" t="s">
        <v>2665</v>
      </c>
      <c r="V350" t="s">
        <v>3404</v>
      </c>
      <c r="W350" t="s">
        <v>3405</v>
      </c>
      <c r="X350" t="s">
        <v>2665</v>
      </c>
      <c r="Y350" t="s">
        <v>2054</v>
      </c>
      <c r="Z350" t="s">
        <v>1179</v>
      </c>
      <c r="AA350" t="s">
        <v>2742</v>
      </c>
      <c r="AB350" t="s">
        <v>2742</v>
      </c>
      <c r="AC350" t="s">
        <v>2665</v>
      </c>
      <c r="AD350" t="s">
        <v>2054</v>
      </c>
      <c r="AE350" t="s">
        <v>2054</v>
      </c>
    </row>
    <row r="351" spans="1:31" x14ac:dyDescent="0.25">
      <c r="A351" t="s">
        <v>1494</v>
      </c>
      <c r="B351" t="s">
        <v>53</v>
      </c>
      <c r="C351" t="s">
        <v>3410</v>
      </c>
      <c r="D351" t="s">
        <v>53</v>
      </c>
      <c r="E351" t="s">
        <v>2666</v>
      </c>
      <c r="F351" t="s">
        <v>2777</v>
      </c>
      <c r="G351" t="s">
        <v>2666</v>
      </c>
      <c r="H351" t="s">
        <v>2054</v>
      </c>
      <c r="I351" t="s">
        <v>2778</v>
      </c>
      <c r="J351" t="s">
        <v>2054</v>
      </c>
      <c r="K351" t="s">
        <v>2665</v>
      </c>
      <c r="L351" t="s">
        <v>1179</v>
      </c>
      <c r="M351" t="s">
        <v>2898</v>
      </c>
      <c r="N351" t="s">
        <v>2665</v>
      </c>
      <c r="O351" t="s">
        <v>2984</v>
      </c>
      <c r="P351" t="s">
        <v>3411</v>
      </c>
      <c r="Q351" t="s">
        <v>3412</v>
      </c>
      <c r="R351" t="s">
        <v>2665</v>
      </c>
      <c r="S351" t="s">
        <v>2779</v>
      </c>
      <c r="T351" t="s">
        <v>2780</v>
      </c>
      <c r="U351" t="s">
        <v>2665</v>
      </c>
      <c r="V351" t="s">
        <v>3413</v>
      </c>
      <c r="W351" t="s">
        <v>3414</v>
      </c>
      <c r="X351" t="s">
        <v>2665</v>
      </c>
      <c r="Y351" t="s">
        <v>2054</v>
      </c>
      <c r="Z351" t="s">
        <v>1179</v>
      </c>
      <c r="AA351" t="s">
        <v>2742</v>
      </c>
      <c r="AB351" t="s">
        <v>2742</v>
      </c>
      <c r="AC351" t="s">
        <v>2665</v>
      </c>
      <c r="AD351" t="s">
        <v>2054</v>
      </c>
      <c r="AE351" t="s">
        <v>2726</v>
      </c>
    </row>
    <row r="352" spans="1:31" x14ac:dyDescent="0.25">
      <c r="A352" t="s">
        <v>1495</v>
      </c>
      <c r="B352" t="s">
        <v>54</v>
      </c>
      <c r="C352" t="s">
        <v>3415</v>
      </c>
      <c r="D352" t="s">
        <v>54</v>
      </c>
      <c r="E352" t="s">
        <v>2666</v>
      </c>
      <c r="F352" t="s">
        <v>3407</v>
      </c>
      <c r="G352" t="s">
        <v>2666</v>
      </c>
      <c r="H352" t="s">
        <v>2054</v>
      </c>
      <c r="I352" t="s">
        <v>2778</v>
      </c>
      <c r="J352" t="s">
        <v>2054</v>
      </c>
      <c r="K352" t="s">
        <v>2665</v>
      </c>
      <c r="L352" t="s">
        <v>1179</v>
      </c>
      <c r="M352" t="s">
        <v>2898</v>
      </c>
      <c r="N352" t="s">
        <v>2665</v>
      </c>
      <c r="O352" t="s">
        <v>2984</v>
      </c>
      <c r="P352" t="s">
        <v>3411</v>
      </c>
      <c r="Q352" t="s">
        <v>3412</v>
      </c>
      <c r="R352" t="s">
        <v>2665</v>
      </c>
      <c r="S352" t="s">
        <v>2779</v>
      </c>
      <c r="T352" t="s">
        <v>2780</v>
      </c>
      <c r="U352" t="s">
        <v>2665</v>
      </c>
      <c r="V352" t="s">
        <v>3413</v>
      </c>
      <c r="W352" t="s">
        <v>3414</v>
      </c>
      <c r="X352" t="s">
        <v>2665</v>
      </c>
      <c r="Y352" t="s">
        <v>2054</v>
      </c>
      <c r="Z352" t="s">
        <v>1179</v>
      </c>
      <c r="AA352" t="s">
        <v>2742</v>
      </c>
      <c r="AB352" t="s">
        <v>2742</v>
      </c>
      <c r="AC352" t="s">
        <v>2665</v>
      </c>
      <c r="AD352" t="s">
        <v>2054</v>
      </c>
      <c r="AE352" t="s">
        <v>2726</v>
      </c>
    </row>
    <row r="353" spans="1:31" x14ac:dyDescent="0.25">
      <c r="A353" t="s">
        <v>1496</v>
      </c>
      <c r="B353" t="s">
        <v>55</v>
      </c>
      <c r="C353" t="s">
        <v>3416</v>
      </c>
      <c r="D353" t="s">
        <v>55</v>
      </c>
      <c r="E353" t="s">
        <v>2666</v>
      </c>
      <c r="F353" t="s">
        <v>2777</v>
      </c>
      <c r="G353" t="s">
        <v>2666</v>
      </c>
      <c r="H353" t="s">
        <v>2054</v>
      </c>
      <c r="I353" t="s">
        <v>2778</v>
      </c>
      <c r="J353" t="s">
        <v>2054</v>
      </c>
      <c r="K353" t="s">
        <v>2665</v>
      </c>
      <c r="L353" t="s">
        <v>1179</v>
      </c>
      <c r="M353" t="s">
        <v>2898</v>
      </c>
      <c r="N353" t="s">
        <v>2665</v>
      </c>
      <c r="O353" t="s">
        <v>2984</v>
      </c>
      <c r="P353" t="s">
        <v>3411</v>
      </c>
      <c r="Q353" t="s">
        <v>3412</v>
      </c>
      <c r="R353" t="s">
        <v>2665</v>
      </c>
      <c r="S353" t="s">
        <v>2779</v>
      </c>
      <c r="T353" t="s">
        <v>2780</v>
      </c>
      <c r="U353" t="s">
        <v>2665</v>
      </c>
      <c r="V353" t="s">
        <v>3413</v>
      </c>
      <c r="W353" t="s">
        <v>3414</v>
      </c>
      <c r="X353" t="s">
        <v>2665</v>
      </c>
      <c r="Y353" t="s">
        <v>2054</v>
      </c>
      <c r="Z353" t="s">
        <v>1179</v>
      </c>
      <c r="AA353" t="s">
        <v>2742</v>
      </c>
      <c r="AB353" t="s">
        <v>2742</v>
      </c>
      <c r="AC353" t="s">
        <v>2665</v>
      </c>
      <c r="AD353" t="s">
        <v>2054</v>
      </c>
      <c r="AE353" t="s">
        <v>2054</v>
      </c>
    </row>
    <row r="354" spans="1:31" x14ac:dyDescent="0.25">
      <c r="A354" t="s">
        <v>1497</v>
      </c>
      <c r="B354" t="s">
        <v>56</v>
      </c>
      <c r="C354" t="s">
        <v>3417</v>
      </c>
      <c r="D354" t="s">
        <v>56</v>
      </c>
      <c r="E354" t="s">
        <v>2666</v>
      </c>
      <c r="F354" t="s">
        <v>2852</v>
      </c>
      <c r="G354" t="s">
        <v>2666</v>
      </c>
      <c r="H354" t="s">
        <v>2054</v>
      </c>
      <c r="I354" t="s">
        <v>2778</v>
      </c>
      <c r="J354" t="s">
        <v>2054</v>
      </c>
      <c r="K354" t="s">
        <v>2665</v>
      </c>
      <c r="L354" t="s">
        <v>1179</v>
      </c>
      <c r="M354" t="s">
        <v>2898</v>
      </c>
      <c r="N354" t="s">
        <v>2665</v>
      </c>
      <c r="O354" t="s">
        <v>2984</v>
      </c>
      <c r="P354" t="s">
        <v>3411</v>
      </c>
      <c r="Q354" t="s">
        <v>3412</v>
      </c>
      <c r="R354" t="s">
        <v>2665</v>
      </c>
      <c r="S354" t="s">
        <v>2779</v>
      </c>
      <c r="T354" t="s">
        <v>2780</v>
      </c>
      <c r="U354" t="s">
        <v>2665</v>
      </c>
      <c r="V354" t="s">
        <v>3413</v>
      </c>
      <c r="W354" t="s">
        <v>3414</v>
      </c>
      <c r="X354" t="s">
        <v>2665</v>
      </c>
      <c r="Y354" t="s">
        <v>2054</v>
      </c>
      <c r="Z354" t="s">
        <v>1179</v>
      </c>
      <c r="AA354" t="s">
        <v>2742</v>
      </c>
      <c r="AB354" t="s">
        <v>2742</v>
      </c>
      <c r="AC354" t="s">
        <v>2665</v>
      </c>
      <c r="AD354" t="s">
        <v>2054</v>
      </c>
      <c r="AE354" t="s">
        <v>2054</v>
      </c>
    </row>
    <row r="355" spans="1:31" x14ac:dyDescent="0.25">
      <c r="A355" t="s">
        <v>1499</v>
      </c>
      <c r="B355" t="s">
        <v>1498</v>
      </c>
      <c r="C355" t="s">
        <v>3418</v>
      </c>
      <c r="D355" t="s">
        <v>1498</v>
      </c>
      <c r="E355" t="s">
        <v>2666</v>
      </c>
      <c r="F355" t="s">
        <v>3419</v>
      </c>
      <c r="G355" t="s">
        <v>2666</v>
      </c>
      <c r="H355" t="s">
        <v>2054</v>
      </c>
      <c r="I355" t="s">
        <v>2778</v>
      </c>
      <c r="J355" t="s">
        <v>2054</v>
      </c>
      <c r="K355" t="s">
        <v>2665</v>
      </c>
      <c r="L355" t="s">
        <v>1179</v>
      </c>
      <c r="M355" t="s">
        <v>2875</v>
      </c>
      <c r="N355" t="s">
        <v>2665</v>
      </c>
      <c r="O355" t="s">
        <v>2876</v>
      </c>
      <c r="P355" t="s">
        <v>2669</v>
      </c>
      <c r="Q355" t="s">
        <v>3420</v>
      </c>
      <c r="R355" t="s">
        <v>2665</v>
      </c>
      <c r="S355" t="s">
        <v>2779</v>
      </c>
      <c r="T355" t="s">
        <v>2780</v>
      </c>
      <c r="U355" t="s">
        <v>2665</v>
      </c>
      <c r="V355" t="s">
        <v>3421</v>
      </c>
      <c r="W355" t="s">
        <v>3422</v>
      </c>
      <c r="X355" t="s">
        <v>2665</v>
      </c>
      <c r="Y355" t="s">
        <v>2054</v>
      </c>
      <c r="Z355" t="s">
        <v>1179</v>
      </c>
      <c r="AA355" t="s">
        <v>2742</v>
      </c>
      <c r="AB355" t="s">
        <v>2742</v>
      </c>
      <c r="AC355" t="s">
        <v>2665</v>
      </c>
      <c r="AD355" t="s">
        <v>2054</v>
      </c>
      <c r="AE355" t="s">
        <v>2054</v>
      </c>
    </row>
    <row r="356" spans="1:31" x14ac:dyDescent="0.25">
      <c r="A356" t="s">
        <v>1501</v>
      </c>
      <c r="B356" t="s">
        <v>1500</v>
      </c>
      <c r="C356" t="s">
        <v>3423</v>
      </c>
      <c r="D356" t="s">
        <v>1500</v>
      </c>
      <c r="E356" t="s">
        <v>2666</v>
      </c>
      <c r="F356" t="s">
        <v>2785</v>
      </c>
      <c r="G356" t="s">
        <v>2666</v>
      </c>
      <c r="H356" t="s">
        <v>2054</v>
      </c>
      <c r="I356" t="s">
        <v>2778</v>
      </c>
      <c r="J356" t="s">
        <v>2054</v>
      </c>
      <c r="K356" t="s">
        <v>2665</v>
      </c>
      <c r="L356" t="s">
        <v>1179</v>
      </c>
      <c r="M356" t="s">
        <v>2875</v>
      </c>
      <c r="N356" t="s">
        <v>2665</v>
      </c>
      <c r="O356" t="s">
        <v>2876</v>
      </c>
      <c r="P356" t="s">
        <v>2669</v>
      </c>
      <c r="Q356" t="s">
        <v>3420</v>
      </c>
      <c r="R356" t="s">
        <v>2665</v>
      </c>
      <c r="S356" t="s">
        <v>2779</v>
      </c>
      <c r="T356" t="s">
        <v>2780</v>
      </c>
      <c r="U356" t="s">
        <v>2665</v>
      </c>
      <c r="V356" t="s">
        <v>3421</v>
      </c>
      <c r="W356" t="s">
        <v>3422</v>
      </c>
      <c r="X356" t="s">
        <v>2665</v>
      </c>
      <c r="Y356" t="s">
        <v>2054</v>
      </c>
      <c r="Z356" t="s">
        <v>1179</v>
      </c>
      <c r="AA356" t="s">
        <v>2742</v>
      </c>
      <c r="AB356" t="s">
        <v>2742</v>
      </c>
      <c r="AC356" t="s">
        <v>2665</v>
      </c>
      <c r="AD356" t="s">
        <v>2054</v>
      </c>
      <c r="AE356" t="s">
        <v>2054</v>
      </c>
    </row>
    <row r="357" spans="1:31" x14ac:dyDescent="0.25">
      <c r="A357" t="s">
        <v>1503</v>
      </c>
      <c r="B357" t="s">
        <v>1502</v>
      </c>
      <c r="C357" t="s">
        <v>3424</v>
      </c>
      <c r="D357" t="s">
        <v>1502</v>
      </c>
      <c r="E357" t="s">
        <v>2666</v>
      </c>
      <c r="F357" t="s">
        <v>2866</v>
      </c>
      <c r="G357" t="s">
        <v>2666</v>
      </c>
      <c r="H357" t="s">
        <v>2054</v>
      </c>
      <c r="I357" t="s">
        <v>2778</v>
      </c>
      <c r="J357" t="s">
        <v>2054</v>
      </c>
      <c r="K357" t="s">
        <v>2665</v>
      </c>
      <c r="L357" t="s">
        <v>1179</v>
      </c>
      <c r="M357" t="s">
        <v>2875</v>
      </c>
      <c r="N357" t="s">
        <v>2665</v>
      </c>
      <c r="O357" t="s">
        <v>2876</v>
      </c>
      <c r="P357" t="s">
        <v>2669</v>
      </c>
      <c r="Q357" t="s">
        <v>3420</v>
      </c>
      <c r="R357" t="s">
        <v>2665</v>
      </c>
      <c r="S357" t="s">
        <v>2779</v>
      </c>
      <c r="T357" t="s">
        <v>2780</v>
      </c>
      <c r="U357" t="s">
        <v>2665</v>
      </c>
      <c r="V357" t="s">
        <v>3421</v>
      </c>
      <c r="W357" t="s">
        <v>3422</v>
      </c>
      <c r="X357" t="s">
        <v>2665</v>
      </c>
      <c r="Y357" t="s">
        <v>2054</v>
      </c>
      <c r="Z357" t="s">
        <v>1179</v>
      </c>
      <c r="AA357" t="s">
        <v>3425</v>
      </c>
      <c r="AB357" t="s">
        <v>3425</v>
      </c>
      <c r="AC357" t="s">
        <v>2665</v>
      </c>
      <c r="AD357" t="s">
        <v>2054</v>
      </c>
      <c r="AE357" t="s">
        <v>2054</v>
      </c>
    </row>
    <row r="358" spans="1:31" x14ac:dyDescent="0.25">
      <c r="A358" t="s">
        <v>3426</v>
      </c>
      <c r="B358" t="s">
        <v>3427</v>
      </c>
      <c r="C358" t="s">
        <v>3428</v>
      </c>
      <c r="D358" t="s">
        <v>3427</v>
      </c>
      <c r="E358" t="s">
        <v>2666</v>
      </c>
      <c r="F358" t="s">
        <v>2777</v>
      </c>
      <c r="G358" t="s">
        <v>2666</v>
      </c>
      <c r="H358" t="s">
        <v>2054</v>
      </c>
      <c r="I358" t="s">
        <v>2778</v>
      </c>
      <c r="J358" t="s">
        <v>2054</v>
      </c>
      <c r="K358" t="s">
        <v>2665</v>
      </c>
      <c r="L358" t="s">
        <v>1179</v>
      </c>
      <c r="M358" t="s">
        <v>2875</v>
      </c>
      <c r="N358" t="s">
        <v>2665</v>
      </c>
      <c r="O358" t="s">
        <v>2876</v>
      </c>
      <c r="P358" t="s">
        <v>2669</v>
      </c>
      <c r="Q358" t="s">
        <v>3420</v>
      </c>
      <c r="R358" t="s">
        <v>2665</v>
      </c>
      <c r="S358" t="s">
        <v>2779</v>
      </c>
      <c r="T358" t="s">
        <v>2780</v>
      </c>
      <c r="U358" t="s">
        <v>2665</v>
      </c>
      <c r="V358" t="s">
        <v>3421</v>
      </c>
      <c r="W358" t="s">
        <v>3422</v>
      </c>
      <c r="X358" t="s">
        <v>2665</v>
      </c>
      <c r="Y358" t="s">
        <v>2054</v>
      </c>
      <c r="Z358" t="s">
        <v>1179</v>
      </c>
      <c r="AA358" t="s">
        <v>2742</v>
      </c>
      <c r="AB358" t="s">
        <v>2742</v>
      </c>
      <c r="AC358" t="s">
        <v>2665</v>
      </c>
      <c r="AD358" t="s">
        <v>2054</v>
      </c>
      <c r="AE358" t="s">
        <v>2718</v>
      </c>
    </row>
    <row r="359" spans="1:31" x14ac:dyDescent="0.25">
      <c r="A359" t="s">
        <v>1505</v>
      </c>
      <c r="B359" t="s">
        <v>1504</v>
      </c>
      <c r="C359" t="s">
        <v>3429</v>
      </c>
      <c r="D359" t="s">
        <v>1504</v>
      </c>
      <c r="E359" t="s">
        <v>2666</v>
      </c>
      <c r="F359" t="s">
        <v>2777</v>
      </c>
      <c r="G359" t="s">
        <v>2666</v>
      </c>
      <c r="H359" t="s">
        <v>2054</v>
      </c>
      <c r="I359" t="s">
        <v>2778</v>
      </c>
      <c r="J359" t="s">
        <v>2054</v>
      </c>
      <c r="K359" t="s">
        <v>2665</v>
      </c>
      <c r="L359" t="s">
        <v>1179</v>
      </c>
      <c r="M359" t="s">
        <v>2875</v>
      </c>
      <c r="N359" t="s">
        <v>2665</v>
      </c>
      <c r="O359" t="s">
        <v>2876</v>
      </c>
      <c r="P359" t="s">
        <v>2669</v>
      </c>
      <c r="Q359" t="s">
        <v>3420</v>
      </c>
      <c r="R359" t="s">
        <v>2665</v>
      </c>
      <c r="S359" t="s">
        <v>2779</v>
      </c>
      <c r="T359" t="s">
        <v>2780</v>
      </c>
      <c r="U359" t="s">
        <v>2665</v>
      </c>
      <c r="V359" t="s">
        <v>3421</v>
      </c>
      <c r="W359" t="s">
        <v>3422</v>
      </c>
      <c r="X359" t="s">
        <v>2665</v>
      </c>
      <c r="Y359" t="s">
        <v>2054</v>
      </c>
      <c r="Z359" t="s">
        <v>1179</v>
      </c>
      <c r="AA359" t="s">
        <v>2742</v>
      </c>
      <c r="AB359" t="s">
        <v>2742</v>
      </c>
      <c r="AC359" t="s">
        <v>2665</v>
      </c>
      <c r="AD359" t="s">
        <v>2054</v>
      </c>
      <c r="AE359" t="s">
        <v>2054</v>
      </c>
    </row>
    <row r="360" spans="1:31" x14ac:dyDescent="0.25">
      <c r="A360" t="s">
        <v>1507</v>
      </c>
      <c r="B360" t="s">
        <v>1506</v>
      </c>
      <c r="C360" t="s">
        <v>3430</v>
      </c>
      <c r="D360" t="s">
        <v>1506</v>
      </c>
      <c r="E360" t="s">
        <v>2666</v>
      </c>
      <c r="F360" t="s">
        <v>2889</v>
      </c>
      <c r="G360" t="s">
        <v>2666</v>
      </c>
      <c r="H360" t="s">
        <v>2054</v>
      </c>
      <c r="I360" t="s">
        <v>2778</v>
      </c>
      <c r="J360" t="s">
        <v>2054</v>
      </c>
      <c r="K360" t="s">
        <v>2665</v>
      </c>
      <c r="L360" t="s">
        <v>1179</v>
      </c>
      <c r="M360" t="s">
        <v>2875</v>
      </c>
      <c r="N360" t="s">
        <v>2665</v>
      </c>
      <c r="O360" t="s">
        <v>2876</v>
      </c>
      <c r="P360" t="s">
        <v>2669</v>
      </c>
      <c r="Q360" t="s">
        <v>3420</v>
      </c>
      <c r="R360" t="s">
        <v>2665</v>
      </c>
      <c r="S360" t="s">
        <v>2779</v>
      </c>
      <c r="T360" t="s">
        <v>2780</v>
      </c>
      <c r="U360" t="s">
        <v>2665</v>
      </c>
      <c r="V360" t="s">
        <v>3421</v>
      </c>
      <c r="W360" t="s">
        <v>3422</v>
      </c>
      <c r="X360" t="s">
        <v>2665</v>
      </c>
      <c r="Y360" t="s">
        <v>2054</v>
      </c>
      <c r="Z360" t="s">
        <v>1179</v>
      </c>
      <c r="AA360" t="s">
        <v>3431</v>
      </c>
      <c r="AB360" t="s">
        <v>3431</v>
      </c>
      <c r="AC360" t="s">
        <v>2665</v>
      </c>
      <c r="AD360" t="s">
        <v>2054</v>
      </c>
      <c r="AE360" t="s">
        <v>2054</v>
      </c>
    </row>
    <row r="361" spans="1:31" x14ac:dyDescent="0.25">
      <c r="A361" t="s">
        <v>3432</v>
      </c>
      <c r="B361" t="s">
        <v>3433</v>
      </c>
      <c r="C361" t="s">
        <v>3434</v>
      </c>
      <c r="D361" t="s">
        <v>3433</v>
      </c>
      <c r="E361" t="s">
        <v>2666</v>
      </c>
      <c r="F361" t="s">
        <v>3435</v>
      </c>
      <c r="G361" t="s">
        <v>2666</v>
      </c>
      <c r="H361" t="s">
        <v>2054</v>
      </c>
      <c r="I361" t="s">
        <v>2778</v>
      </c>
      <c r="J361" t="s">
        <v>2054</v>
      </c>
      <c r="K361" t="s">
        <v>2665</v>
      </c>
      <c r="L361" t="s">
        <v>1179</v>
      </c>
      <c r="M361" t="s">
        <v>2875</v>
      </c>
      <c r="N361" t="s">
        <v>2665</v>
      </c>
      <c r="O361" t="s">
        <v>2876</v>
      </c>
      <c r="P361" t="s">
        <v>2669</v>
      </c>
      <c r="Q361" t="s">
        <v>3420</v>
      </c>
      <c r="R361" t="s">
        <v>2665</v>
      </c>
      <c r="S361" t="s">
        <v>2779</v>
      </c>
      <c r="T361" t="s">
        <v>2780</v>
      </c>
      <c r="U361" t="s">
        <v>2665</v>
      </c>
      <c r="V361" t="s">
        <v>3421</v>
      </c>
      <c r="W361" t="s">
        <v>3422</v>
      </c>
      <c r="X361" t="s">
        <v>2665</v>
      </c>
      <c r="Y361" t="s">
        <v>2054</v>
      </c>
      <c r="Z361" t="s">
        <v>1179</v>
      </c>
      <c r="AA361" t="s">
        <v>2783</v>
      </c>
      <c r="AB361" t="s">
        <v>2783</v>
      </c>
      <c r="AC361" t="s">
        <v>2665</v>
      </c>
      <c r="AD361" t="s">
        <v>2054</v>
      </c>
      <c r="AE361" t="s">
        <v>2726</v>
      </c>
    </row>
    <row r="362" spans="1:31" x14ac:dyDescent="0.25">
      <c r="A362" t="s">
        <v>3436</v>
      </c>
      <c r="B362" t="s">
        <v>3437</v>
      </c>
      <c r="C362" t="s">
        <v>3438</v>
      </c>
      <c r="D362" t="s">
        <v>3437</v>
      </c>
      <c r="E362" t="s">
        <v>2666</v>
      </c>
      <c r="F362" t="s">
        <v>2887</v>
      </c>
      <c r="G362" t="s">
        <v>2666</v>
      </c>
      <c r="H362" t="s">
        <v>2054</v>
      </c>
      <c r="I362" t="s">
        <v>2778</v>
      </c>
      <c r="J362" t="s">
        <v>2054</v>
      </c>
      <c r="K362" t="s">
        <v>2665</v>
      </c>
      <c r="L362" t="s">
        <v>1179</v>
      </c>
      <c r="M362" t="s">
        <v>2875</v>
      </c>
      <c r="N362" t="s">
        <v>2665</v>
      </c>
      <c r="O362" t="s">
        <v>2876</v>
      </c>
      <c r="P362" t="s">
        <v>2669</v>
      </c>
      <c r="Q362" t="s">
        <v>3420</v>
      </c>
      <c r="R362" t="s">
        <v>2665</v>
      </c>
      <c r="S362" t="s">
        <v>2779</v>
      </c>
      <c r="T362" t="s">
        <v>2780</v>
      </c>
      <c r="U362" t="s">
        <v>2665</v>
      </c>
      <c r="V362" t="s">
        <v>3421</v>
      </c>
      <c r="W362" t="s">
        <v>3422</v>
      </c>
      <c r="X362" t="s">
        <v>2665</v>
      </c>
      <c r="Y362" t="s">
        <v>2054</v>
      </c>
      <c r="Z362" t="s">
        <v>1179</v>
      </c>
      <c r="AA362" t="s">
        <v>2783</v>
      </c>
      <c r="AB362" t="s">
        <v>2783</v>
      </c>
      <c r="AC362" t="s">
        <v>2665</v>
      </c>
      <c r="AD362" t="s">
        <v>3224</v>
      </c>
      <c r="AE362" t="s">
        <v>3224</v>
      </c>
    </row>
    <row r="363" spans="1:31" x14ac:dyDescent="0.25">
      <c r="A363" t="s">
        <v>1509</v>
      </c>
      <c r="B363" t="s">
        <v>1508</v>
      </c>
      <c r="C363" t="s">
        <v>3439</v>
      </c>
      <c r="D363" t="s">
        <v>1508</v>
      </c>
      <c r="E363" t="s">
        <v>2666</v>
      </c>
      <c r="F363" t="s">
        <v>3440</v>
      </c>
      <c r="G363" t="s">
        <v>2666</v>
      </c>
      <c r="H363" t="s">
        <v>2054</v>
      </c>
      <c r="I363" t="s">
        <v>2778</v>
      </c>
      <c r="J363" t="s">
        <v>2054</v>
      </c>
      <c r="K363" t="s">
        <v>2665</v>
      </c>
      <c r="L363" t="s">
        <v>1179</v>
      </c>
      <c r="M363" t="s">
        <v>2875</v>
      </c>
      <c r="N363" t="s">
        <v>2665</v>
      </c>
      <c r="O363" t="s">
        <v>2876</v>
      </c>
      <c r="P363" t="s">
        <v>2671</v>
      </c>
      <c r="Q363" t="s">
        <v>2672</v>
      </c>
      <c r="R363" t="s">
        <v>2665</v>
      </c>
      <c r="S363" t="s">
        <v>2779</v>
      </c>
      <c r="T363" t="s">
        <v>2780</v>
      </c>
      <c r="U363" t="s">
        <v>2665</v>
      </c>
      <c r="V363" t="s">
        <v>3441</v>
      </c>
      <c r="W363" t="s">
        <v>3442</v>
      </c>
      <c r="X363" t="s">
        <v>2665</v>
      </c>
      <c r="Y363" t="s">
        <v>2054</v>
      </c>
      <c r="Z363" t="s">
        <v>1179</v>
      </c>
      <c r="AA363" t="s">
        <v>2742</v>
      </c>
      <c r="AB363" t="s">
        <v>2742</v>
      </c>
      <c r="AC363" t="s">
        <v>2665</v>
      </c>
      <c r="AD363" t="s">
        <v>2054</v>
      </c>
      <c r="AE363" t="s">
        <v>2054</v>
      </c>
    </row>
    <row r="364" spans="1:31" x14ac:dyDescent="0.25">
      <c r="A364" t="s">
        <v>1511</v>
      </c>
      <c r="B364" t="s">
        <v>1510</v>
      </c>
      <c r="C364" t="s">
        <v>3443</v>
      </c>
      <c r="D364" t="s">
        <v>1510</v>
      </c>
      <c r="E364" t="s">
        <v>2666</v>
      </c>
      <c r="F364" t="s">
        <v>2821</v>
      </c>
      <c r="G364" t="s">
        <v>2666</v>
      </c>
      <c r="H364" t="s">
        <v>2054</v>
      </c>
      <c r="I364" t="s">
        <v>2778</v>
      </c>
      <c r="J364" t="s">
        <v>2054</v>
      </c>
      <c r="K364" t="s">
        <v>2665</v>
      </c>
      <c r="L364" t="s">
        <v>1179</v>
      </c>
      <c r="M364" t="s">
        <v>2875</v>
      </c>
      <c r="N364" t="s">
        <v>2665</v>
      </c>
      <c r="O364" t="s">
        <v>2876</v>
      </c>
      <c r="P364" t="s">
        <v>3411</v>
      </c>
      <c r="Q364" t="s">
        <v>3412</v>
      </c>
      <c r="R364" t="s">
        <v>2665</v>
      </c>
      <c r="S364" t="s">
        <v>2779</v>
      </c>
      <c r="T364" t="s">
        <v>2780</v>
      </c>
      <c r="U364" t="s">
        <v>2665</v>
      </c>
      <c r="V364" t="s">
        <v>3441</v>
      </c>
      <c r="W364" t="s">
        <v>3442</v>
      </c>
      <c r="X364" t="s">
        <v>2665</v>
      </c>
      <c r="Y364" t="s">
        <v>2054</v>
      </c>
      <c r="Z364" t="s">
        <v>1179</v>
      </c>
      <c r="AA364" t="s">
        <v>2742</v>
      </c>
      <c r="AB364" t="s">
        <v>2742</v>
      </c>
      <c r="AC364" t="s">
        <v>2665</v>
      </c>
      <c r="AD364" t="s">
        <v>2054</v>
      </c>
      <c r="AE364" t="s">
        <v>2054</v>
      </c>
    </row>
    <row r="365" spans="1:31" x14ac:dyDescent="0.25">
      <c r="A365" t="s">
        <v>1513</v>
      </c>
      <c r="B365" t="s">
        <v>1512</v>
      </c>
      <c r="C365" t="s">
        <v>3444</v>
      </c>
      <c r="D365" t="s">
        <v>1512</v>
      </c>
      <c r="E365" t="s">
        <v>2666</v>
      </c>
      <c r="F365" t="s">
        <v>2793</v>
      </c>
      <c r="G365" t="s">
        <v>2666</v>
      </c>
      <c r="H365" t="s">
        <v>2054</v>
      </c>
      <c r="I365" t="s">
        <v>2778</v>
      </c>
      <c r="J365" t="s">
        <v>2054</v>
      </c>
      <c r="K365" t="s">
        <v>2665</v>
      </c>
      <c r="L365" t="s">
        <v>1179</v>
      </c>
      <c r="M365" t="s">
        <v>2875</v>
      </c>
      <c r="N365" t="s">
        <v>2665</v>
      </c>
      <c r="O365" t="s">
        <v>2876</v>
      </c>
      <c r="P365" t="s">
        <v>3411</v>
      </c>
      <c r="Q365" t="s">
        <v>3412</v>
      </c>
      <c r="R365" t="s">
        <v>2665</v>
      </c>
      <c r="S365" t="s">
        <v>2779</v>
      </c>
      <c r="T365" t="s">
        <v>2780</v>
      </c>
      <c r="U365" t="s">
        <v>2665</v>
      </c>
      <c r="V365" t="s">
        <v>3441</v>
      </c>
      <c r="W365" t="s">
        <v>3442</v>
      </c>
      <c r="X365" t="s">
        <v>2665</v>
      </c>
      <c r="Y365" t="s">
        <v>2054</v>
      </c>
      <c r="Z365" t="s">
        <v>1179</v>
      </c>
      <c r="AA365" t="s">
        <v>2742</v>
      </c>
      <c r="AB365" t="s">
        <v>2742</v>
      </c>
      <c r="AC365" t="s">
        <v>2665</v>
      </c>
      <c r="AD365" t="s">
        <v>2054</v>
      </c>
      <c r="AE365" t="s">
        <v>2726</v>
      </c>
    </row>
    <row r="366" spans="1:31" x14ac:dyDescent="0.25">
      <c r="A366" t="s">
        <v>1515</v>
      </c>
      <c r="B366" t="s">
        <v>1514</v>
      </c>
      <c r="C366" t="s">
        <v>3445</v>
      </c>
      <c r="D366" t="s">
        <v>1514</v>
      </c>
      <c r="E366" t="s">
        <v>2666</v>
      </c>
      <c r="F366" t="s">
        <v>2705</v>
      </c>
      <c r="G366" t="s">
        <v>2666</v>
      </c>
      <c r="H366" t="s">
        <v>2054</v>
      </c>
      <c r="I366" t="s">
        <v>2741</v>
      </c>
      <c r="J366" t="s">
        <v>2054</v>
      </c>
      <c r="K366" t="s">
        <v>2665</v>
      </c>
      <c r="L366" t="s">
        <v>1136</v>
      </c>
      <c r="M366" t="s">
        <v>2875</v>
      </c>
      <c r="N366" t="s">
        <v>2665</v>
      </c>
      <c r="O366" t="s">
        <v>2876</v>
      </c>
      <c r="P366" t="s">
        <v>2669</v>
      </c>
      <c r="Q366" t="s">
        <v>3420</v>
      </c>
      <c r="R366" t="s">
        <v>2665</v>
      </c>
      <c r="S366" t="s">
        <v>2779</v>
      </c>
      <c r="T366" t="s">
        <v>2780</v>
      </c>
      <c r="U366" t="s">
        <v>2665</v>
      </c>
      <c r="V366" t="s">
        <v>3421</v>
      </c>
      <c r="W366" t="s">
        <v>3422</v>
      </c>
      <c r="X366" t="s">
        <v>2665</v>
      </c>
      <c r="Y366" t="s">
        <v>2054</v>
      </c>
      <c r="Z366" t="s">
        <v>1136</v>
      </c>
      <c r="AA366" t="s">
        <v>2665</v>
      </c>
      <c r="AB366" t="s">
        <v>2665</v>
      </c>
      <c r="AC366" t="s">
        <v>2665</v>
      </c>
      <c r="AD366" t="s">
        <v>2054</v>
      </c>
      <c r="AE366" t="s">
        <v>2054</v>
      </c>
    </row>
    <row r="367" spans="1:31" x14ac:dyDescent="0.25">
      <c r="A367" t="s">
        <v>1517</v>
      </c>
      <c r="B367" t="s">
        <v>1516</v>
      </c>
      <c r="C367" t="s">
        <v>3446</v>
      </c>
      <c r="D367" t="s">
        <v>1516</v>
      </c>
      <c r="E367" t="s">
        <v>2666</v>
      </c>
      <c r="F367" t="s">
        <v>2765</v>
      </c>
      <c r="G367" t="s">
        <v>2666</v>
      </c>
      <c r="H367" t="s">
        <v>2054</v>
      </c>
      <c r="I367" t="s">
        <v>2778</v>
      </c>
      <c r="J367" t="s">
        <v>2054</v>
      </c>
      <c r="K367" t="s">
        <v>2665</v>
      </c>
      <c r="L367" t="s">
        <v>1179</v>
      </c>
      <c r="M367" t="s">
        <v>2875</v>
      </c>
      <c r="N367" t="s">
        <v>2665</v>
      </c>
      <c r="O367" t="s">
        <v>2876</v>
      </c>
      <c r="P367" t="s">
        <v>2669</v>
      </c>
      <c r="Q367" t="s">
        <v>3420</v>
      </c>
      <c r="R367" t="s">
        <v>2665</v>
      </c>
      <c r="S367" t="s">
        <v>2779</v>
      </c>
      <c r="T367" t="s">
        <v>2780</v>
      </c>
      <c r="U367" t="s">
        <v>2665</v>
      </c>
      <c r="V367" t="s">
        <v>3421</v>
      </c>
      <c r="W367" t="s">
        <v>3422</v>
      </c>
      <c r="X367" t="s">
        <v>2665</v>
      </c>
      <c r="Y367" t="s">
        <v>2054</v>
      </c>
      <c r="Z367" t="s">
        <v>1179</v>
      </c>
      <c r="AA367" t="s">
        <v>2742</v>
      </c>
      <c r="AB367" t="s">
        <v>2742</v>
      </c>
      <c r="AC367" t="s">
        <v>2665</v>
      </c>
      <c r="AD367" t="s">
        <v>2054</v>
      </c>
      <c r="AE367" t="s">
        <v>2054</v>
      </c>
    </row>
    <row r="368" spans="1:31" x14ac:dyDescent="0.25">
      <c r="A368" t="s">
        <v>1519</v>
      </c>
      <c r="B368" t="s">
        <v>1518</v>
      </c>
      <c r="C368" t="s">
        <v>3447</v>
      </c>
      <c r="D368" t="s">
        <v>1518</v>
      </c>
      <c r="E368" t="s">
        <v>2666</v>
      </c>
      <c r="F368" t="s">
        <v>2762</v>
      </c>
      <c r="G368" t="s">
        <v>2666</v>
      </c>
      <c r="H368" t="s">
        <v>2054</v>
      </c>
      <c r="I368" t="s">
        <v>2778</v>
      </c>
      <c r="J368" t="s">
        <v>2054</v>
      </c>
      <c r="K368" t="s">
        <v>2665</v>
      </c>
      <c r="L368" t="s">
        <v>1179</v>
      </c>
      <c r="M368" t="s">
        <v>2875</v>
      </c>
      <c r="N368" t="s">
        <v>2665</v>
      </c>
      <c r="O368" t="s">
        <v>2876</v>
      </c>
      <c r="P368" t="s">
        <v>2669</v>
      </c>
      <c r="Q368" t="s">
        <v>3420</v>
      </c>
      <c r="R368" t="s">
        <v>2665</v>
      </c>
      <c r="S368" t="s">
        <v>2779</v>
      </c>
      <c r="T368" t="s">
        <v>2780</v>
      </c>
      <c r="U368" t="s">
        <v>2665</v>
      </c>
      <c r="V368" t="s">
        <v>3421</v>
      </c>
      <c r="W368" t="s">
        <v>3422</v>
      </c>
      <c r="X368" t="s">
        <v>2665</v>
      </c>
      <c r="Y368" t="s">
        <v>2054</v>
      </c>
      <c r="Z368" t="s">
        <v>1179</v>
      </c>
      <c r="AA368" t="s">
        <v>2742</v>
      </c>
      <c r="AB368" t="s">
        <v>2742</v>
      </c>
      <c r="AC368" t="s">
        <v>2665</v>
      </c>
      <c r="AD368" t="s">
        <v>2054</v>
      </c>
      <c r="AE368" t="s">
        <v>2054</v>
      </c>
    </row>
    <row r="369" spans="1:31" x14ac:dyDescent="0.25">
      <c r="A369" t="s">
        <v>3448</v>
      </c>
      <c r="B369" t="s">
        <v>3449</v>
      </c>
      <c r="C369" t="s">
        <v>3450</v>
      </c>
      <c r="D369" t="s">
        <v>3449</v>
      </c>
      <c r="E369" t="s">
        <v>2666</v>
      </c>
      <c r="F369" t="s">
        <v>2777</v>
      </c>
      <c r="G369" t="s">
        <v>2666</v>
      </c>
      <c r="H369" t="s">
        <v>2054</v>
      </c>
      <c r="I369" t="s">
        <v>2778</v>
      </c>
      <c r="J369" t="s">
        <v>2054</v>
      </c>
      <c r="K369" t="s">
        <v>2665</v>
      </c>
      <c r="L369" t="s">
        <v>1179</v>
      </c>
      <c r="M369" t="s">
        <v>2875</v>
      </c>
      <c r="N369" t="s">
        <v>2665</v>
      </c>
      <c r="O369" t="s">
        <v>2876</v>
      </c>
      <c r="P369" t="s">
        <v>2669</v>
      </c>
      <c r="Q369" t="s">
        <v>3420</v>
      </c>
      <c r="R369" t="s">
        <v>2665</v>
      </c>
      <c r="S369" t="s">
        <v>2779</v>
      </c>
      <c r="T369" t="s">
        <v>2780</v>
      </c>
      <c r="U369" t="s">
        <v>2665</v>
      </c>
      <c r="V369" t="s">
        <v>3421</v>
      </c>
      <c r="W369" t="s">
        <v>3422</v>
      </c>
      <c r="X369" t="s">
        <v>2665</v>
      </c>
      <c r="Y369" t="s">
        <v>2054</v>
      </c>
      <c r="Z369" t="s">
        <v>1179</v>
      </c>
      <c r="AA369" t="s">
        <v>2742</v>
      </c>
      <c r="AB369" t="s">
        <v>2742</v>
      </c>
      <c r="AC369" t="s">
        <v>2665</v>
      </c>
      <c r="AD369" t="s">
        <v>2054</v>
      </c>
      <c r="AE369" t="s">
        <v>2726</v>
      </c>
    </row>
    <row r="370" spans="1:31" x14ac:dyDescent="0.25">
      <c r="A370" t="s">
        <v>1521</v>
      </c>
      <c r="B370" t="s">
        <v>1520</v>
      </c>
      <c r="C370" t="s">
        <v>3451</v>
      </c>
      <c r="D370" t="s">
        <v>1520</v>
      </c>
      <c r="E370" t="s">
        <v>2666</v>
      </c>
      <c r="F370" t="s">
        <v>2854</v>
      </c>
      <c r="G370" t="s">
        <v>2666</v>
      </c>
      <c r="H370" t="s">
        <v>2054</v>
      </c>
      <c r="I370" t="s">
        <v>2778</v>
      </c>
      <c r="J370" t="s">
        <v>2054</v>
      </c>
      <c r="K370" t="s">
        <v>2665</v>
      </c>
      <c r="L370" t="s">
        <v>1179</v>
      </c>
      <c r="M370" t="s">
        <v>2875</v>
      </c>
      <c r="N370" t="s">
        <v>2665</v>
      </c>
      <c r="O370" t="s">
        <v>2876</v>
      </c>
      <c r="P370" t="s">
        <v>2669</v>
      </c>
      <c r="Q370" t="s">
        <v>3420</v>
      </c>
      <c r="R370" t="s">
        <v>2665</v>
      </c>
      <c r="S370" t="s">
        <v>2779</v>
      </c>
      <c r="T370" t="s">
        <v>2780</v>
      </c>
      <c r="U370" t="s">
        <v>2665</v>
      </c>
      <c r="V370" t="s">
        <v>3421</v>
      </c>
      <c r="W370" t="s">
        <v>3422</v>
      </c>
      <c r="X370" t="s">
        <v>2665</v>
      </c>
      <c r="Y370" t="s">
        <v>2054</v>
      </c>
      <c r="Z370" t="s">
        <v>1179</v>
      </c>
      <c r="AA370" t="s">
        <v>2742</v>
      </c>
      <c r="AB370" t="s">
        <v>2742</v>
      </c>
      <c r="AC370" t="s">
        <v>2665</v>
      </c>
      <c r="AD370" t="s">
        <v>2054</v>
      </c>
      <c r="AE370" t="s">
        <v>2054</v>
      </c>
    </row>
    <row r="371" spans="1:31" x14ac:dyDescent="0.25">
      <c r="A371" t="s">
        <v>1523</v>
      </c>
      <c r="B371" t="s">
        <v>1522</v>
      </c>
      <c r="C371" t="s">
        <v>3452</v>
      </c>
      <c r="D371" t="s">
        <v>1522</v>
      </c>
      <c r="E371" t="s">
        <v>2666</v>
      </c>
      <c r="F371" t="s">
        <v>2892</v>
      </c>
      <c r="G371" t="s">
        <v>2666</v>
      </c>
      <c r="H371" t="s">
        <v>2054</v>
      </c>
      <c r="I371" t="s">
        <v>2778</v>
      </c>
      <c r="J371" t="s">
        <v>2054</v>
      </c>
      <c r="K371" t="s">
        <v>2665</v>
      </c>
      <c r="L371" t="s">
        <v>1179</v>
      </c>
      <c r="M371" t="s">
        <v>2875</v>
      </c>
      <c r="N371" t="s">
        <v>2665</v>
      </c>
      <c r="O371" t="s">
        <v>2876</v>
      </c>
      <c r="P371" t="s">
        <v>2669</v>
      </c>
      <c r="Q371" t="s">
        <v>3420</v>
      </c>
      <c r="R371" t="s">
        <v>2665</v>
      </c>
      <c r="S371" t="s">
        <v>2779</v>
      </c>
      <c r="T371" t="s">
        <v>2780</v>
      </c>
      <c r="U371" t="s">
        <v>2665</v>
      </c>
      <c r="V371" t="s">
        <v>3421</v>
      </c>
      <c r="W371" t="s">
        <v>3422</v>
      </c>
      <c r="X371" t="s">
        <v>2665</v>
      </c>
      <c r="Y371" t="s">
        <v>2054</v>
      </c>
      <c r="Z371" t="s">
        <v>1179</v>
      </c>
      <c r="AA371" t="s">
        <v>2742</v>
      </c>
      <c r="AB371" t="s">
        <v>2742</v>
      </c>
      <c r="AC371" t="s">
        <v>2665</v>
      </c>
      <c r="AD371" t="s">
        <v>2054</v>
      </c>
      <c r="AE371" t="s">
        <v>2054</v>
      </c>
    </row>
    <row r="372" spans="1:31" x14ac:dyDescent="0.25">
      <c r="A372" t="s">
        <v>3453</v>
      </c>
      <c r="B372" t="s">
        <v>3454</v>
      </c>
      <c r="C372" t="s">
        <v>3455</v>
      </c>
      <c r="D372" t="s">
        <v>3454</v>
      </c>
      <c r="E372" t="s">
        <v>2666</v>
      </c>
      <c r="F372" t="s">
        <v>2859</v>
      </c>
      <c r="G372" t="s">
        <v>2666</v>
      </c>
      <c r="H372" t="s">
        <v>2054</v>
      </c>
      <c r="I372" t="s">
        <v>2778</v>
      </c>
      <c r="J372" t="s">
        <v>2054</v>
      </c>
      <c r="K372" t="s">
        <v>2665</v>
      </c>
      <c r="L372" t="s">
        <v>1179</v>
      </c>
      <c r="M372" t="s">
        <v>2875</v>
      </c>
      <c r="N372" t="s">
        <v>2665</v>
      </c>
      <c r="O372" t="s">
        <v>2876</v>
      </c>
      <c r="P372" t="s">
        <v>2669</v>
      </c>
      <c r="Q372" t="s">
        <v>3420</v>
      </c>
      <c r="R372" t="s">
        <v>2665</v>
      </c>
      <c r="S372" t="s">
        <v>2779</v>
      </c>
      <c r="T372" t="s">
        <v>2780</v>
      </c>
      <c r="U372" t="s">
        <v>2665</v>
      </c>
      <c r="V372" t="s">
        <v>3421</v>
      </c>
      <c r="W372" t="s">
        <v>3422</v>
      </c>
      <c r="X372" t="s">
        <v>2665</v>
      </c>
      <c r="Y372" t="s">
        <v>2054</v>
      </c>
      <c r="Z372" t="s">
        <v>1179</v>
      </c>
      <c r="AA372" t="s">
        <v>2742</v>
      </c>
      <c r="AB372" t="s">
        <v>2742</v>
      </c>
      <c r="AC372" t="s">
        <v>2665</v>
      </c>
      <c r="AD372" t="s">
        <v>2054</v>
      </c>
      <c r="AE372" t="s">
        <v>2726</v>
      </c>
    </row>
    <row r="373" spans="1:31" x14ac:dyDescent="0.25">
      <c r="A373" t="s">
        <v>3456</v>
      </c>
      <c r="B373" t="s">
        <v>3457</v>
      </c>
      <c r="C373" t="s">
        <v>3458</v>
      </c>
      <c r="D373" t="s">
        <v>3457</v>
      </c>
      <c r="E373" t="s">
        <v>2666</v>
      </c>
      <c r="F373" t="s">
        <v>2975</v>
      </c>
      <c r="G373" t="s">
        <v>2666</v>
      </c>
      <c r="H373" t="s">
        <v>2054</v>
      </c>
      <c r="I373" t="s">
        <v>2778</v>
      </c>
      <c r="J373" t="s">
        <v>2054</v>
      </c>
      <c r="K373" t="s">
        <v>2665</v>
      </c>
      <c r="L373" t="s">
        <v>1179</v>
      </c>
      <c r="M373" t="s">
        <v>2875</v>
      </c>
      <c r="N373" t="s">
        <v>2665</v>
      </c>
      <c r="O373" t="s">
        <v>2876</v>
      </c>
      <c r="P373" t="s">
        <v>2669</v>
      </c>
      <c r="Q373" t="s">
        <v>3420</v>
      </c>
      <c r="R373" t="s">
        <v>2665</v>
      </c>
      <c r="S373" t="s">
        <v>2779</v>
      </c>
      <c r="T373" t="s">
        <v>2780</v>
      </c>
      <c r="U373" t="s">
        <v>2665</v>
      </c>
      <c r="V373" t="s">
        <v>3421</v>
      </c>
      <c r="W373" t="s">
        <v>3422</v>
      </c>
      <c r="X373" t="s">
        <v>2665</v>
      </c>
      <c r="Y373" t="s">
        <v>2054</v>
      </c>
      <c r="Z373" t="s">
        <v>1179</v>
      </c>
      <c r="AA373" t="s">
        <v>2742</v>
      </c>
      <c r="AB373" t="s">
        <v>2742</v>
      </c>
      <c r="AC373" t="s">
        <v>2665</v>
      </c>
      <c r="AD373" t="s">
        <v>2054</v>
      </c>
      <c r="AE373" t="s">
        <v>2054</v>
      </c>
    </row>
    <row r="374" spans="1:31" x14ac:dyDescent="0.25">
      <c r="A374" t="s">
        <v>3459</v>
      </c>
      <c r="B374" t="s">
        <v>3460</v>
      </c>
      <c r="C374" t="s">
        <v>3461</v>
      </c>
      <c r="D374" t="s">
        <v>3460</v>
      </c>
      <c r="E374" t="s">
        <v>2666</v>
      </c>
      <c r="F374" t="s">
        <v>2777</v>
      </c>
      <c r="G374" t="s">
        <v>2666</v>
      </c>
      <c r="H374" t="s">
        <v>2054</v>
      </c>
      <c r="I374" t="s">
        <v>2778</v>
      </c>
      <c r="J374" t="s">
        <v>2054</v>
      </c>
      <c r="K374" t="s">
        <v>2665</v>
      </c>
      <c r="L374" t="s">
        <v>1179</v>
      </c>
      <c r="M374" t="s">
        <v>2875</v>
      </c>
      <c r="N374" t="s">
        <v>2665</v>
      </c>
      <c r="O374" t="s">
        <v>2876</v>
      </c>
      <c r="P374" t="s">
        <v>2669</v>
      </c>
      <c r="Q374" t="s">
        <v>3420</v>
      </c>
      <c r="R374" t="s">
        <v>2665</v>
      </c>
      <c r="S374" t="s">
        <v>2779</v>
      </c>
      <c r="T374" t="s">
        <v>2780</v>
      </c>
      <c r="U374" t="s">
        <v>2665</v>
      </c>
      <c r="V374" t="s">
        <v>3421</v>
      </c>
      <c r="W374" t="s">
        <v>3422</v>
      </c>
      <c r="X374" t="s">
        <v>2665</v>
      </c>
      <c r="Y374" t="s">
        <v>2054</v>
      </c>
      <c r="Z374" t="s">
        <v>1179</v>
      </c>
      <c r="AA374" t="s">
        <v>2742</v>
      </c>
      <c r="AB374" t="s">
        <v>2742</v>
      </c>
      <c r="AC374" t="s">
        <v>2665</v>
      </c>
      <c r="AD374" t="s">
        <v>2054</v>
      </c>
      <c r="AE374" t="s">
        <v>2726</v>
      </c>
    </row>
    <row r="375" spans="1:31" x14ac:dyDescent="0.25">
      <c r="A375" t="s">
        <v>1525</v>
      </c>
      <c r="B375" t="s">
        <v>1524</v>
      </c>
      <c r="C375" t="s">
        <v>3462</v>
      </c>
      <c r="D375" t="s">
        <v>1524</v>
      </c>
      <c r="E375" t="s">
        <v>2666</v>
      </c>
      <c r="F375" t="s">
        <v>3256</v>
      </c>
      <c r="G375" t="s">
        <v>2666</v>
      </c>
      <c r="H375" t="s">
        <v>2054</v>
      </c>
      <c r="I375" t="s">
        <v>2778</v>
      </c>
      <c r="J375" t="s">
        <v>2054</v>
      </c>
      <c r="K375" t="s">
        <v>2665</v>
      </c>
      <c r="L375" t="s">
        <v>1179</v>
      </c>
      <c r="M375" t="s">
        <v>2875</v>
      </c>
      <c r="N375" t="s">
        <v>2665</v>
      </c>
      <c r="O375" t="s">
        <v>2876</v>
      </c>
      <c r="P375" t="s">
        <v>2669</v>
      </c>
      <c r="Q375" t="s">
        <v>3420</v>
      </c>
      <c r="R375" t="s">
        <v>2665</v>
      </c>
      <c r="S375" t="s">
        <v>2779</v>
      </c>
      <c r="T375" t="s">
        <v>2780</v>
      </c>
      <c r="U375" t="s">
        <v>2665</v>
      </c>
      <c r="V375" t="s">
        <v>3463</v>
      </c>
      <c r="W375" t="s">
        <v>3464</v>
      </c>
      <c r="X375" t="s">
        <v>2665</v>
      </c>
      <c r="Y375" t="s">
        <v>2054</v>
      </c>
      <c r="Z375" t="s">
        <v>1179</v>
      </c>
      <c r="AA375" t="s">
        <v>2742</v>
      </c>
      <c r="AB375" t="s">
        <v>2742</v>
      </c>
      <c r="AC375" t="s">
        <v>2665</v>
      </c>
      <c r="AD375" t="s">
        <v>2054</v>
      </c>
      <c r="AE375" t="s">
        <v>2054</v>
      </c>
    </row>
    <row r="376" spans="1:31" x14ac:dyDescent="0.25">
      <c r="A376" t="s">
        <v>1527</v>
      </c>
      <c r="B376" t="s">
        <v>1526</v>
      </c>
      <c r="C376" t="s">
        <v>3465</v>
      </c>
      <c r="D376" t="s">
        <v>1526</v>
      </c>
      <c r="E376" t="s">
        <v>2666</v>
      </c>
      <c r="F376" t="s">
        <v>2892</v>
      </c>
      <c r="G376" t="s">
        <v>2666</v>
      </c>
      <c r="H376" t="s">
        <v>2054</v>
      </c>
      <c r="I376" t="s">
        <v>2778</v>
      </c>
      <c r="J376" t="s">
        <v>2054</v>
      </c>
      <c r="K376" t="s">
        <v>2665</v>
      </c>
      <c r="L376" t="s">
        <v>1179</v>
      </c>
      <c r="M376" t="s">
        <v>2875</v>
      </c>
      <c r="N376" t="s">
        <v>2665</v>
      </c>
      <c r="O376" t="s">
        <v>2876</v>
      </c>
      <c r="P376" t="s">
        <v>2669</v>
      </c>
      <c r="Q376" t="s">
        <v>3420</v>
      </c>
      <c r="R376" t="s">
        <v>2665</v>
      </c>
      <c r="S376" t="s">
        <v>2779</v>
      </c>
      <c r="T376" t="s">
        <v>2780</v>
      </c>
      <c r="U376" t="s">
        <v>2665</v>
      </c>
      <c r="V376" t="s">
        <v>3463</v>
      </c>
      <c r="W376" t="s">
        <v>3464</v>
      </c>
      <c r="X376" t="s">
        <v>2665</v>
      </c>
      <c r="Y376" t="s">
        <v>2054</v>
      </c>
      <c r="Z376" t="s">
        <v>1179</v>
      </c>
      <c r="AA376" t="s">
        <v>2791</v>
      </c>
      <c r="AB376" t="s">
        <v>2791</v>
      </c>
      <c r="AC376" t="s">
        <v>2665</v>
      </c>
      <c r="AD376" t="s">
        <v>2054</v>
      </c>
      <c r="AE376" t="s">
        <v>2054</v>
      </c>
    </row>
    <row r="377" spans="1:31" x14ac:dyDescent="0.25">
      <c r="A377" t="s">
        <v>1528</v>
      </c>
      <c r="B377" t="s">
        <v>57</v>
      </c>
      <c r="C377" t="s">
        <v>3466</v>
      </c>
      <c r="D377" t="s">
        <v>57</v>
      </c>
      <c r="E377" t="s">
        <v>2666</v>
      </c>
      <c r="F377" t="s">
        <v>3181</v>
      </c>
      <c r="G377" t="s">
        <v>2666</v>
      </c>
      <c r="H377" t="s">
        <v>2054</v>
      </c>
      <c r="I377" t="s">
        <v>2778</v>
      </c>
      <c r="J377" t="s">
        <v>2054</v>
      </c>
      <c r="K377" t="s">
        <v>2665</v>
      </c>
      <c r="L377" t="s">
        <v>1179</v>
      </c>
      <c r="M377" t="s">
        <v>2875</v>
      </c>
      <c r="N377" t="s">
        <v>2665</v>
      </c>
      <c r="O377" t="s">
        <v>2876</v>
      </c>
      <c r="P377" t="s">
        <v>2669</v>
      </c>
      <c r="Q377" t="s">
        <v>3420</v>
      </c>
      <c r="R377" t="s">
        <v>2665</v>
      </c>
      <c r="S377" t="s">
        <v>2779</v>
      </c>
      <c r="T377" t="s">
        <v>2780</v>
      </c>
      <c r="U377" t="s">
        <v>2665</v>
      </c>
      <c r="V377" t="s">
        <v>3463</v>
      </c>
      <c r="W377" t="s">
        <v>3464</v>
      </c>
      <c r="X377" t="s">
        <v>2665</v>
      </c>
      <c r="Y377" t="s">
        <v>2054</v>
      </c>
      <c r="Z377" t="s">
        <v>1179</v>
      </c>
      <c r="AA377" t="s">
        <v>2791</v>
      </c>
      <c r="AB377" t="s">
        <v>2791</v>
      </c>
      <c r="AC377" t="s">
        <v>2665</v>
      </c>
      <c r="AD377" t="s">
        <v>2054</v>
      </c>
      <c r="AE377" t="s">
        <v>2054</v>
      </c>
    </row>
    <row r="378" spans="1:31" x14ac:dyDescent="0.25">
      <c r="A378" t="s">
        <v>1530</v>
      </c>
      <c r="B378" t="s">
        <v>1529</v>
      </c>
      <c r="C378" t="s">
        <v>3467</v>
      </c>
      <c r="D378" t="s">
        <v>1529</v>
      </c>
      <c r="E378" t="s">
        <v>2666</v>
      </c>
      <c r="F378" t="s">
        <v>2971</v>
      </c>
      <c r="G378" t="s">
        <v>2666</v>
      </c>
      <c r="H378" t="s">
        <v>2054</v>
      </c>
      <c r="I378" t="s">
        <v>2778</v>
      </c>
      <c r="J378" t="s">
        <v>2054</v>
      </c>
      <c r="K378" t="s">
        <v>2665</v>
      </c>
      <c r="L378" t="s">
        <v>1179</v>
      </c>
      <c r="M378" t="s">
        <v>2875</v>
      </c>
      <c r="N378" t="s">
        <v>2665</v>
      </c>
      <c r="O378" t="s">
        <v>2876</v>
      </c>
      <c r="P378" t="s">
        <v>2669</v>
      </c>
      <c r="Q378" t="s">
        <v>3420</v>
      </c>
      <c r="R378" t="s">
        <v>2665</v>
      </c>
      <c r="S378" t="s">
        <v>2779</v>
      </c>
      <c r="T378" t="s">
        <v>2780</v>
      </c>
      <c r="U378" t="s">
        <v>2665</v>
      </c>
      <c r="V378" t="s">
        <v>3463</v>
      </c>
      <c r="W378" t="s">
        <v>3464</v>
      </c>
      <c r="X378" t="s">
        <v>2665</v>
      </c>
      <c r="Y378" t="s">
        <v>2054</v>
      </c>
      <c r="Z378" t="s">
        <v>1179</v>
      </c>
      <c r="AA378" t="s">
        <v>2791</v>
      </c>
      <c r="AB378" t="s">
        <v>2791</v>
      </c>
      <c r="AC378" t="s">
        <v>2665</v>
      </c>
      <c r="AD378" t="s">
        <v>2054</v>
      </c>
      <c r="AE378" t="s">
        <v>2054</v>
      </c>
    </row>
    <row r="379" spans="1:31" x14ac:dyDescent="0.25">
      <c r="A379" t="s">
        <v>229</v>
      </c>
      <c r="B379" t="s">
        <v>58</v>
      </c>
      <c r="C379" t="s">
        <v>3468</v>
      </c>
      <c r="D379" t="s">
        <v>228</v>
      </c>
      <c r="E379" t="s">
        <v>2666</v>
      </c>
      <c r="F379" t="s">
        <v>2854</v>
      </c>
      <c r="G379" t="s">
        <v>2666</v>
      </c>
      <c r="H379" t="s">
        <v>2054</v>
      </c>
      <c r="I379" t="s">
        <v>2778</v>
      </c>
      <c r="J379" t="s">
        <v>2054</v>
      </c>
      <c r="K379" t="s">
        <v>2665</v>
      </c>
      <c r="L379" t="s">
        <v>1179</v>
      </c>
      <c r="M379" t="s">
        <v>2875</v>
      </c>
      <c r="N379" t="s">
        <v>2665</v>
      </c>
      <c r="O379" t="s">
        <v>2876</v>
      </c>
      <c r="P379" t="s">
        <v>2669</v>
      </c>
      <c r="Q379" t="s">
        <v>3420</v>
      </c>
      <c r="R379" t="s">
        <v>2665</v>
      </c>
      <c r="S379" t="s">
        <v>2781</v>
      </c>
      <c r="T379" t="s">
        <v>2922</v>
      </c>
      <c r="U379" t="s">
        <v>2665</v>
      </c>
      <c r="V379" t="s">
        <v>3469</v>
      </c>
      <c r="W379" t="s">
        <v>3470</v>
      </c>
      <c r="X379" t="s">
        <v>2665</v>
      </c>
      <c r="Y379" t="s">
        <v>2054</v>
      </c>
      <c r="Z379" t="s">
        <v>1179</v>
      </c>
      <c r="AA379" t="s">
        <v>2742</v>
      </c>
      <c r="AB379" t="s">
        <v>2742</v>
      </c>
      <c r="AC379" t="s">
        <v>2665</v>
      </c>
      <c r="AD379" t="s">
        <v>2054</v>
      </c>
      <c r="AE379" t="s">
        <v>2054</v>
      </c>
    </row>
    <row r="380" spans="1:31" x14ac:dyDescent="0.25">
      <c r="A380" t="s">
        <v>231</v>
      </c>
      <c r="B380" t="s">
        <v>59</v>
      </c>
      <c r="C380" t="s">
        <v>3471</v>
      </c>
      <c r="D380" t="s">
        <v>230</v>
      </c>
      <c r="E380" t="s">
        <v>2666</v>
      </c>
      <c r="F380" t="s">
        <v>2971</v>
      </c>
      <c r="G380" t="s">
        <v>2666</v>
      </c>
      <c r="H380" t="s">
        <v>2054</v>
      </c>
      <c r="I380" t="s">
        <v>2778</v>
      </c>
      <c r="J380" t="s">
        <v>2054</v>
      </c>
      <c r="K380" t="s">
        <v>2665</v>
      </c>
      <c r="L380" t="s">
        <v>1179</v>
      </c>
      <c r="M380" t="s">
        <v>2875</v>
      </c>
      <c r="N380" t="s">
        <v>2665</v>
      </c>
      <c r="O380" t="s">
        <v>2876</v>
      </c>
      <c r="P380" t="s">
        <v>2669</v>
      </c>
      <c r="Q380" t="s">
        <v>3420</v>
      </c>
      <c r="R380" t="s">
        <v>2665</v>
      </c>
      <c r="S380" t="s">
        <v>2781</v>
      </c>
      <c r="T380" t="s">
        <v>2922</v>
      </c>
      <c r="U380" t="s">
        <v>2665</v>
      </c>
      <c r="V380" t="s">
        <v>3469</v>
      </c>
      <c r="W380" t="s">
        <v>3470</v>
      </c>
      <c r="X380" t="s">
        <v>2665</v>
      </c>
      <c r="Y380" t="s">
        <v>2054</v>
      </c>
      <c r="Z380" t="s">
        <v>1179</v>
      </c>
      <c r="AA380" t="s">
        <v>2742</v>
      </c>
      <c r="AB380" t="s">
        <v>2742</v>
      </c>
      <c r="AC380" t="s">
        <v>2665</v>
      </c>
      <c r="AD380" t="s">
        <v>2054</v>
      </c>
      <c r="AE380" t="s">
        <v>2054</v>
      </c>
    </row>
    <row r="381" spans="1:31" x14ac:dyDescent="0.25">
      <c r="A381" t="s">
        <v>61</v>
      </c>
      <c r="B381" t="s">
        <v>60</v>
      </c>
      <c r="C381" t="s">
        <v>3472</v>
      </c>
      <c r="D381" t="s">
        <v>232</v>
      </c>
      <c r="E381" t="s">
        <v>2666</v>
      </c>
      <c r="F381" t="s">
        <v>2765</v>
      </c>
      <c r="G381" t="s">
        <v>2666</v>
      </c>
      <c r="H381" t="s">
        <v>2054</v>
      </c>
      <c r="I381" t="s">
        <v>2778</v>
      </c>
      <c r="J381" t="s">
        <v>2054</v>
      </c>
      <c r="K381" t="s">
        <v>2665</v>
      </c>
      <c r="L381" t="s">
        <v>1179</v>
      </c>
      <c r="M381" t="s">
        <v>2875</v>
      </c>
      <c r="N381" t="s">
        <v>2665</v>
      </c>
      <c r="O381" t="s">
        <v>2876</v>
      </c>
      <c r="P381" t="s">
        <v>2669</v>
      </c>
      <c r="Q381" t="s">
        <v>3420</v>
      </c>
      <c r="R381" t="s">
        <v>2665</v>
      </c>
      <c r="S381" t="s">
        <v>2781</v>
      </c>
      <c r="T381" t="s">
        <v>2922</v>
      </c>
      <c r="U381" t="s">
        <v>2665</v>
      </c>
      <c r="V381" t="s">
        <v>3469</v>
      </c>
      <c r="W381" t="s">
        <v>3470</v>
      </c>
      <c r="X381" t="s">
        <v>2665</v>
      </c>
      <c r="Y381" t="s">
        <v>2054</v>
      </c>
      <c r="Z381" t="s">
        <v>1179</v>
      </c>
      <c r="AA381" t="s">
        <v>2742</v>
      </c>
      <c r="AB381" t="s">
        <v>2742</v>
      </c>
      <c r="AC381" t="s">
        <v>2665</v>
      </c>
      <c r="AD381" t="s">
        <v>2054</v>
      </c>
      <c r="AE381" t="s">
        <v>2054</v>
      </c>
    </row>
    <row r="382" spans="1:31" x14ac:dyDescent="0.25">
      <c r="A382" t="s">
        <v>234</v>
      </c>
      <c r="B382" t="s">
        <v>62</v>
      </c>
      <c r="C382" t="s">
        <v>3473</v>
      </c>
      <c r="D382" t="s">
        <v>233</v>
      </c>
      <c r="E382" t="s">
        <v>2666</v>
      </c>
      <c r="F382" t="s">
        <v>2866</v>
      </c>
      <c r="G382" t="s">
        <v>2666</v>
      </c>
      <c r="H382" t="s">
        <v>2054</v>
      </c>
      <c r="I382" t="s">
        <v>2778</v>
      </c>
      <c r="J382" t="s">
        <v>2054</v>
      </c>
      <c r="K382" t="s">
        <v>2665</v>
      </c>
      <c r="L382" t="s">
        <v>1179</v>
      </c>
      <c r="M382" t="s">
        <v>2875</v>
      </c>
      <c r="N382" t="s">
        <v>2665</v>
      </c>
      <c r="O382" t="s">
        <v>2876</v>
      </c>
      <c r="P382" t="s">
        <v>2669</v>
      </c>
      <c r="Q382" t="s">
        <v>3420</v>
      </c>
      <c r="R382" t="s">
        <v>2665</v>
      </c>
      <c r="S382" t="s">
        <v>2781</v>
      </c>
      <c r="T382" t="s">
        <v>2922</v>
      </c>
      <c r="U382" t="s">
        <v>2665</v>
      </c>
      <c r="V382" t="s">
        <v>3469</v>
      </c>
      <c r="W382" t="s">
        <v>3470</v>
      </c>
      <c r="X382" t="s">
        <v>2665</v>
      </c>
      <c r="Y382" t="s">
        <v>2054</v>
      </c>
      <c r="Z382" t="s">
        <v>1179</v>
      </c>
      <c r="AA382" t="s">
        <v>2742</v>
      </c>
      <c r="AB382" t="s">
        <v>2742</v>
      </c>
      <c r="AC382" t="s">
        <v>2665</v>
      </c>
      <c r="AD382" t="s">
        <v>2054</v>
      </c>
      <c r="AE382" t="s">
        <v>2054</v>
      </c>
    </row>
    <row r="383" spans="1:31" x14ac:dyDescent="0.25">
      <c r="A383" t="s">
        <v>236</v>
      </c>
      <c r="B383" t="s">
        <v>63</v>
      </c>
      <c r="C383" t="s">
        <v>3474</v>
      </c>
      <c r="D383" t="s">
        <v>235</v>
      </c>
      <c r="E383" t="s">
        <v>2666</v>
      </c>
      <c r="F383" t="s">
        <v>2854</v>
      </c>
      <c r="G383" t="s">
        <v>2666</v>
      </c>
      <c r="H383" t="s">
        <v>2054</v>
      </c>
      <c r="I383" t="s">
        <v>2778</v>
      </c>
      <c r="J383" t="s">
        <v>2054</v>
      </c>
      <c r="K383" t="s">
        <v>2665</v>
      </c>
      <c r="L383" t="s">
        <v>1179</v>
      </c>
      <c r="M383" t="s">
        <v>2875</v>
      </c>
      <c r="N383" t="s">
        <v>2665</v>
      </c>
      <c r="O383" t="s">
        <v>2876</v>
      </c>
      <c r="P383" t="s">
        <v>2669</v>
      </c>
      <c r="Q383" t="s">
        <v>3420</v>
      </c>
      <c r="R383" t="s">
        <v>2665</v>
      </c>
      <c r="S383" t="s">
        <v>2781</v>
      </c>
      <c r="T383" t="s">
        <v>2922</v>
      </c>
      <c r="U383" t="s">
        <v>2665</v>
      </c>
      <c r="V383" t="s">
        <v>3469</v>
      </c>
      <c r="W383" t="s">
        <v>3470</v>
      </c>
      <c r="X383" t="s">
        <v>2665</v>
      </c>
      <c r="Y383" t="s">
        <v>2054</v>
      </c>
      <c r="Z383" t="s">
        <v>1179</v>
      </c>
      <c r="AA383" t="s">
        <v>2742</v>
      </c>
      <c r="AB383" t="s">
        <v>2742</v>
      </c>
      <c r="AC383" t="s">
        <v>2665</v>
      </c>
      <c r="AD383" t="s">
        <v>2054</v>
      </c>
      <c r="AE383" t="s">
        <v>2054</v>
      </c>
    </row>
    <row r="384" spans="1:31" x14ac:dyDescent="0.25">
      <c r="A384" t="s">
        <v>238</v>
      </c>
      <c r="B384" t="s">
        <v>64</v>
      </c>
      <c r="C384" t="s">
        <v>3475</v>
      </c>
      <c r="D384" t="s">
        <v>237</v>
      </c>
      <c r="E384" t="s">
        <v>2666</v>
      </c>
      <c r="F384" t="s">
        <v>2705</v>
      </c>
      <c r="G384" t="s">
        <v>2666</v>
      </c>
      <c r="H384" t="s">
        <v>2054</v>
      </c>
      <c r="I384" t="s">
        <v>2778</v>
      </c>
      <c r="J384" t="s">
        <v>2054</v>
      </c>
      <c r="K384" t="s">
        <v>2665</v>
      </c>
      <c r="L384" t="s">
        <v>1179</v>
      </c>
      <c r="M384" t="s">
        <v>2875</v>
      </c>
      <c r="N384" t="s">
        <v>2665</v>
      </c>
      <c r="O384" t="s">
        <v>2876</v>
      </c>
      <c r="P384" t="s">
        <v>2669</v>
      </c>
      <c r="Q384" t="s">
        <v>3420</v>
      </c>
      <c r="R384" t="s">
        <v>2665</v>
      </c>
      <c r="S384" t="s">
        <v>2781</v>
      </c>
      <c r="T384" t="s">
        <v>2922</v>
      </c>
      <c r="U384" t="s">
        <v>2665</v>
      </c>
      <c r="V384" t="s">
        <v>3469</v>
      </c>
      <c r="W384" t="s">
        <v>3470</v>
      </c>
      <c r="X384" t="s">
        <v>2665</v>
      </c>
      <c r="Y384" t="s">
        <v>2054</v>
      </c>
      <c r="Z384" t="s">
        <v>1179</v>
      </c>
      <c r="AA384" t="s">
        <v>3340</v>
      </c>
      <c r="AB384" t="s">
        <v>3340</v>
      </c>
      <c r="AC384" t="s">
        <v>2665</v>
      </c>
      <c r="AD384" t="s">
        <v>2054</v>
      </c>
      <c r="AE384" t="s">
        <v>2054</v>
      </c>
    </row>
    <row r="385" spans="1:31" x14ac:dyDescent="0.25">
      <c r="A385" t="s">
        <v>240</v>
      </c>
      <c r="B385" t="s">
        <v>65</v>
      </c>
      <c r="C385" t="s">
        <v>3476</v>
      </c>
      <c r="D385" t="s">
        <v>239</v>
      </c>
      <c r="E385" t="s">
        <v>2666</v>
      </c>
      <c r="F385" t="s">
        <v>2971</v>
      </c>
      <c r="G385" t="s">
        <v>2666</v>
      </c>
      <c r="H385" t="s">
        <v>2054</v>
      </c>
      <c r="I385" t="s">
        <v>2778</v>
      </c>
      <c r="J385" t="s">
        <v>2054</v>
      </c>
      <c r="K385" t="s">
        <v>2665</v>
      </c>
      <c r="L385" t="s">
        <v>1179</v>
      </c>
      <c r="M385" t="s">
        <v>2875</v>
      </c>
      <c r="N385" t="s">
        <v>2665</v>
      </c>
      <c r="O385" t="s">
        <v>2876</v>
      </c>
      <c r="P385" t="s">
        <v>2669</v>
      </c>
      <c r="Q385" t="s">
        <v>3420</v>
      </c>
      <c r="R385" t="s">
        <v>2665</v>
      </c>
      <c r="S385" t="s">
        <v>2781</v>
      </c>
      <c r="T385" t="s">
        <v>2922</v>
      </c>
      <c r="U385" t="s">
        <v>2665</v>
      </c>
      <c r="V385" t="s">
        <v>3469</v>
      </c>
      <c r="W385" t="s">
        <v>3470</v>
      </c>
      <c r="X385" t="s">
        <v>2665</v>
      </c>
      <c r="Y385" t="s">
        <v>2054</v>
      </c>
      <c r="Z385" t="s">
        <v>1179</v>
      </c>
      <c r="AA385" t="s">
        <v>2742</v>
      </c>
      <c r="AB385" t="s">
        <v>2742</v>
      </c>
      <c r="AC385" t="s">
        <v>2665</v>
      </c>
      <c r="AD385" t="s">
        <v>2054</v>
      </c>
      <c r="AE385" t="s">
        <v>2054</v>
      </c>
    </row>
    <row r="386" spans="1:31" x14ac:dyDescent="0.25">
      <c r="A386" t="s">
        <v>242</v>
      </c>
      <c r="B386" t="s">
        <v>66</v>
      </c>
      <c r="C386" t="s">
        <v>3477</v>
      </c>
      <c r="D386" t="s">
        <v>241</v>
      </c>
      <c r="E386" t="s">
        <v>2666</v>
      </c>
      <c r="F386" t="s">
        <v>3478</v>
      </c>
      <c r="G386" t="s">
        <v>2666</v>
      </c>
      <c r="H386" t="s">
        <v>2054</v>
      </c>
      <c r="I386" t="s">
        <v>2778</v>
      </c>
      <c r="J386" t="s">
        <v>2054</v>
      </c>
      <c r="K386" t="s">
        <v>2665</v>
      </c>
      <c r="L386" t="s">
        <v>1179</v>
      </c>
      <c r="M386" t="s">
        <v>2875</v>
      </c>
      <c r="N386" t="s">
        <v>2665</v>
      </c>
      <c r="O386" t="s">
        <v>2876</v>
      </c>
      <c r="P386" t="s">
        <v>2669</v>
      </c>
      <c r="Q386" t="s">
        <v>3420</v>
      </c>
      <c r="R386" t="s">
        <v>2665</v>
      </c>
      <c r="S386" t="s">
        <v>2781</v>
      </c>
      <c r="T386" t="s">
        <v>2922</v>
      </c>
      <c r="U386" t="s">
        <v>2665</v>
      </c>
      <c r="V386" t="s">
        <v>3469</v>
      </c>
      <c r="W386" t="s">
        <v>3470</v>
      </c>
      <c r="X386" t="s">
        <v>2665</v>
      </c>
      <c r="Y386" t="s">
        <v>2054</v>
      </c>
      <c r="Z386" t="s">
        <v>1179</v>
      </c>
      <c r="AA386" t="s">
        <v>3340</v>
      </c>
      <c r="AB386" t="s">
        <v>3340</v>
      </c>
      <c r="AC386" t="s">
        <v>2665</v>
      </c>
      <c r="AD386" t="s">
        <v>2054</v>
      </c>
      <c r="AE386" t="s">
        <v>2054</v>
      </c>
    </row>
    <row r="387" spans="1:31" x14ac:dyDescent="0.25">
      <c r="A387" t="s">
        <v>244</v>
      </c>
      <c r="B387" t="s">
        <v>67</v>
      </c>
      <c r="C387" t="s">
        <v>3479</v>
      </c>
      <c r="D387" t="s">
        <v>243</v>
      </c>
      <c r="E387" t="s">
        <v>2666</v>
      </c>
      <c r="F387" t="s">
        <v>2866</v>
      </c>
      <c r="G387" t="s">
        <v>2666</v>
      </c>
      <c r="H387" t="s">
        <v>2054</v>
      </c>
      <c r="I387" t="s">
        <v>2778</v>
      </c>
      <c r="J387" t="s">
        <v>2054</v>
      </c>
      <c r="K387" t="s">
        <v>2665</v>
      </c>
      <c r="L387" t="s">
        <v>1179</v>
      </c>
      <c r="M387" t="s">
        <v>2875</v>
      </c>
      <c r="N387" t="s">
        <v>2665</v>
      </c>
      <c r="O387" t="s">
        <v>2876</v>
      </c>
      <c r="P387" t="s">
        <v>2669</v>
      </c>
      <c r="Q387" t="s">
        <v>3420</v>
      </c>
      <c r="R387" t="s">
        <v>2665</v>
      </c>
      <c r="S387" t="s">
        <v>2781</v>
      </c>
      <c r="T387" t="s">
        <v>2922</v>
      </c>
      <c r="U387" t="s">
        <v>2665</v>
      </c>
      <c r="V387" t="s">
        <v>3469</v>
      </c>
      <c r="W387" t="s">
        <v>3470</v>
      </c>
      <c r="X387" t="s">
        <v>2665</v>
      </c>
      <c r="Y387" t="s">
        <v>2054</v>
      </c>
      <c r="Z387" t="s">
        <v>1179</v>
      </c>
      <c r="AA387" t="s">
        <v>2742</v>
      </c>
      <c r="AB387" t="s">
        <v>2742</v>
      </c>
      <c r="AC387" t="s">
        <v>2665</v>
      </c>
      <c r="AD387" t="s">
        <v>2054</v>
      </c>
      <c r="AE387" t="s">
        <v>2054</v>
      </c>
    </row>
    <row r="388" spans="1:31" x14ac:dyDescent="0.25">
      <c r="A388" t="s">
        <v>313</v>
      </c>
      <c r="B388" t="s">
        <v>68</v>
      </c>
      <c r="C388" t="s">
        <v>3480</v>
      </c>
      <c r="D388" t="s">
        <v>312</v>
      </c>
      <c r="E388" t="s">
        <v>2666</v>
      </c>
      <c r="F388" t="s">
        <v>3481</v>
      </c>
      <c r="G388" t="s">
        <v>2666</v>
      </c>
      <c r="H388" t="s">
        <v>2054</v>
      </c>
      <c r="I388" t="s">
        <v>2778</v>
      </c>
      <c r="J388" t="s">
        <v>2054</v>
      </c>
      <c r="K388" t="s">
        <v>2665</v>
      </c>
      <c r="L388" t="s">
        <v>1179</v>
      </c>
      <c r="M388" t="s">
        <v>2875</v>
      </c>
      <c r="N388" t="s">
        <v>2665</v>
      </c>
      <c r="O388" t="s">
        <v>2876</v>
      </c>
      <c r="P388" t="s">
        <v>2669</v>
      </c>
      <c r="Q388" t="s">
        <v>3420</v>
      </c>
      <c r="R388" t="s">
        <v>2665</v>
      </c>
      <c r="S388" t="s">
        <v>2781</v>
      </c>
      <c r="T388" t="s">
        <v>2922</v>
      </c>
      <c r="U388" t="s">
        <v>2665</v>
      </c>
      <c r="V388" t="s">
        <v>3482</v>
      </c>
      <c r="W388" t="s">
        <v>3483</v>
      </c>
      <c r="X388" t="s">
        <v>2665</v>
      </c>
      <c r="Y388" t="s">
        <v>2054</v>
      </c>
      <c r="Z388" t="s">
        <v>1179</v>
      </c>
      <c r="AA388" t="s">
        <v>3479</v>
      </c>
      <c r="AB388" t="s">
        <v>3479</v>
      </c>
      <c r="AC388" t="s">
        <v>2665</v>
      </c>
      <c r="AD388" t="s">
        <v>2054</v>
      </c>
      <c r="AE388" t="s">
        <v>2054</v>
      </c>
    </row>
    <row r="389" spans="1:31" x14ac:dyDescent="0.25">
      <c r="A389" t="s">
        <v>315</v>
      </c>
      <c r="B389" t="s">
        <v>69</v>
      </c>
      <c r="C389" t="s">
        <v>3484</v>
      </c>
      <c r="D389" t="s">
        <v>314</v>
      </c>
      <c r="E389" t="s">
        <v>2666</v>
      </c>
      <c r="F389" t="s">
        <v>3481</v>
      </c>
      <c r="G389" t="s">
        <v>2666</v>
      </c>
      <c r="H389" t="s">
        <v>2054</v>
      </c>
      <c r="I389" t="s">
        <v>2778</v>
      </c>
      <c r="J389" t="s">
        <v>2054</v>
      </c>
      <c r="K389" t="s">
        <v>2665</v>
      </c>
      <c r="L389" t="s">
        <v>1179</v>
      </c>
      <c r="M389" t="s">
        <v>2875</v>
      </c>
      <c r="N389" t="s">
        <v>2665</v>
      </c>
      <c r="O389" t="s">
        <v>2876</v>
      </c>
      <c r="P389" t="s">
        <v>2669</v>
      </c>
      <c r="Q389" t="s">
        <v>3420</v>
      </c>
      <c r="R389" t="s">
        <v>2665</v>
      </c>
      <c r="S389" t="s">
        <v>2781</v>
      </c>
      <c r="T389" t="s">
        <v>2922</v>
      </c>
      <c r="U389" t="s">
        <v>2665</v>
      </c>
      <c r="V389" t="s">
        <v>3482</v>
      </c>
      <c r="W389" t="s">
        <v>3483</v>
      </c>
      <c r="X389" t="s">
        <v>2665</v>
      </c>
      <c r="Y389" t="s">
        <v>2054</v>
      </c>
      <c r="Z389" t="s">
        <v>1179</v>
      </c>
      <c r="AA389" t="s">
        <v>3479</v>
      </c>
      <c r="AB389" t="s">
        <v>3479</v>
      </c>
      <c r="AC389" t="s">
        <v>2665</v>
      </c>
      <c r="AD389" t="s">
        <v>2054</v>
      </c>
      <c r="AE389" t="s">
        <v>2054</v>
      </c>
    </row>
    <row r="390" spans="1:31" x14ac:dyDescent="0.25">
      <c r="A390" t="s">
        <v>317</v>
      </c>
      <c r="B390" t="s">
        <v>70</v>
      </c>
      <c r="C390" t="s">
        <v>3485</v>
      </c>
      <c r="D390" t="s">
        <v>316</v>
      </c>
      <c r="E390" t="s">
        <v>2666</v>
      </c>
      <c r="F390" t="s">
        <v>3481</v>
      </c>
      <c r="G390" t="s">
        <v>2666</v>
      </c>
      <c r="H390" t="s">
        <v>2054</v>
      </c>
      <c r="I390" t="s">
        <v>2778</v>
      </c>
      <c r="J390" t="s">
        <v>2054</v>
      </c>
      <c r="K390" t="s">
        <v>2665</v>
      </c>
      <c r="L390" t="s">
        <v>1179</v>
      </c>
      <c r="M390" t="s">
        <v>2875</v>
      </c>
      <c r="N390" t="s">
        <v>2665</v>
      </c>
      <c r="O390" t="s">
        <v>2876</v>
      </c>
      <c r="P390" t="s">
        <v>2669</v>
      </c>
      <c r="Q390" t="s">
        <v>3420</v>
      </c>
      <c r="R390" t="s">
        <v>2665</v>
      </c>
      <c r="S390" t="s">
        <v>2781</v>
      </c>
      <c r="T390" t="s">
        <v>2922</v>
      </c>
      <c r="U390" t="s">
        <v>2665</v>
      </c>
      <c r="V390" t="s">
        <v>3482</v>
      </c>
      <c r="W390" t="s">
        <v>3483</v>
      </c>
      <c r="X390" t="s">
        <v>2665</v>
      </c>
      <c r="Y390" t="s">
        <v>2054</v>
      </c>
      <c r="Z390" t="s">
        <v>1179</v>
      </c>
      <c r="AA390" t="s">
        <v>3479</v>
      </c>
      <c r="AB390" t="s">
        <v>3479</v>
      </c>
      <c r="AC390" t="s">
        <v>2665</v>
      </c>
      <c r="AD390" t="s">
        <v>2054</v>
      </c>
      <c r="AE390" t="s">
        <v>2054</v>
      </c>
    </row>
    <row r="391" spans="1:31" x14ac:dyDescent="0.25">
      <c r="A391" t="s">
        <v>1532</v>
      </c>
      <c r="B391" t="s">
        <v>1531</v>
      </c>
      <c r="C391" t="s">
        <v>3486</v>
      </c>
      <c r="D391" t="s">
        <v>3487</v>
      </c>
      <c r="E391" t="s">
        <v>2666</v>
      </c>
      <c r="F391" t="s">
        <v>3488</v>
      </c>
      <c r="G391" t="s">
        <v>2666</v>
      </c>
      <c r="H391" t="s">
        <v>2054</v>
      </c>
      <c r="I391" t="s">
        <v>2778</v>
      </c>
      <c r="J391" t="s">
        <v>2054</v>
      </c>
      <c r="K391" t="s">
        <v>2665</v>
      </c>
      <c r="L391" t="s">
        <v>1179</v>
      </c>
      <c r="M391" t="s">
        <v>2898</v>
      </c>
      <c r="N391" t="s">
        <v>2665</v>
      </c>
      <c r="O391" t="s">
        <v>2984</v>
      </c>
      <c r="P391" t="s">
        <v>3029</v>
      </c>
      <c r="Q391" t="s">
        <v>3489</v>
      </c>
      <c r="R391" t="s">
        <v>2665</v>
      </c>
      <c r="S391" t="s">
        <v>2779</v>
      </c>
      <c r="T391" t="s">
        <v>2780</v>
      </c>
      <c r="U391" t="s">
        <v>2665</v>
      </c>
      <c r="V391" t="s">
        <v>3421</v>
      </c>
      <c r="W391" t="s">
        <v>3422</v>
      </c>
      <c r="X391" t="s">
        <v>2665</v>
      </c>
      <c r="Y391" t="s">
        <v>2054</v>
      </c>
      <c r="Z391" t="s">
        <v>1179</v>
      </c>
      <c r="AA391" t="s">
        <v>2742</v>
      </c>
      <c r="AB391" t="s">
        <v>2742</v>
      </c>
      <c r="AC391" t="s">
        <v>2665</v>
      </c>
      <c r="AD391" t="s">
        <v>2054</v>
      </c>
      <c r="AE391" t="s">
        <v>2054</v>
      </c>
    </row>
    <row r="392" spans="1:31" x14ac:dyDescent="0.25">
      <c r="A392" t="s">
        <v>1534</v>
      </c>
      <c r="B392" t="s">
        <v>1533</v>
      </c>
      <c r="C392" t="s">
        <v>3490</v>
      </c>
      <c r="D392" t="s">
        <v>3491</v>
      </c>
      <c r="E392" t="s">
        <v>2666</v>
      </c>
      <c r="F392" t="s">
        <v>2883</v>
      </c>
      <c r="G392" t="s">
        <v>2666</v>
      </c>
      <c r="H392" t="s">
        <v>2054</v>
      </c>
      <c r="I392" t="s">
        <v>2778</v>
      </c>
      <c r="J392" t="s">
        <v>2054</v>
      </c>
      <c r="K392" t="s">
        <v>2665</v>
      </c>
      <c r="L392" t="s">
        <v>1179</v>
      </c>
      <c r="M392" t="s">
        <v>2898</v>
      </c>
      <c r="N392" t="s">
        <v>2665</v>
      </c>
      <c r="O392" t="s">
        <v>2984</v>
      </c>
      <c r="P392" t="s">
        <v>3029</v>
      </c>
      <c r="Q392" t="s">
        <v>3489</v>
      </c>
      <c r="R392" t="s">
        <v>2665</v>
      </c>
      <c r="S392" t="s">
        <v>2779</v>
      </c>
      <c r="T392" t="s">
        <v>2780</v>
      </c>
      <c r="U392" t="s">
        <v>2665</v>
      </c>
      <c r="V392" t="s">
        <v>3421</v>
      </c>
      <c r="W392" t="s">
        <v>3422</v>
      </c>
      <c r="X392" t="s">
        <v>2665</v>
      </c>
      <c r="Y392" t="s">
        <v>2054</v>
      </c>
      <c r="Z392" t="s">
        <v>1179</v>
      </c>
      <c r="AA392" t="s">
        <v>2742</v>
      </c>
      <c r="AB392" t="s">
        <v>2742</v>
      </c>
      <c r="AC392" t="s">
        <v>2665</v>
      </c>
      <c r="AD392" t="s">
        <v>2054</v>
      </c>
      <c r="AE392" t="s">
        <v>2054</v>
      </c>
    </row>
    <row r="393" spans="1:31" x14ac:dyDescent="0.25">
      <c r="A393" t="s">
        <v>1536</v>
      </c>
      <c r="B393" t="s">
        <v>1535</v>
      </c>
      <c r="C393" t="s">
        <v>3492</v>
      </c>
      <c r="D393" t="s">
        <v>3493</v>
      </c>
      <c r="E393" t="s">
        <v>2666</v>
      </c>
      <c r="F393" t="s">
        <v>3494</v>
      </c>
      <c r="G393" t="s">
        <v>2666</v>
      </c>
      <c r="H393" t="s">
        <v>2054</v>
      </c>
      <c r="I393" t="s">
        <v>2778</v>
      </c>
      <c r="J393" t="s">
        <v>2054</v>
      </c>
      <c r="K393" t="s">
        <v>2665</v>
      </c>
      <c r="L393" t="s">
        <v>1179</v>
      </c>
      <c r="M393" t="s">
        <v>2898</v>
      </c>
      <c r="N393" t="s">
        <v>2665</v>
      </c>
      <c r="O393" t="s">
        <v>2984</v>
      </c>
      <c r="P393" t="s">
        <v>3029</v>
      </c>
      <c r="Q393" t="s">
        <v>3489</v>
      </c>
      <c r="R393" t="s">
        <v>2665</v>
      </c>
      <c r="S393" t="s">
        <v>2779</v>
      </c>
      <c r="T393" t="s">
        <v>2780</v>
      </c>
      <c r="U393" t="s">
        <v>2665</v>
      </c>
      <c r="V393" t="s">
        <v>3421</v>
      </c>
      <c r="W393" t="s">
        <v>3422</v>
      </c>
      <c r="X393" t="s">
        <v>2665</v>
      </c>
      <c r="Y393" t="s">
        <v>2054</v>
      </c>
      <c r="Z393" t="s">
        <v>1179</v>
      </c>
      <c r="AA393" t="s">
        <v>2742</v>
      </c>
      <c r="AB393" t="s">
        <v>2742</v>
      </c>
      <c r="AC393" t="s">
        <v>2665</v>
      </c>
      <c r="AD393" t="s">
        <v>2054</v>
      </c>
      <c r="AE393" t="s">
        <v>2054</v>
      </c>
    </row>
    <row r="394" spans="1:31" x14ac:dyDescent="0.25">
      <c r="A394" t="s">
        <v>3495</v>
      </c>
      <c r="B394" t="s">
        <v>3496</v>
      </c>
      <c r="C394" t="s">
        <v>3497</v>
      </c>
      <c r="D394" t="s">
        <v>3498</v>
      </c>
      <c r="E394" t="s">
        <v>2666</v>
      </c>
      <c r="F394" t="s">
        <v>3499</v>
      </c>
      <c r="G394" t="s">
        <v>2666</v>
      </c>
      <c r="H394" t="s">
        <v>2054</v>
      </c>
      <c r="I394" t="s">
        <v>2778</v>
      </c>
      <c r="J394" t="s">
        <v>2054</v>
      </c>
      <c r="K394" t="s">
        <v>2665</v>
      </c>
      <c r="L394" t="s">
        <v>1179</v>
      </c>
      <c r="M394" t="s">
        <v>2898</v>
      </c>
      <c r="N394" t="s">
        <v>2665</v>
      </c>
      <c r="O394" t="s">
        <v>2984</v>
      </c>
      <c r="P394" t="s">
        <v>3029</v>
      </c>
      <c r="Q394" t="s">
        <v>3489</v>
      </c>
      <c r="R394" t="s">
        <v>2665</v>
      </c>
      <c r="S394" t="s">
        <v>2781</v>
      </c>
      <c r="T394" t="s">
        <v>2922</v>
      </c>
      <c r="U394" t="s">
        <v>2665</v>
      </c>
      <c r="V394" t="s">
        <v>3421</v>
      </c>
      <c r="W394" t="s">
        <v>3422</v>
      </c>
      <c r="X394" t="s">
        <v>2665</v>
      </c>
      <c r="Y394" t="s">
        <v>2054</v>
      </c>
      <c r="Z394" t="s">
        <v>1179</v>
      </c>
      <c r="AA394" t="s">
        <v>2742</v>
      </c>
      <c r="AB394" t="s">
        <v>2742</v>
      </c>
      <c r="AC394" t="s">
        <v>2665</v>
      </c>
      <c r="AD394" t="s">
        <v>2054</v>
      </c>
      <c r="AE394" t="s">
        <v>2054</v>
      </c>
    </row>
    <row r="395" spans="1:31" x14ac:dyDescent="0.25">
      <c r="A395" t="s">
        <v>246</v>
      </c>
      <c r="B395" t="s">
        <v>71</v>
      </c>
      <c r="C395" t="s">
        <v>3500</v>
      </c>
      <c r="D395" t="s">
        <v>245</v>
      </c>
      <c r="E395" t="s">
        <v>2666</v>
      </c>
      <c r="F395" t="s">
        <v>3256</v>
      </c>
      <c r="G395" t="s">
        <v>2666</v>
      </c>
      <c r="H395" t="s">
        <v>2054</v>
      </c>
      <c r="I395" t="s">
        <v>2778</v>
      </c>
      <c r="J395" t="s">
        <v>2054</v>
      </c>
      <c r="K395" t="s">
        <v>2665</v>
      </c>
      <c r="L395" t="s">
        <v>1179</v>
      </c>
      <c r="M395" t="s">
        <v>2875</v>
      </c>
      <c r="N395" t="s">
        <v>2665</v>
      </c>
      <c r="O395" t="s">
        <v>2876</v>
      </c>
      <c r="P395" t="s">
        <v>2669</v>
      </c>
      <c r="Q395" t="s">
        <v>3420</v>
      </c>
      <c r="R395" t="s">
        <v>2665</v>
      </c>
      <c r="S395" t="s">
        <v>2781</v>
      </c>
      <c r="T395" t="s">
        <v>2922</v>
      </c>
      <c r="U395" t="s">
        <v>2665</v>
      </c>
      <c r="V395" t="s">
        <v>3501</v>
      </c>
      <c r="W395" t="s">
        <v>3502</v>
      </c>
      <c r="X395" t="s">
        <v>2665</v>
      </c>
      <c r="Y395" t="s">
        <v>2054</v>
      </c>
      <c r="Z395" t="s">
        <v>1179</v>
      </c>
      <c r="AA395" t="s">
        <v>2742</v>
      </c>
      <c r="AB395" t="s">
        <v>2742</v>
      </c>
      <c r="AC395" t="s">
        <v>2665</v>
      </c>
      <c r="AD395" t="s">
        <v>2054</v>
      </c>
      <c r="AE395" t="s">
        <v>2054</v>
      </c>
    </row>
    <row r="396" spans="1:31" x14ac:dyDescent="0.25">
      <c r="A396" t="s">
        <v>248</v>
      </c>
      <c r="B396" t="s">
        <v>72</v>
      </c>
      <c r="C396" t="s">
        <v>3503</v>
      </c>
      <c r="D396" t="s">
        <v>247</v>
      </c>
      <c r="E396" t="s">
        <v>2666</v>
      </c>
      <c r="F396" t="s">
        <v>3256</v>
      </c>
      <c r="G396" t="s">
        <v>2666</v>
      </c>
      <c r="H396" t="s">
        <v>2054</v>
      </c>
      <c r="I396" t="s">
        <v>2778</v>
      </c>
      <c r="J396" t="s">
        <v>2054</v>
      </c>
      <c r="K396" t="s">
        <v>2665</v>
      </c>
      <c r="L396" t="s">
        <v>1179</v>
      </c>
      <c r="M396" t="s">
        <v>2875</v>
      </c>
      <c r="N396" t="s">
        <v>2665</v>
      </c>
      <c r="O396" t="s">
        <v>2876</v>
      </c>
      <c r="P396" t="s">
        <v>2669</v>
      </c>
      <c r="Q396" t="s">
        <v>3420</v>
      </c>
      <c r="R396" t="s">
        <v>2665</v>
      </c>
      <c r="S396" t="s">
        <v>2781</v>
      </c>
      <c r="T396" t="s">
        <v>2922</v>
      </c>
      <c r="U396" t="s">
        <v>2665</v>
      </c>
      <c r="V396" t="s">
        <v>3501</v>
      </c>
      <c r="W396" t="s">
        <v>3502</v>
      </c>
      <c r="X396" t="s">
        <v>2665</v>
      </c>
      <c r="Y396" t="s">
        <v>2054</v>
      </c>
      <c r="Z396" t="s">
        <v>1179</v>
      </c>
      <c r="AA396" t="s">
        <v>2742</v>
      </c>
      <c r="AB396" t="s">
        <v>2742</v>
      </c>
      <c r="AC396" t="s">
        <v>2665</v>
      </c>
      <c r="AD396" t="s">
        <v>2054</v>
      </c>
      <c r="AE396" t="s">
        <v>2054</v>
      </c>
    </row>
    <row r="397" spans="1:31" x14ac:dyDescent="0.25">
      <c r="A397" t="s">
        <v>250</v>
      </c>
      <c r="B397" t="s">
        <v>73</v>
      </c>
      <c r="C397" t="s">
        <v>3504</v>
      </c>
      <c r="D397" t="s">
        <v>249</v>
      </c>
      <c r="E397" t="s">
        <v>2666</v>
      </c>
      <c r="F397" t="s">
        <v>2777</v>
      </c>
      <c r="G397" t="s">
        <v>2666</v>
      </c>
      <c r="H397" t="s">
        <v>2054</v>
      </c>
      <c r="I397" t="s">
        <v>2778</v>
      </c>
      <c r="J397" t="s">
        <v>2054</v>
      </c>
      <c r="K397" t="s">
        <v>2665</v>
      </c>
      <c r="L397" t="s">
        <v>1179</v>
      </c>
      <c r="M397" t="s">
        <v>2875</v>
      </c>
      <c r="N397" t="s">
        <v>2665</v>
      </c>
      <c r="O397" t="s">
        <v>2876</v>
      </c>
      <c r="P397" t="s">
        <v>2669</v>
      </c>
      <c r="Q397" t="s">
        <v>3420</v>
      </c>
      <c r="R397" t="s">
        <v>2665</v>
      </c>
      <c r="S397" t="s">
        <v>2781</v>
      </c>
      <c r="T397" t="s">
        <v>2922</v>
      </c>
      <c r="U397" t="s">
        <v>2665</v>
      </c>
      <c r="V397" t="s">
        <v>3501</v>
      </c>
      <c r="W397" t="s">
        <v>3502</v>
      </c>
      <c r="X397" t="s">
        <v>2665</v>
      </c>
      <c r="Y397" t="s">
        <v>2054</v>
      </c>
      <c r="Z397" t="s">
        <v>1179</v>
      </c>
      <c r="AA397" t="s">
        <v>2742</v>
      </c>
      <c r="AB397" t="s">
        <v>2742</v>
      </c>
      <c r="AC397" t="s">
        <v>2665</v>
      </c>
      <c r="AD397" t="s">
        <v>2054</v>
      </c>
      <c r="AE397" t="s">
        <v>2054</v>
      </c>
    </row>
    <row r="398" spans="1:31" x14ac:dyDescent="0.25">
      <c r="A398" t="s">
        <v>252</v>
      </c>
      <c r="B398" t="s">
        <v>74</v>
      </c>
      <c r="C398" t="s">
        <v>3505</v>
      </c>
      <c r="D398" t="s">
        <v>251</v>
      </c>
      <c r="E398" t="s">
        <v>2666</v>
      </c>
      <c r="F398" t="s">
        <v>2777</v>
      </c>
      <c r="G398" t="s">
        <v>2666</v>
      </c>
      <c r="H398" t="s">
        <v>2054</v>
      </c>
      <c r="I398" t="s">
        <v>2778</v>
      </c>
      <c r="J398" t="s">
        <v>2054</v>
      </c>
      <c r="K398" t="s">
        <v>2665</v>
      </c>
      <c r="L398" t="s">
        <v>1179</v>
      </c>
      <c r="M398" t="s">
        <v>2875</v>
      </c>
      <c r="N398" t="s">
        <v>2665</v>
      </c>
      <c r="O398" t="s">
        <v>2876</v>
      </c>
      <c r="P398" t="s">
        <v>2669</v>
      </c>
      <c r="Q398" t="s">
        <v>3420</v>
      </c>
      <c r="R398" t="s">
        <v>2665</v>
      </c>
      <c r="S398" t="s">
        <v>2781</v>
      </c>
      <c r="T398" t="s">
        <v>2922</v>
      </c>
      <c r="U398" t="s">
        <v>2665</v>
      </c>
      <c r="V398" t="s">
        <v>3501</v>
      </c>
      <c r="W398" t="s">
        <v>3502</v>
      </c>
      <c r="X398" t="s">
        <v>2665</v>
      </c>
      <c r="Y398" t="s">
        <v>2054</v>
      </c>
      <c r="Z398" t="s">
        <v>1179</v>
      </c>
      <c r="AA398" t="s">
        <v>2742</v>
      </c>
      <c r="AB398" t="s">
        <v>2742</v>
      </c>
      <c r="AC398" t="s">
        <v>2665</v>
      </c>
      <c r="AD398" t="s">
        <v>2054</v>
      </c>
      <c r="AE398" t="s">
        <v>2054</v>
      </c>
    </row>
    <row r="399" spans="1:31" x14ac:dyDescent="0.25">
      <c r="A399" t="s">
        <v>254</v>
      </c>
      <c r="B399" t="s">
        <v>75</v>
      </c>
      <c r="C399" t="s">
        <v>3506</v>
      </c>
      <c r="D399" t="s">
        <v>253</v>
      </c>
      <c r="E399" t="s">
        <v>2666</v>
      </c>
      <c r="F399" t="s">
        <v>2777</v>
      </c>
      <c r="G399" t="s">
        <v>2666</v>
      </c>
      <c r="H399" t="s">
        <v>2054</v>
      </c>
      <c r="I399" t="s">
        <v>2778</v>
      </c>
      <c r="J399" t="s">
        <v>2054</v>
      </c>
      <c r="K399" t="s">
        <v>2665</v>
      </c>
      <c r="L399" t="s">
        <v>1179</v>
      </c>
      <c r="M399" t="s">
        <v>2875</v>
      </c>
      <c r="N399" t="s">
        <v>2665</v>
      </c>
      <c r="O399" t="s">
        <v>2876</v>
      </c>
      <c r="P399" t="s">
        <v>2669</v>
      </c>
      <c r="Q399" t="s">
        <v>3420</v>
      </c>
      <c r="R399" t="s">
        <v>2665</v>
      </c>
      <c r="S399" t="s">
        <v>2781</v>
      </c>
      <c r="T399" t="s">
        <v>2922</v>
      </c>
      <c r="U399" t="s">
        <v>2665</v>
      </c>
      <c r="V399" t="s">
        <v>3501</v>
      </c>
      <c r="W399" t="s">
        <v>3502</v>
      </c>
      <c r="X399" t="s">
        <v>2665</v>
      </c>
      <c r="Y399" t="s">
        <v>2054</v>
      </c>
      <c r="Z399" t="s">
        <v>1179</v>
      </c>
      <c r="AA399" t="s">
        <v>2742</v>
      </c>
      <c r="AB399" t="s">
        <v>2742</v>
      </c>
      <c r="AC399" t="s">
        <v>2665</v>
      </c>
      <c r="AD399" t="s">
        <v>2054</v>
      </c>
      <c r="AE399" t="s">
        <v>2054</v>
      </c>
    </row>
    <row r="400" spans="1:31" x14ac:dyDescent="0.25">
      <c r="A400" t="s">
        <v>256</v>
      </c>
      <c r="B400" t="s">
        <v>76</v>
      </c>
      <c r="C400" t="s">
        <v>3507</v>
      </c>
      <c r="D400" t="s">
        <v>255</v>
      </c>
      <c r="E400" t="s">
        <v>2666</v>
      </c>
      <c r="F400" t="s">
        <v>2777</v>
      </c>
      <c r="G400" t="s">
        <v>2666</v>
      </c>
      <c r="H400" t="s">
        <v>2054</v>
      </c>
      <c r="I400" t="s">
        <v>2778</v>
      </c>
      <c r="J400" t="s">
        <v>2054</v>
      </c>
      <c r="K400" t="s">
        <v>2665</v>
      </c>
      <c r="L400" t="s">
        <v>1179</v>
      </c>
      <c r="M400" t="s">
        <v>2875</v>
      </c>
      <c r="N400" t="s">
        <v>2665</v>
      </c>
      <c r="O400" t="s">
        <v>2876</v>
      </c>
      <c r="P400" t="s">
        <v>2669</v>
      </c>
      <c r="Q400" t="s">
        <v>3420</v>
      </c>
      <c r="R400" t="s">
        <v>2665</v>
      </c>
      <c r="S400" t="s">
        <v>2781</v>
      </c>
      <c r="T400" t="s">
        <v>2922</v>
      </c>
      <c r="U400" t="s">
        <v>2665</v>
      </c>
      <c r="V400" t="s">
        <v>3501</v>
      </c>
      <c r="W400" t="s">
        <v>3502</v>
      </c>
      <c r="X400" t="s">
        <v>2665</v>
      </c>
      <c r="Y400" t="s">
        <v>2054</v>
      </c>
      <c r="Z400" t="s">
        <v>1179</v>
      </c>
      <c r="AA400" t="s">
        <v>2742</v>
      </c>
      <c r="AB400" t="s">
        <v>2742</v>
      </c>
      <c r="AC400" t="s">
        <v>2665</v>
      </c>
      <c r="AD400" t="s">
        <v>2054</v>
      </c>
      <c r="AE400" t="s">
        <v>2054</v>
      </c>
    </row>
    <row r="401" spans="1:31" x14ac:dyDescent="0.25">
      <c r="A401" t="s">
        <v>258</v>
      </c>
      <c r="B401" t="s">
        <v>77</v>
      </c>
      <c r="C401" t="s">
        <v>3508</v>
      </c>
      <c r="D401" t="s">
        <v>257</v>
      </c>
      <c r="E401" t="s">
        <v>2666</v>
      </c>
      <c r="F401" t="s">
        <v>2787</v>
      </c>
      <c r="G401" t="s">
        <v>2666</v>
      </c>
      <c r="H401" t="s">
        <v>2054</v>
      </c>
      <c r="I401" t="s">
        <v>2778</v>
      </c>
      <c r="J401" t="s">
        <v>2054</v>
      </c>
      <c r="K401" t="s">
        <v>2665</v>
      </c>
      <c r="L401" t="s">
        <v>1179</v>
      </c>
      <c r="M401" t="s">
        <v>2875</v>
      </c>
      <c r="N401" t="s">
        <v>2665</v>
      </c>
      <c r="O401" t="s">
        <v>2876</v>
      </c>
      <c r="P401" t="s">
        <v>2669</v>
      </c>
      <c r="Q401" t="s">
        <v>3420</v>
      </c>
      <c r="R401" t="s">
        <v>2665</v>
      </c>
      <c r="S401" t="s">
        <v>2781</v>
      </c>
      <c r="T401" t="s">
        <v>2922</v>
      </c>
      <c r="U401" t="s">
        <v>2665</v>
      </c>
      <c r="V401" t="s">
        <v>3501</v>
      </c>
      <c r="W401" t="s">
        <v>3502</v>
      </c>
      <c r="X401" t="s">
        <v>2665</v>
      </c>
      <c r="Y401" t="s">
        <v>2054</v>
      </c>
      <c r="Z401" t="s">
        <v>1179</v>
      </c>
      <c r="AA401" t="s">
        <v>2742</v>
      </c>
      <c r="AB401" t="s">
        <v>2742</v>
      </c>
      <c r="AC401" t="s">
        <v>2665</v>
      </c>
      <c r="AD401" t="s">
        <v>2054</v>
      </c>
      <c r="AE401" t="s">
        <v>2054</v>
      </c>
    </row>
    <row r="402" spans="1:31" x14ac:dyDescent="0.25">
      <c r="A402" t="s">
        <v>260</v>
      </c>
      <c r="B402" t="s">
        <v>78</v>
      </c>
      <c r="C402" t="s">
        <v>3509</v>
      </c>
      <c r="D402" t="s">
        <v>259</v>
      </c>
      <c r="E402" t="s">
        <v>2666</v>
      </c>
      <c r="F402" t="s">
        <v>2787</v>
      </c>
      <c r="G402" t="s">
        <v>2666</v>
      </c>
      <c r="H402" t="s">
        <v>2054</v>
      </c>
      <c r="I402" t="s">
        <v>2778</v>
      </c>
      <c r="J402" t="s">
        <v>2054</v>
      </c>
      <c r="K402" t="s">
        <v>2665</v>
      </c>
      <c r="L402" t="s">
        <v>1179</v>
      </c>
      <c r="M402" t="s">
        <v>2875</v>
      </c>
      <c r="N402" t="s">
        <v>2665</v>
      </c>
      <c r="O402" t="s">
        <v>2876</v>
      </c>
      <c r="P402" t="s">
        <v>2669</v>
      </c>
      <c r="Q402" t="s">
        <v>3420</v>
      </c>
      <c r="R402" t="s">
        <v>2665</v>
      </c>
      <c r="S402" t="s">
        <v>2781</v>
      </c>
      <c r="T402" t="s">
        <v>2922</v>
      </c>
      <c r="U402" t="s">
        <v>2665</v>
      </c>
      <c r="V402" t="s">
        <v>3501</v>
      </c>
      <c r="W402" t="s">
        <v>3502</v>
      </c>
      <c r="X402" t="s">
        <v>2665</v>
      </c>
      <c r="Y402" t="s">
        <v>2054</v>
      </c>
      <c r="Z402" t="s">
        <v>1179</v>
      </c>
      <c r="AA402" t="s">
        <v>2742</v>
      </c>
      <c r="AB402" t="s">
        <v>2742</v>
      </c>
      <c r="AC402" t="s">
        <v>2665</v>
      </c>
      <c r="AD402" t="s">
        <v>2054</v>
      </c>
      <c r="AE402" t="s">
        <v>2054</v>
      </c>
    </row>
    <row r="403" spans="1:31" x14ac:dyDescent="0.25">
      <c r="A403" t="s">
        <v>1537</v>
      </c>
      <c r="B403" t="s">
        <v>79</v>
      </c>
      <c r="C403" t="s">
        <v>2959</v>
      </c>
      <c r="D403" t="s">
        <v>261</v>
      </c>
      <c r="E403" t="s">
        <v>2666</v>
      </c>
      <c r="F403" t="s">
        <v>3510</v>
      </c>
      <c r="G403" t="s">
        <v>2666</v>
      </c>
      <c r="H403" t="s">
        <v>2054</v>
      </c>
      <c r="I403" t="s">
        <v>2778</v>
      </c>
      <c r="J403" t="s">
        <v>2054</v>
      </c>
      <c r="K403" t="s">
        <v>2665</v>
      </c>
      <c r="L403" t="s">
        <v>1179</v>
      </c>
      <c r="M403" t="s">
        <v>2875</v>
      </c>
      <c r="N403" t="s">
        <v>2665</v>
      </c>
      <c r="O403" t="s">
        <v>2876</v>
      </c>
      <c r="P403" t="s">
        <v>2669</v>
      </c>
      <c r="Q403" t="s">
        <v>3420</v>
      </c>
      <c r="R403" t="s">
        <v>2665</v>
      </c>
      <c r="S403" t="s">
        <v>2781</v>
      </c>
      <c r="T403" t="s">
        <v>2922</v>
      </c>
      <c r="U403" t="s">
        <v>2665</v>
      </c>
      <c r="V403" t="s">
        <v>3501</v>
      </c>
      <c r="W403" t="s">
        <v>3502</v>
      </c>
      <c r="X403" t="s">
        <v>2665</v>
      </c>
      <c r="Y403" t="s">
        <v>2054</v>
      </c>
      <c r="Z403" t="s">
        <v>1179</v>
      </c>
      <c r="AA403" t="s">
        <v>2742</v>
      </c>
      <c r="AB403" t="s">
        <v>2742</v>
      </c>
      <c r="AC403" t="s">
        <v>2665</v>
      </c>
      <c r="AD403" t="s">
        <v>2054</v>
      </c>
      <c r="AE403" t="s">
        <v>2054</v>
      </c>
    </row>
    <row r="404" spans="1:31" x14ac:dyDescent="0.25">
      <c r="A404" t="s">
        <v>1538</v>
      </c>
      <c r="B404" t="s">
        <v>80</v>
      </c>
      <c r="C404" t="s">
        <v>3511</v>
      </c>
      <c r="D404" t="s">
        <v>263</v>
      </c>
      <c r="E404" t="s">
        <v>2666</v>
      </c>
      <c r="F404" t="s">
        <v>3512</v>
      </c>
      <c r="G404" t="s">
        <v>2666</v>
      </c>
      <c r="H404" t="s">
        <v>2054</v>
      </c>
      <c r="I404" t="s">
        <v>2778</v>
      </c>
      <c r="J404" t="s">
        <v>2054</v>
      </c>
      <c r="K404" t="s">
        <v>2665</v>
      </c>
      <c r="L404" t="s">
        <v>1179</v>
      </c>
      <c r="M404" t="s">
        <v>2875</v>
      </c>
      <c r="N404" t="s">
        <v>2665</v>
      </c>
      <c r="O404" t="s">
        <v>2876</v>
      </c>
      <c r="P404" t="s">
        <v>2669</v>
      </c>
      <c r="Q404" t="s">
        <v>3420</v>
      </c>
      <c r="R404" t="s">
        <v>2665</v>
      </c>
      <c r="S404" t="s">
        <v>2781</v>
      </c>
      <c r="T404" t="s">
        <v>2922</v>
      </c>
      <c r="U404" t="s">
        <v>2665</v>
      </c>
      <c r="V404" t="s">
        <v>3501</v>
      </c>
      <c r="W404" t="s">
        <v>3502</v>
      </c>
      <c r="X404" t="s">
        <v>2665</v>
      </c>
      <c r="Y404" t="s">
        <v>2054</v>
      </c>
      <c r="Z404" t="s">
        <v>1179</v>
      </c>
      <c r="AA404" t="s">
        <v>2742</v>
      </c>
      <c r="AB404" t="s">
        <v>2742</v>
      </c>
      <c r="AC404" t="s">
        <v>2665</v>
      </c>
      <c r="AD404" t="s">
        <v>2054</v>
      </c>
      <c r="AE404" t="s">
        <v>2054</v>
      </c>
    </row>
    <row r="405" spans="1:31" x14ac:dyDescent="0.25">
      <c r="A405" t="s">
        <v>3513</v>
      </c>
      <c r="B405" t="s">
        <v>3514</v>
      </c>
      <c r="C405" t="s">
        <v>3515</v>
      </c>
      <c r="D405" t="s">
        <v>3516</v>
      </c>
      <c r="E405" t="s">
        <v>2666</v>
      </c>
      <c r="F405" t="s">
        <v>3517</v>
      </c>
      <c r="G405" t="s">
        <v>2666</v>
      </c>
      <c r="H405" t="s">
        <v>2054</v>
      </c>
      <c r="I405" t="s">
        <v>2778</v>
      </c>
      <c r="J405" t="s">
        <v>2054</v>
      </c>
      <c r="K405" t="s">
        <v>2665</v>
      </c>
      <c r="L405" t="s">
        <v>1179</v>
      </c>
      <c r="M405" t="s">
        <v>2875</v>
      </c>
      <c r="N405" t="s">
        <v>2665</v>
      </c>
      <c r="O405" t="s">
        <v>2876</v>
      </c>
      <c r="P405" t="s">
        <v>2669</v>
      </c>
      <c r="Q405" t="s">
        <v>3420</v>
      </c>
      <c r="R405" t="s">
        <v>2665</v>
      </c>
      <c r="S405" t="s">
        <v>2781</v>
      </c>
      <c r="T405" t="s">
        <v>2922</v>
      </c>
      <c r="U405" t="s">
        <v>2665</v>
      </c>
      <c r="V405" t="s">
        <v>3501</v>
      </c>
      <c r="W405" t="s">
        <v>3502</v>
      </c>
      <c r="X405" t="s">
        <v>2665</v>
      </c>
      <c r="Y405" t="s">
        <v>2054</v>
      </c>
      <c r="Z405" t="s">
        <v>1179</v>
      </c>
      <c r="AA405" t="s">
        <v>3518</v>
      </c>
      <c r="AB405" t="s">
        <v>3518</v>
      </c>
      <c r="AC405" t="s">
        <v>2665</v>
      </c>
      <c r="AD405" t="s">
        <v>2054</v>
      </c>
      <c r="AE405" t="s">
        <v>2054</v>
      </c>
    </row>
    <row r="406" spans="1:31" x14ac:dyDescent="0.25">
      <c r="A406" t="s">
        <v>3519</v>
      </c>
      <c r="B406" t="s">
        <v>3520</v>
      </c>
      <c r="C406" t="s">
        <v>3521</v>
      </c>
      <c r="D406" t="s">
        <v>263</v>
      </c>
      <c r="E406" t="s">
        <v>2666</v>
      </c>
      <c r="F406" t="s">
        <v>3522</v>
      </c>
      <c r="G406" t="s">
        <v>2666</v>
      </c>
      <c r="H406" t="s">
        <v>2054</v>
      </c>
      <c r="I406" t="s">
        <v>2778</v>
      </c>
      <c r="J406" t="s">
        <v>2054</v>
      </c>
      <c r="K406" t="s">
        <v>2665</v>
      </c>
      <c r="L406" t="s">
        <v>1179</v>
      </c>
      <c r="M406" t="s">
        <v>2875</v>
      </c>
      <c r="N406" t="s">
        <v>2665</v>
      </c>
      <c r="O406" t="s">
        <v>2876</v>
      </c>
      <c r="P406" t="s">
        <v>2669</v>
      </c>
      <c r="Q406" t="s">
        <v>3420</v>
      </c>
      <c r="R406" t="s">
        <v>2665</v>
      </c>
      <c r="S406" t="s">
        <v>2781</v>
      </c>
      <c r="T406" t="s">
        <v>2922</v>
      </c>
      <c r="U406" t="s">
        <v>2665</v>
      </c>
      <c r="V406" t="s">
        <v>3501</v>
      </c>
      <c r="W406" t="s">
        <v>3502</v>
      </c>
      <c r="X406" t="s">
        <v>2665</v>
      </c>
      <c r="Y406" t="s">
        <v>2054</v>
      </c>
      <c r="Z406" t="s">
        <v>1179</v>
      </c>
      <c r="AA406" t="s">
        <v>3518</v>
      </c>
      <c r="AB406" t="s">
        <v>3518</v>
      </c>
      <c r="AC406" t="s">
        <v>2665</v>
      </c>
      <c r="AD406" t="s">
        <v>2054</v>
      </c>
      <c r="AE406" t="s">
        <v>2054</v>
      </c>
    </row>
    <row r="407" spans="1:31" x14ac:dyDescent="0.25">
      <c r="A407" t="s">
        <v>2165</v>
      </c>
      <c r="B407" t="s">
        <v>2164</v>
      </c>
      <c r="C407" t="s">
        <v>3523</v>
      </c>
      <c r="D407" t="s">
        <v>2282</v>
      </c>
      <c r="E407" t="s">
        <v>2666</v>
      </c>
      <c r="F407" t="s">
        <v>3524</v>
      </c>
      <c r="G407" t="s">
        <v>2666</v>
      </c>
      <c r="H407" t="s">
        <v>2054</v>
      </c>
      <c r="I407" t="s">
        <v>2778</v>
      </c>
      <c r="J407" t="s">
        <v>2054</v>
      </c>
      <c r="K407" t="s">
        <v>2665</v>
      </c>
      <c r="L407" t="s">
        <v>1179</v>
      </c>
      <c r="M407" t="s">
        <v>2875</v>
      </c>
      <c r="N407" t="s">
        <v>2665</v>
      </c>
      <c r="O407" t="s">
        <v>2876</v>
      </c>
      <c r="P407" t="s">
        <v>2669</v>
      </c>
      <c r="Q407" t="s">
        <v>3420</v>
      </c>
      <c r="R407" t="s">
        <v>2665</v>
      </c>
      <c r="S407" t="s">
        <v>2781</v>
      </c>
      <c r="T407" t="s">
        <v>2922</v>
      </c>
      <c r="U407" t="s">
        <v>2665</v>
      </c>
      <c r="V407" t="s">
        <v>3501</v>
      </c>
      <c r="W407" t="s">
        <v>3502</v>
      </c>
      <c r="X407" t="s">
        <v>2665</v>
      </c>
      <c r="Y407" t="s">
        <v>2054</v>
      </c>
      <c r="Z407" t="s">
        <v>1179</v>
      </c>
      <c r="AA407" t="s">
        <v>2742</v>
      </c>
      <c r="AB407" t="s">
        <v>2742</v>
      </c>
      <c r="AC407" t="s">
        <v>2665</v>
      </c>
      <c r="AD407" t="s">
        <v>2054</v>
      </c>
      <c r="AE407" t="s">
        <v>2054</v>
      </c>
    </row>
    <row r="408" spans="1:31" x14ac:dyDescent="0.25">
      <c r="A408" t="s">
        <v>2167</v>
      </c>
      <c r="B408" t="s">
        <v>2166</v>
      </c>
      <c r="C408" t="s">
        <v>3525</v>
      </c>
      <c r="D408" t="s">
        <v>2283</v>
      </c>
      <c r="E408" t="s">
        <v>2666</v>
      </c>
      <c r="F408" t="s">
        <v>3526</v>
      </c>
      <c r="G408" t="s">
        <v>2666</v>
      </c>
      <c r="H408" t="s">
        <v>2054</v>
      </c>
      <c r="I408" t="s">
        <v>2778</v>
      </c>
      <c r="J408" t="s">
        <v>2054</v>
      </c>
      <c r="K408" t="s">
        <v>2665</v>
      </c>
      <c r="L408" t="s">
        <v>1179</v>
      </c>
      <c r="M408" t="s">
        <v>2875</v>
      </c>
      <c r="N408" t="s">
        <v>2665</v>
      </c>
      <c r="O408" t="s">
        <v>2876</v>
      </c>
      <c r="P408" t="s">
        <v>2669</v>
      </c>
      <c r="Q408" t="s">
        <v>3420</v>
      </c>
      <c r="R408" t="s">
        <v>2665</v>
      </c>
      <c r="S408" t="s">
        <v>2781</v>
      </c>
      <c r="T408" t="s">
        <v>2922</v>
      </c>
      <c r="U408" t="s">
        <v>2665</v>
      </c>
      <c r="V408" t="s">
        <v>3501</v>
      </c>
      <c r="W408" t="s">
        <v>3502</v>
      </c>
      <c r="X408" t="s">
        <v>2665</v>
      </c>
      <c r="Y408" t="s">
        <v>2054</v>
      </c>
      <c r="Z408" t="s">
        <v>1179</v>
      </c>
      <c r="AA408" t="s">
        <v>2742</v>
      </c>
      <c r="AB408" t="s">
        <v>2742</v>
      </c>
      <c r="AC408" t="s">
        <v>2665</v>
      </c>
      <c r="AD408" t="s">
        <v>2054</v>
      </c>
      <c r="AE408" t="s">
        <v>2054</v>
      </c>
    </row>
    <row r="409" spans="1:31" x14ac:dyDescent="0.25">
      <c r="A409" t="s">
        <v>2169</v>
      </c>
      <c r="B409" t="s">
        <v>2168</v>
      </c>
      <c r="C409" t="s">
        <v>3527</v>
      </c>
      <c r="D409" t="s">
        <v>2284</v>
      </c>
      <c r="E409" t="s">
        <v>2666</v>
      </c>
      <c r="F409" t="s">
        <v>3528</v>
      </c>
      <c r="G409" t="s">
        <v>2666</v>
      </c>
      <c r="H409" t="s">
        <v>2054</v>
      </c>
      <c r="I409" t="s">
        <v>2778</v>
      </c>
      <c r="J409" t="s">
        <v>2054</v>
      </c>
      <c r="K409" t="s">
        <v>2665</v>
      </c>
      <c r="L409" t="s">
        <v>1179</v>
      </c>
      <c r="M409" t="s">
        <v>2875</v>
      </c>
      <c r="N409" t="s">
        <v>2665</v>
      </c>
      <c r="O409" t="s">
        <v>2876</v>
      </c>
      <c r="P409" t="s">
        <v>2669</v>
      </c>
      <c r="Q409" t="s">
        <v>3420</v>
      </c>
      <c r="R409" t="s">
        <v>2665</v>
      </c>
      <c r="S409" t="s">
        <v>2781</v>
      </c>
      <c r="T409" t="s">
        <v>2922</v>
      </c>
      <c r="U409" t="s">
        <v>2665</v>
      </c>
      <c r="V409" t="s">
        <v>3501</v>
      </c>
      <c r="W409" t="s">
        <v>3502</v>
      </c>
      <c r="X409" t="s">
        <v>2665</v>
      </c>
      <c r="Y409" t="s">
        <v>2054</v>
      </c>
      <c r="Z409" t="s">
        <v>1179</v>
      </c>
      <c r="AA409" t="s">
        <v>2742</v>
      </c>
      <c r="AB409" t="s">
        <v>2742</v>
      </c>
      <c r="AC409" t="s">
        <v>2665</v>
      </c>
      <c r="AD409" t="s">
        <v>2054</v>
      </c>
      <c r="AE409" t="s">
        <v>2054</v>
      </c>
    </row>
    <row r="410" spans="1:31" x14ac:dyDescent="0.25">
      <c r="A410" t="s">
        <v>3529</v>
      </c>
      <c r="B410" t="s">
        <v>3530</v>
      </c>
      <c r="C410" t="s">
        <v>3531</v>
      </c>
      <c r="D410" t="s">
        <v>3532</v>
      </c>
      <c r="E410" t="s">
        <v>2666</v>
      </c>
      <c r="F410" t="s">
        <v>3533</v>
      </c>
      <c r="G410" t="s">
        <v>2666</v>
      </c>
      <c r="H410" t="s">
        <v>2054</v>
      </c>
      <c r="I410" t="s">
        <v>2778</v>
      </c>
      <c r="J410" t="s">
        <v>2054</v>
      </c>
      <c r="K410" t="s">
        <v>2665</v>
      </c>
      <c r="L410" t="s">
        <v>1179</v>
      </c>
      <c r="M410" t="s">
        <v>2875</v>
      </c>
      <c r="N410" t="s">
        <v>2665</v>
      </c>
      <c r="O410" t="s">
        <v>2876</v>
      </c>
      <c r="P410" t="s">
        <v>2669</v>
      </c>
      <c r="Q410" t="s">
        <v>3420</v>
      </c>
      <c r="R410" t="s">
        <v>2665</v>
      </c>
      <c r="S410" t="s">
        <v>2781</v>
      </c>
      <c r="T410" t="s">
        <v>2922</v>
      </c>
      <c r="U410" t="s">
        <v>2665</v>
      </c>
      <c r="V410" t="s">
        <v>3501</v>
      </c>
      <c r="W410" t="s">
        <v>3502</v>
      </c>
      <c r="X410" t="s">
        <v>2665</v>
      </c>
      <c r="Y410" t="s">
        <v>2054</v>
      </c>
      <c r="Z410" t="s">
        <v>1179</v>
      </c>
      <c r="AA410" t="s">
        <v>3518</v>
      </c>
      <c r="AB410" t="s">
        <v>3518</v>
      </c>
      <c r="AC410" t="s">
        <v>2665</v>
      </c>
      <c r="AD410" t="s">
        <v>2054</v>
      </c>
      <c r="AE410" t="s">
        <v>2054</v>
      </c>
    </row>
    <row r="411" spans="1:31" x14ac:dyDescent="0.25">
      <c r="A411" t="s">
        <v>3534</v>
      </c>
      <c r="B411" t="s">
        <v>3535</v>
      </c>
      <c r="C411" t="s">
        <v>3536</v>
      </c>
      <c r="D411" t="s">
        <v>3537</v>
      </c>
      <c r="E411" t="s">
        <v>2666</v>
      </c>
      <c r="F411" t="s">
        <v>3524</v>
      </c>
      <c r="G411" t="s">
        <v>2666</v>
      </c>
      <c r="H411" t="s">
        <v>2054</v>
      </c>
      <c r="I411" t="s">
        <v>2778</v>
      </c>
      <c r="J411" t="s">
        <v>2054</v>
      </c>
      <c r="K411" t="s">
        <v>2665</v>
      </c>
      <c r="L411" t="s">
        <v>1179</v>
      </c>
      <c r="M411" t="s">
        <v>2875</v>
      </c>
      <c r="N411" t="s">
        <v>2665</v>
      </c>
      <c r="O411" t="s">
        <v>2876</v>
      </c>
      <c r="P411" t="s">
        <v>2669</v>
      </c>
      <c r="Q411" t="s">
        <v>3420</v>
      </c>
      <c r="R411" t="s">
        <v>2665</v>
      </c>
      <c r="S411" t="s">
        <v>2781</v>
      </c>
      <c r="T411" t="s">
        <v>2922</v>
      </c>
      <c r="U411" t="s">
        <v>2665</v>
      </c>
      <c r="V411" t="s">
        <v>3501</v>
      </c>
      <c r="W411" t="s">
        <v>3502</v>
      </c>
      <c r="X411" t="s">
        <v>2665</v>
      </c>
      <c r="Y411" t="s">
        <v>2054</v>
      </c>
      <c r="Z411" t="s">
        <v>1179</v>
      </c>
      <c r="AA411" t="s">
        <v>2742</v>
      </c>
      <c r="AB411" t="s">
        <v>2742</v>
      </c>
      <c r="AC411" t="s">
        <v>2665</v>
      </c>
      <c r="AD411" t="s">
        <v>2054</v>
      </c>
      <c r="AE411" t="s">
        <v>2054</v>
      </c>
    </row>
    <row r="412" spans="1:31" x14ac:dyDescent="0.25">
      <c r="A412" t="s">
        <v>3538</v>
      </c>
      <c r="B412" t="s">
        <v>3539</v>
      </c>
      <c r="C412" t="s">
        <v>3540</v>
      </c>
      <c r="D412" t="s">
        <v>3541</v>
      </c>
      <c r="E412" t="s">
        <v>2666</v>
      </c>
      <c r="F412" t="s">
        <v>3526</v>
      </c>
      <c r="G412" t="s">
        <v>2666</v>
      </c>
      <c r="H412" t="s">
        <v>2054</v>
      </c>
      <c r="I412" t="s">
        <v>2778</v>
      </c>
      <c r="J412" t="s">
        <v>2054</v>
      </c>
      <c r="K412" t="s">
        <v>2665</v>
      </c>
      <c r="L412" t="s">
        <v>1179</v>
      </c>
      <c r="M412" t="s">
        <v>2875</v>
      </c>
      <c r="N412" t="s">
        <v>2665</v>
      </c>
      <c r="O412" t="s">
        <v>2876</v>
      </c>
      <c r="P412" t="s">
        <v>2669</v>
      </c>
      <c r="Q412" t="s">
        <v>3420</v>
      </c>
      <c r="R412" t="s">
        <v>2665</v>
      </c>
      <c r="S412" t="s">
        <v>2781</v>
      </c>
      <c r="T412" t="s">
        <v>2922</v>
      </c>
      <c r="U412" t="s">
        <v>2665</v>
      </c>
      <c r="V412" t="s">
        <v>3501</v>
      </c>
      <c r="W412" t="s">
        <v>3502</v>
      </c>
      <c r="X412" t="s">
        <v>2665</v>
      </c>
      <c r="Y412" t="s">
        <v>2054</v>
      </c>
      <c r="Z412" t="s">
        <v>1179</v>
      </c>
      <c r="AA412" t="s">
        <v>2742</v>
      </c>
      <c r="AB412" t="s">
        <v>2742</v>
      </c>
      <c r="AC412" t="s">
        <v>2665</v>
      </c>
      <c r="AD412" t="s">
        <v>2054</v>
      </c>
      <c r="AE412" t="s">
        <v>2054</v>
      </c>
    </row>
    <row r="413" spans="1:31" x14ac:dyDescent="0.25">
      <c r="A413" t="s">
        <v>3542</v>
      </c>
      <c r="B413" t="s">
        <v>3543</v>
      </c>
      <c r="C413" t="s">
        <v>3544</v>
      </c>
      <c r="D413" t="s">
        <v>3545</v>
      </c>
      <c r="E413" t="s">
        <v>2666</v>
      </c>
      <c r="F413" t="s">
        <v>3528</v>
      </c>
      <c r="G413" t="s">
        <v>2666</v>
      </c>
      <c r="H413" t="s">
        <v>2054</v>
      </c>
      <c r="I413" t="s">
        <v>2778</v>
      </c>
      <c r="J413" t="s">
        <v>2054</v>
      </c>
      <c r="K413" t="s">
        <v>2665</v>
      </c>
      <c r="L413" t="s">
        <v>1179</v>
      </c>
      <c r="M413" t="s">
        <v>2875</v>
      </c>
      <c r="N413" t="s">
        <v>2665</v>
      </c>
      <c r="O413" t="s">
        <v>2876</v>
      </c>
      <c r="P413" t="s">
        <v>2669</v>
      </c>
      <c r="Q413" t="s">
        <v>3420</v>
      </c>
      <c r="R413" t="s">
        <v>2665</v>
      </c>
      <c r="S413" t="s">
        <v>2781</v>
      </c>
      <c r="T413" t="s">
        <v>2922</v>
      </c>
      <c r="U413" t="s">
        <v>2665</v>
      </c>
      <c r="V413" t="s">
        <v>3501</v>
      </c>
      <c r="W413" t="s">
        <v>3502</v>
      </c>
      <c r="X413" t="s">
        <v>2665</v>
      </c>
      <c r="Y413" t="s">
        <v>2054</v>
      </c>
      <c r="Z413" t="s">
        <v>1179</v>
      </c>
      <c r="AA413" t="s">
        <v>2742</v>
      </c>
      <c r="AB413" t="s">
        <v>2742</v>
      </c>
      <c r="AC413" t="s">
        <v>2665</v>
      </c>
      <c r="AD413" t="s">
        <v>2054</v>
      </c>
      <c r="AE413" t="s">
        <v>2054</v>
      </c>
    </row>
    <row r="414" spans="1:31" x14ac:dyDescent="0.25">
      <c r="A414" t="s">
        <v>265</v>
      </c>
      <c r="B414" t="s">
        <v>81</v>
      </c>
      <c r="C414" t="s">
        <v>3546</v>
      </c>
      <c r="D414" t="s">
        <v>264</v>
      </c>
      <c r="E414" t="s">
        <v>2666</v>
      </c>
      <c r="F414" t="s">
        <v>3181</v>
      </c>
      <c r="G414" t="s">
        <v>2666</v>
      </c>
      <c r="H414" t="s">
        <v>2054</v>
      </c>
      <c r="I414" t="s">
        <v>2778</v>
      </c>
      <c r="J414" t="s">
        <v>2054</v>
      </c>
      <c r="K414" t="s">
        <v>2665</v>
      </c>
      <c r="L414" t="s">
        <v>1179</v>
      </c>
      <c r="M414" t="s">
        <v>2875</v>
      </c>
      <c r="N414" t="s">
        <v>2665</v>
      </c>
      <c r="O414" t="s">
        <v>2876</v>
      </c>
      <c r="P414" t="s">
        <v>2669</v>
      </c>
      <c r="Q414" t="s">
        <v>3420</v>
      </c>
      <c r="R414" t="s">
        <v>2665</v>
      </c>
      <c r="S414" t="s">
        <v>2781</v>
      </c>
      <c r="T414" t="s">
        <v>2922</v>
      </c>
      <c r="U414" t="s">
        <v>2665</v>
      </c>
      <c r="V414" t="s">
        <v>3482</v>
      </c>
      <c r="W414" t="s">
        <v>3483</v>
      </c>
      <c r="X414" t="s">
        <v>2665</v>
      </c>
      <c r="Y414" t="s">
        <v>2054</v>
      </c>
      <c r="Z414" t="s">
        <v>1179</v>
      </c>
      <c r="AA414" t="s">
        <v>3184</v>
      </c>
      <c r="AB414" t="s">
        <v>3184</v>
      </c>
      <c r="AC414" t="s">
        <v>2665</v>
      </c>
      <c r="AD414" t="s">
        <v>2054</v>
      </c>
      <c r="AE414" t="s">
        <v>2054</v>
      </c>
    </row>
    <row r="415" spans="1:31" x14ac:dyDescent="0.25">
      <c r="A415" t="s">
        <v>267</v>
      </c>
      <c r="B415" t="s">
        <v>82</v>
      </c>
      <c r="C415" t="s">
        <v>3547</v>
      </c>
      <c r="D415" t="s">
        <v>266</v>
      </c>
      <c r="E415" t="s">
        <v>2666</v>
      </c>
      <c r="F415" t="s">
        <v>2914</v>
      </c>
      <c r="G415" t="s">
        <v>2666</v>
      </c>
      <c r="H415" t="s">
        <v>2054</v>
      </c>
      <c r="I415" t="s">
        <v>2778</v>
      </c>
      <c r="J415" t="s">
        <v>2054</v>
      </c>
      <c r="K415" t="s">
        <v>2665</v>
      </c>
      <c r="L415" t="s">
        <v>1179</v>
      </c>
      <c r="M415" t="s">
        <v>2875</v>
      </c>
      <c r="N415" t="s">
        <v>2665</v>
      </c>
      <c r="O415" t="s">
        <v>2876</v>
      </c>
      <c r="P415" t="s">
        <v>2669</v>
      </c>
      <c r="Q415" t="s">
        <v>3420</v>
      </c>
      <c r="R415" t="s">
        <v>2665</v>
      </c>
      <c r="S415" t="s">
        <v>2781</v>
      </c>
      <c r="T415" t="s">
        <v>2922</v>
      </c>
      <c r="U415" t="s">
        <v>2665</v>
      </c>
      <c r="V415" t="s">
        <v>3482</v>
      </c>
      <c r="W415" t="s">
        <v>3483</v>
      </c>
      <c r="X415" t="s">
        <v>2665</v>
      </c>
      <c r="Y415" t="s">
        <v>2054</v>
      </c>
      <c r="Z415" t="s">
        <v>1179</v>
      </c>
      <c r="AA415" t="s">
        <v>3184</v>
      </c>
      <c r="AB415" t="s">
        <v>3184</v>
      </c>
      <c r="AC415" t="s">
        <v>2665</v>
      </c>
      <c r="AD415" t="s">
        <v>2054</v>
      </c>
      <c r="AE415" t="s">
        <v>2054</v>
      </c>
    </row>
    <row r="416" spans="1:31" x14ac:dyDescent="0.25">
      <c r="A416" t="s">
        <v>269</v>
      </c>
      <c r="B416" t="s">
        <v>83</v>
      </c>
      <c r="C416" t="s">
        <v>3548</v>
      </c>
      <c r="D416" t="s">
        <v>268</v>
      </c>
      <c r="E416" t="s">
        <v>2666</v>
      </c>
      <c r="F416" t="s">
        <v>3549</v>
      </c>
      <c r="G416" t="s">
        <v>2666</v>
      </c>
      <c r="H416" t="s">
        <v>2054</v>
      </c>
      <c r="I416" t="s">
        <v>2778</v>
      </c>
      <c r="J416" t="s">
        <v>2054</v>
      </c>
      <c r="K416" t="s">
        <v>2665</v>
      </c>
      <c r="L416" t="s">
        <v>1179</v>
      </c>
      <c r="M416" t="s">
        <v>2875</v>
      </c>
      <c r="N416" t="s">
        <v>2665</v>
      </c>
      <c r="O416" t="s">
        <v>2876</v>
      </c>
      <c r="P416" t="s">
        <v>2669</v>
      </c>
      <c r="Q416" t="s">
        <v>3420</v>
      </c>
      <c r="R416" t="s">
        <v>2665</v>
      </c>
      <c r="S416" t="s">
        <v>2781</v>
      </c>
      <c r="T416" t="s">
        <v>2922</v>
      </c>
      <c r="U416" t="s">
        <v>2665</v>
      </c>
      <c r="V416" t="s">
        <v>3482</v>
      </c>
      <c r="W416" t="s">
        <v>3483</v>
      </c>
      <c r="X416" t="s">
        <v>2665</v>
      </c>
      <c r="Y416" t="s">
        <v>2054</v>
      </c>
      <c r="Z416" t="s">
        <v>1179</v>
      </c>
      <c r="AA416" t="s">
        <v>3184</v>
      </c>
      <c r="AB416" t="s">
        <v>3184</v>
      </c>
      <c r="AC416" t="s">
        <v>2665</v>
      </c>
      <c r="AD416" t="s">
        <v>2054</v>
      </c>
      <c r="AE416" t="s">
        <v>2054</v>
      </c>
    </row>
    <row r="417" spans="1:31" x14ac:dyDescent="0.25">
      <c r="A417" t="s">
        <v>271</v>
      </c>
      <c r="B417" t="s">
        <v>84</v>
      </c>
      <c r="C417" t="s">
        <v>3550</v>
      </c>
      <c r="D417" t="s">
        <v>270</v>
      </c>
      <c r="E417" t="s">
        <v>2666</v>
      </c>
      <c r="F417" t="s">
        <v>3551</v>
      </c>
      <c r="G417" t="s">
        <v>2666</v>
      </c>
      <c r="H417" t="s">
        <v>2054</v>
      </c>
      <c r="I417" t="s">
        <v>2778</v>
      </c>
      <c r="J417" t="s">
        <v>2054</v>
      </c>
      <c r="K417" t="s">
        <v>2665</v>
      </c>
      <c r="L417" t="s">
        <v>1179</v>
      </c>
      <c r="M417" t="s">
        <v>2875</v>
      </c>
      <c r="N417" t="s">
        <v>2665</v>
      </c>
      <c r="O417" t="s">
        <v>2876</v>
      </c>
      <c r="P417" t="s">
        <v>2827</v>
      </c>
      <c r="Q417" t="s">
        <v>3397</v>
      </c>
      <c r="R417" t="s">
        <v>2665</v>
      </c>
      <c r="S417" t="s">
        <v>2781</v>
      </c>
      <c r="T417" t="s">
        <v>2922</v>
      </c>
      <c r="U417" t="s">
        <v>2665</v>
      </c>
      <c r="V417" t="s">
        <v>3552</v>
      </c>
      <c r="W417" t="s">
        <v>3553</v>
      </c>
      <c r="X417" t="s">
        <v>2665</v>
      </c>
      <c r="Y417" t="s">
        <v>2054</v>
      </c>
      <c r="Z417" t="s">
        <v>1179</v>
      </c>
      <c r="AA417" t="s">
        <v>3382</v>
      </c>
      <c r="AB417" t="s">
        <v>3382</v>
      </c>
      <c r="AC417" t="s">
        <v>2665</v>
      </c>
      <c r="AD417" t="s">
        <v>2054</v>
      </c>
      <c r="AE417" t="s">
        <v>2054</v>
      </c>
    </row>
    <row r="418" spans="1:31" x14ac:dyDescent="0.25">
      <c r="A418" t="s">
        <v>273</v>
      </c>
      <c r="B418" t="s">
        <v>85</v>
      </c>
      <c r="C418" t="s">
        <v>3554</v>
      </c>
      <c r="D418" t="s">
        <v>272</v>
      </c>
      <c r="E418" t="s">
        <v>2666</v>
      </c>
      <c r="F418" t="s">
        <v>3549</v>
      </c>
      <c r="G418" t="s">
        <v>2666</v>
      </c>
      <c r="H418" t="s">
        <v>2054</v>
      </c>
      <c r="I418" t="s">
        <v>2778</v>
      </c>
      <c r="J418" t="s">
        <v>2054</v>
      </c>
      <c r="K418" t="s">
        <v>2665</v>
      </c>
      <c r="L418" t="s">
        <v>1179</v>
      </c>
      <c r="M418" t="s">
        <v>2875</v>
      </c>
      <c r="N418" t="s">
        <v>2665</v>
      </c>
      <c r="O418" t="s">
        <v>2876</v>
      </c>
      <c r="P418" t="s">
        <v>2827</v>
      </c>
      <c r="Q418" t="s">
        <v>3397</v>
      </c>
      <c r="R418" t="s">
        <v>2665</v>
      </c>
      <c r="S418" t="s">
        <v>2781</v>
      </c>
      <c r="T418" t="s">
        <v>2922</v>
      </c>
      <c r="U418" t="s">
        <v>2665</v>
      </c>
      <c r="V418" t="s">
        <v>3552</v>
      </c>
      <c r="W418" t="s">
        <v>3553</v>
      </c>
      <c r="X418" t="s">
        <v>2665</v>
      </c>
      <c r="Y418" t="s">
        <v>2054</v>
      </c>
      <c r="Z418" t="s">
        <v>1179</v>
      </c>
      <c r="AA418" t="s">
        <v>3382</v>
      </c>
      <c r="AB418" t="s">
        <v>3382</v>
      </c>
      <c r="AC418" t="s">
        <v>2665</v>
      </c>
      <c r="AD418" t="s">
        <v>2054</v>
      </c>
      <c r="AE418" t="s">
        <v>2054</v>
      </c>
    </row>
    <row r="419" spans="1:31" x14ac:dyDescent="0.25">
      <c r="A419" t="s">
        <v>319</v>
      </c>
      <c r="B419" t="s">
        <v>86</v>
      </c>
      <c r="C419" t="s">
        <v>3555</v>
      </c>
      <c r="D419" t="s">
        <v>318</v>
      </c>
      <c r="E419" t="s">
        <v>2666</v>
      </c>
      <c r="F419" t="s">
        <v>3317</v>
      </c>
      <c r="G419" t="s">
        <v>2666</v>
      </c>
      <c r="H419" t="s">
        <v>2054</v>
      </c>
      <c r="I419" t="s">
        <v>2778</v>
      </c>
      <c r="J419" t="s">
        <v>2054</v>
      </c>
      <c r="K419" t="s">
        <v>2665</v>
      </c>
      <c r="L419" t="s">
        <v>1179</v>
      </c>
      <c r="M419" t="s">
        <v>2875</v>
      </c>
      <c r="N419" t="s">
        <v>2665</v>
      </c>
      <c r="O419" t="s">
        <v>2876</v>
      </c>
      <c r="P419" t="s">
        <v>2669</v>
      </c>
      <c r="Q419" t="s">
        <v>3420</v>
      </c>
      <c r="R419" t="s">
        <v>2665</v>
      </c>
      <c r="S419" t="s">
        <v>2781</v>
      </c>
      <c r="T419" t="s">
        <v>2922</v>
      </c>
      <c r="U419" t="s">
        <v>2665</v>
      </c>
      <c r="V419" t="s">
        <v>3482</v>
      </c>
      <c r="W419" t="s">
        <v>3483</v>
      </c>
      <c r="X419" t="s">
        <v>2665</v>
      </c>
      <c r="Y419" t="s">
        <v>2054</v>
      </c>
      <c r="Z419" t="s">
        <v>1179</v>
      </c>
      <c r="AA419" t="s">
        <v>3479</v>
      </c>
      <c r="AB419" t="s">
        <v>3479</v>
      </c>
      <c r="AC419" t="s">
        <v>2665</v>
      </c>
      <c r="AD419" t="s">
        <v>2054</v>
      </c>
      <c r="AE419" t="s">
        <v>2054</v>
      </c>
    </row>
    <row r="420" spans="1:31" x14ac:dyDescent="0.25">
      <c r="A420" t="s">
        <v>321</v>
      </c>
      <c r="B420" t="s">
        <v>87</v>
      </c>
      <c r="C420" t="s">
        <v>3556</v>
      </c>
      <c r="D420" t="s">
        <v>320</v>
      </c>
      <c r="E420" t="s">
        <v>2666</v>
      </c>
      <c r="F420" t="s">
        <v>3317</v>
      </c>
      <c r="G420" t="s">
        <v>2666</v>
      </c>
      <c r="H420" t="s">
        <v>2054</v>
      </c>
      <c r="I420" t="s">
        <v>2778</v>
      </c>
      <c r="J420" t="s">
        <v>2054</v>
      </c>
      <c r="K420" t="s">
        <v>2665</v>
      </c>
      <c r="L420" t="s">
        <v>1179</v>
      </c>
      <c r="M420" t="s">
        <v>2875</v>
      </c>
      <c r="N420" t="s">
        <v>2665</v>
      </c>
      <c r="O420" t="s">
        <v>2876</v>
      </c>
      <c r="P420" t="s">
        <v>2669</v>
      </c>
      <c r="Q420" t="s">
        <v>3420</v>
      </c>
      <c r="R420" t="s">
        <v>2665</v>
      </c>
      <c r="S420" t="s">
        <v>2781</v>
      </c>
      <c r="T420" t="s">
        <v>2922</v>
      </c>
      <c r="U420" t="s">
        <v>2665</v>
      </c>
      <c r="V420" t="s">
        <v>3482</v>
      </c>
      <c r="W420" t="s">
        <v>3483</v>
      </c>
      <c r="X420" t="s">
        <v>2665</v>
      </c>
      <c r="Y420" t="s">
        <v>2054</v>
      </c>
      <c r="Z420" t="s">
        <v>1179</v>
      </c>
      <c r="AA420" t="s">
        <v>3479</v>
      </c>
      <c r="AB420" t="s">
        <v>3479</v>
      </c>
      <c r="AC420" t="s">
        <v>2665</v>
      </c>
      <c r="AD420" t="s">
        <v>2054</v>
      </c>
      <c r="AE420" t="s">
        <v>2054</v>
      </c>
    </row>
    <row r="421" spans="1:31" x14ac:dyDescent="0.25">
      <c r="A421" t="s">
        <v>323</v>
      </c>
      <c r="B421" t="s">
        <v>88</v>
      </c>
      <c r="C421" t="s">
        <v>3557</v>
      </c>
      <c r="D421" t="s">
        <v>322</v>
      </c>
      <c r="E421" t="s">
        <v>2666</v>
      </c>
      <c r="F421" t="s">
        <v>3317</v>
      </c>
      <c r="G421" t="s">
        <v>2666</v>
      </c>
      <c r="H421" t="s">
        <v>2054</v>
      </c>
      <c r="I421" t="s">
        <v>2778</v>
      </c>
      <c r="J421" t="s">
        <v>2054</v>
      </c>
      <c r="K421" t="s">
        <v>2665</v>
      </c>
      <c r="L421" t="s">
        <v>1179</v>
      </c>
      <c r="M421" t="s">
        <v>2875</v>
      </c>
      <c r="N421" t="s">
        <v>2665</v>
      </c>
      <c r="O421" t="s">
        <v>2876</v>
      </c>
      <c r="P421" t="s">
        <v>2669</v>
      </c>
      <c r="Q421" t="s">
        <v>3420</v>
      </c>
      <c r="R421" t="s">
        <v>2665</v>
      </c>
      <c r="S421" t="s">
        <v>2781</v>
      </c>
      <c r="T421" t="s">
        <v>2922</v>
      </c>
      <c r="U421" t="s">
        <v>2665</v>
      </c>
      <c r="V421" t="s">
        <v>3482</v>
      </c>
      <c r="W421" t="s">
        <v>3483</v>
      </c>
      <c r="X421" t="s">
        <v>2665</v>
      </c>
      <c r="Y421" t="s">
        <v>2054</v>
      </c>
      <c r="Z421" t="s">
        <v>1179</v>
      </c>
      <c r="AA421" t="s">
        <v>3479</v>
      </c>
      <c r="AB421" t="s">
        <v>3479</v>
      </c>
      <c r="AC421" t="s">
        <v>2665</v>
      </c>
      <c r="AD421" t="s">
        <v>2054</v>
      </c>
      <c r="AE421" t="s">
        <v>2054</v>
      </c>
    </row>
    <row r="422" spans="1:31" x14ac:dyDescent="0.25">
      <c r="A422" t="s">
        <v>964</v>
      </c>
      <c r="B422" t="s">
        <v>962</v>
      </c>
      <c r="C422" t="s">
        <v>3558</v>
      </c>
      <c r="D422" t="s">
        <v>963</v>
      </c>
      <c r="E422" t="s">
        <v>2666</v>
      </c>
      <c r="F422" t="s">
        <v>3095</v>
      </c>
      <c r="G422" t="s">
        <v>2666</v>
      </c>
      <c r="H422" t="s">
        <v>2054</v>
      </c>
      <c r="I422" t="s">
        <v>2778</v>
      </c>
      <c r="J422" t="s">
        <v>2054</v>
      </c>
      <c r="K422" t="s">
        <v>2665</v>
      </c>
      <c r="L422" t="s">
        <v>1179</v>
      </c>
      <c r="M422" t="s">
        <v>2875</v>
      </c>
      <c r="N422" t="s">
        <v>2665</v>
      </c>
      <c r="O422" t="s">
        <v>2876</v>
      </c>
      <c r="P422" t="s">
        <v>2827</v>
      </c>
      <c r="Q422" t="s">
        <v>3397</v>
      </c>
      <c r="R422" t="s">
        <v>2665</v>
      </c>
      <c r="S422" t="s">
        <v>2781</v>
      </c>
      <c r="T422" t="s">
        <v>2922</v>
      </c>
      <c r="U422" t="s">
        <v>2665</v>
      </c>
      <c r="V422" t="s">
        <v>3552</v>
      </c>
      <c r="W422" t="s">
        <v>3553</v>
      </c>
      <c r="X422" t="s">
        <v>2665</v>
      </c>
      <c r="Y422" t="s">
        <v>2054</v>
      </c>
      <c r="Z422" t="s">
        <v>1179</v>
      </c>
      <c r="AA422" t="s">
        <v>3382</v>
      </c>
      <c r="AB422" t="s">
        <v>3382</v>
      </c>
      <c r="AC422" t="s">
        <v>2665</v>
      </c>
      <c r="AD422" t="s">
        <v>2054</v>
      </c>
      <c r="AE422" t="s">
        <v>2054</v>
      </c>
    </row>
    <row r="423" spans="1:31" x14ac:dyDescent="0.25">
      <c r="A423" t="s">
        <v>1540</v>
      </c>
      <c r="B423" t="s">
        <v>1539</v>
      </c>
      <c r="C423" t="s">
        <v>3559</v>
      </c>
      <c r="D423" t="s">
        <v>1539</v>
      </c>
      <c r="E423" t="s">
        <v>2666</v>
      </c>
      <c r="F423" t="s">
        <v>2857</v>
      </c>
      <c r="G423" t="s">
        <v>2666</v>
      </c>
      <c r="H423" t="s">
        <v>2054</v>
      </c>
      <c r="I423" t="s">
        <v>2778</v>
      </c>
      <c r="J423" t="s">
        <v>2054</v>
      </c>
      <c r="K423" t="s">
        <v>2665</v>
      </c>
      <c r="L423" t="s">
        <v>1179</v>
      </c>
      <c r="M423" t="s">
        <v>2875</v>
      </c>
      <c r="N423" t="s">
        <v>2665</v>
      </c>
      <c r="O423" t="s">
        <v>2876</v>
      </c>
      <c r="P423" t="s">
        <v>2878</v>
      </c>
      <c r="Q423" t="s">
        <v>3560</v>
      </c>
      <c r="R423" t="s">
        <v>2665</v>
      </c>
      <c r="S423" t="s">
        <v>2779</v>
      </c>
      <c r="T423" t="s">
        <v>2780</v>
      </c>
      <c r="U423" t="s">
        <v>2665</v>
      </c>
      <c r="V423" t="s">
        <v>3552</v>
      </c>
      <c r="W423" t="s">
        <v>3553</v>
      </c>
      <c r="X423" t="s">
        <v>2665</v>
      </c>
      <c r="Y423" t="s">
        <v>2054</v>
      </c>
      <c r="Z423" t="s">
        <v>1179</v>
      </c>
      <c r="AA423" t="s">
        <v>3561</v>
      </c>
      <c r="AB423" t="s">
        <v>3561</v>
      </c>
      <c r="AC423" t="s">
        <v>2665</v>
      </c>
      <c r="AD423" t="s">
        <v>2054</v>
      </c>
      <c r="AE423" t="s">
        <v>2726</v>
      </c>
    </row>
    <row r="424" spans="1:31" x14ac:dyDescent="0.25">
      <c r="A424" t="s">
        <v>1542</v>
      </c>
      <c r="B424" t="s">
        <v>1541</v>
      </c>
      <c r="C424" t="s">
        <v>3562</v>
      </c>
      <c r="D424" t="s">
        <v>1541</v>
      </c>
      <c r="E424" t="s">
        <v>2666</v>
      </c>
      <c r="F424" t="s">
        <v>2787</v>
      </c>
      <c r="G424" t="s">
        <v>2666</v>
      </c>
      <c r="H424" t="s">
        <v>2054</v>
      </c>
      <c r="I424" t="s">
        <v>2778</v>
      </c>
      <c r="J424" t="s">
        <v>2054</v>
      </c>
      <c r="K424" t="s">
        <v>2665</v>
      </c>
      <c r="L424" t="s">
        <v>1179</v>
      </c>
      <c r="M424" t="s">
        <v>2875</v>
      </c>
      <c r="N424" t="s">
        <v>2665</v>
      </c>
      <c r="O424" t="s">
        <v>2876</v>
      </c>
      <c r="P424" t="s">
        <v>2827</v>
      </c>
      <c r="Q424" t="s">
        <v>3397</v>
      </c>
      <c r="R424" t="s">
        <v>2665</v>
      </c>
      <c r="S424" t="s">
        <v>2779</v>
      </c>
      <c r="T424" t="s">
        <v>2780</v>
      </c>
      <c r="U424" t="s">
        <v>2665</v>
      </c>
      <c r="V424" t="s">
        <v>3552</v>
      </c>
      <c r="W424" t="s">
        <v>3553</v>
      </c>
      <c r="X424" t="s">
        <v>2665</v>
      </c>
      <c r="Y424" t="s">
        <v>2054</v>
      </c>
      <c r="Z424" t="s">
        <v>1179</v>
      </c>
      <c r="AA424" t="s">
        <v>2742</v>
      </c>
      <c r="AB424" t="s">
        <v>2742</v>
      </c>
      <c r="AC424" t="s">
        <v>2665</v>
      </c>
      <c r="AD424" t="s">
        <v>2054</v>
      </c>
      <c r="AE424" t="s">
        <v>2054</v>
      </c>
    </row>
    <row r="425" spans="1:31" x14ac:dyDescent="0.25">
      <c r="A425" t="s">
        <v>1544</v>
      </c>
      <c r="B425" t="s">
        <v>1543</v>
      </c>
      <c r="C425" t="s">
        <v>3563</v>
      </c>
      <c r="D425" t="s">
        <v>1543</v>
      </c>
      <c r="E425" t="s">
        <v>2666</v>
      </c>
      <c r="F425" t="s">
        <v>2854</v>
      </c>
      <c r="G425" t="s">
        <v>2666</v>
      </c>
      <c r="H425" t="s">
        <v>2054</v>
      </c>
      <c r="I425" t="s">
        <v>2778</v>
      </c>
      <c r="J425" t="s">
        <v>2054</v>
      </c>
      <c r="K425" t="s">
        <v>2665</v>
      </c>
      <c r="L425" t="s">
        <v>1179</v>
      </c>
      <c r="M425" t="s">
        <v>2875</v>
      </c>
      <c r="N425" t="s">
        <v>2665</v>
      </c>
      <c r="O425" t="s">
        <v>2876</v>
      </c>
      <c r="P425" t="s">
        <v>2827</v>
      </c>
      <c r="Q425" t="s">
        <v>3397</v>
      </c>
      <c r="R425" t="s">
        <v>2665</v>
      </c>
      <c r="S425" t="s">
        <v>2779</v>
      </c>
      <c r="T425" t="s">
        <v>2780</v>
      </c>
      <c r="U425" t="s">
        <v>2665</v>
      </c>
      <c r="V425" t="s">
        <v>3552</v>
      </c>
      <c r="W425" t="s">
        <v>3553</v>
      </c>
      <c r="X425" t="s">
        <v>2665</v>
      </c>
      <c r="Y425" t="s">
        <v>2054</v>
      </c>
      <c r="Z425" t="s">
        <v>1179</v>
      </c>
      <c r="AA425" t="s">
        <v>2742</v>
      </c>
      <c r="AB425" t="s">
        <v>2742</v>
      </c>
      <c r="AC425" t="s">
        <v>2665</v>
      </c>
      <c r="AD425" t="s">
        <v>2054</v>
      </c>
      <c r="AE425" t="s">
        <v>2054</v>
      </c>
    </row>
    <row r="426" spans="1:31" x14ac:dyDescent="0.25">
      <c r="A426" t="s">
        <v>1546</v>
      </c>
      <c r="B426" t="s">
        <v>1545</v>
      </c>
      <c r="C426" t="s">
        <v>3564</v>
      </c>
      <c r="D426" t="s">
        <v>1545</v>
      </c>
      <c r="E426" t="s">
        <v>2666</v>
      </c>
      <c r="F426" t="s">
        <v>2787</v>
      </c>
      <c r="G426" t="s">
        <v>2666</v>
      </c>
      <c r="H426" t="s">
        <v>2054</v>
      </c>
      <c r="I426" t="s">
        <v>2778</v>
      </c>
      <c r="J426" t="s">
        <v>2054</v>
      </c>
      <c r="K426" t="s">
        <v>2665</v>
      </c>
      <c r="L426" t="s">
        <v>1179</v>
      </c>
      <c r="M426" t="s">
        <v>2875</v>
      </c>
      <c r="N426" t="s">
        <v>2665</v>
      </c>
      <c r="O426" t="s">
        <v>2876</v>
      </c>
      <c r="P426" t="s">
        <v>2875</v>
      </c>
      <c r="Q426" t="s">
        <v>3397</v>
      </c>
      <c r="R426" t="s">
        <v>2665</v>
      </c>
      <c r="S426" t="s">
        <v>2779</v>
      </c>
      <c r="T426" t="s">
        <v>2780</v>
      </c>
      <c r="U426" t="s">
        <v>2665</v>
      </c>
      <c r="V426" t="s">
        <v>3552</v>
      </c>
      <c r="W426" t="s">
        <v>3553</v>
      </c>
      <c r="X426" t="s">
        <v>2665</v>
      </c>
      <c r="Y426" t="s">
        <v>2054</v>
      </c>
      <c r="Z426" t="s">
        <v>1179</v>
      </c>
      <c r="AA426" t="s">
        <v>2742</v>
      </c>
      <c r="AB426" t="s">
        <v>2742</v>
      </c>
      <c r="AC426" t="s">
        <v>2665</v>
      </c>
      <c r="AD426" t="s">
        <v>2054</v>
      </c>
      <c r="AE426" t="s">
        <v>2718</v>
      </c>
    </row>
    <row r="427" spans="1:31" x14ac:dyDescent="0.25">
      <c r="A427" t="s">
        <v>1548</v>
      </c>
      <c r="B427" t="s">
        <v>1547</v>
      </c>
      <c r="C427" t="s">
        <v>3565</v>
      </c>
      <c r="D427" t="s">
        <v>1547</v>
      </c>
      <c r="E427" t="s">
        <v>2666</v>
      </c>
      <c r="F427" t="s">
        <v>2787</v>
      </c>
      <c r="G427" t="s">
        <v>2666</v>
      </c>
      <c r="H427" t="s">
        <v>2054</v>
      </c>
      <c r="I427" t="s">
        <v>2778</v>
      </c>
      <c r="J427" t="s">
        <v>2054</v>
      </c>
      <c r="K427" t="s">
        <v>2665</v>
      </c>
      <c r="L427" t="s">
        <v>1179</v>
      </c>
      <c r="M427" t="s">
        <v>2875</v>
      </c>
      <c r="N427" t="s">
        <v>2665</v>
      </c>
      <c r="O427" t="s">
        <v>2876</v>
      </c>
      <c r="P427" t="s">
        <v>2875</v>
      </c>
      <c r="Q427" t="s">
        <v>3397</v>
      </c>
      <c r="R427" t="s">
        <v>2665</v>
      </c>
      <c r="S427" t="s">
        <v>2779</v>
      </c>
      <c r="T427" t="s">
        <v>2780</v>
      </c>
      <c r="U427" t="s">
        <v>2665</v>
      </c>
      <c r="V427" t="s">
        <v>3552</v>
      </c>
      <c r="W427" t="s">
        <v>3553</v>
      </c>
      <c r="X427" t="s">
        <v>2665</v>
      </c>
      <c r="Y427" t="s">
        <v>2054</v>
      </c>
      <c r="Z427" t="s">
        <v>1179</v>
      </c>
      <c r="AA427" t="s">
        <v>2742</v>
      </c>
      <c r="AB427" t="s">
        <v>2742</v>
      </c>
      <c r="AC427" t="s">
        <v>2665</v>
      </c>
      <c r="AD427" t="s">
        <v>2054</v>
      </c>
      <c r="AE427" t="s">
        <v>2718</v>
      </c>
    </row>
    <row r="428" spans="1:31" x14ac:dyDescent="0.25">
      <c r="A428" t="s">
        <v>1550</v>
      </c>
      <c r="B428" t="s">
        <v>1549</v>
      </c>
      <c r="C428" t="s">
        <v>3566</v>
      </c>
      <c r="D428" t="s">
        <v>1549</v>
      </c>
      <c r="E428" t="s">
        <v>2666</v>
      </c>
      <c r="F428" t="s">
        <v>2787</v>
      </c>
      <c r="G428" t="s">
        <v>2666</v>
      </c>
      <c r="H428" t="s">
        <v>2054</v>
      </c>
      <c r="I428" t="s">
        <v>2778</v>
      </c>
      <c r="J428" t="s">
        <v>2054</v>
      </c>
      <c r="K428" t="s">
        <v>2665</v>
      </c>
      <c r="L428" t="s">
        <v>1179</v>
      </c>
      <c r="M428" t="s">
        <v>2875</v>
      </c>
      <c r="N428" t="s">
        <v>2665</v>
      </c>
      <c r="O428" t="s">
        <v>2876</v>
      </c>
      <c r="P428" t="s">
        <v>2875</v>
      </c>
      <c r="Q428" t="s">
        <v>3397</v>
      </c>
      <c r="R428" t="s">
        <v>2665</v>
      </c>
      <c r="S428" t="s">
        <v>2779</v>
      </c>
      <c r="T428" t="s">
        <v>2780</v>
      </c>
      <c r="U428" t="s">
        <v>2665</v>
      </c>
      <c r="V428" t="s">
        <v>3552</v>
      </c>
      <c r="W428" t="s">
        <v>3553</v>
      </c>
      <c r="X428" t="s">
        <v>2665</v>
      </c>
      <c r="Y428" t="s">
        <v>2054</v>
      </c>
      <c r="Z428" t="s">
        <v>1179</v>
      </c>
      <c r="AA428" t="s">
        <v>2742</v>
      </c>
      <c r="AB428" t="s">
        <v>2742</v>
      </c>
      <c r="AC428" t="s">
        <v>2665</v>
      </c>
      <c r="AD428" t="s">
        <v>2054</v>
      </c>
      <c r="AE428" t="s">
        <v>2718</v>
      </c>
    </row>
    <row r="429" spans="1:31" x14ac:dyDescent="0.25">
      <c r="A429" t="s">
        <v>1552</v>
      </c>
      <c r="B429" t="s">
        <v>1551</v>
      </c>
      <c r="C429" t="s">
        <v>3567</v>
      </c>
      <c r="D429" t="s">
        <v>1551</v>
      </c>
      <c r="E429" t="s">
        <v>2666</v>
      </c>
      <c r="F429" t="s">
        <v>2787</v>
      </c>
      <c r="G429" t="s">
        <v>2666</v>
      </c>
      <c r="H429" t="s">
        <v>2054</v>
      </c>
      <c r="I429" t="s">
        <v>2778</v>
      </c>
      <c r="J429" t="s">
        <v>2054</v>
      </c>
      <c r="K429" t="s">
        <v>2665</v>
      </c>
      <c r="L429" t="s">
        <v>1179</v>
      </c>
      <c r="M429" t="s">
        <v>2875</v>
      </c>
      <c r="N429" t="s">
        <v>2665</v>
      </c>
      <c r="O429" t="s">
        <v>2876</v>
      </c>
      <c r="P429" t="s">
        <v>2875</v>
      </c>
      <c r="Q429" t="s">
        <v>3397</v>
      </c>
      <c r="R429" t="s">
        <v>2665</v>
      </c>
      <c r="S429" t="s">
        <v>2779</v>
      </c>
      <c r="T429" t="s">
        <v>2780</v>
      </c>
      <c r="U429" t="s">
        <v>2665</v>
      </c>
      <c r="V429" t="s">
        <v>3552</v>
      </c>
      <c r="W429" t="s">
        <v>3553</v>
      </c>
      <c r="X429" t="s">
        <v>2665</v>
      </c>
      <c r="Y429" t="s">
        <v>2054</v>
      </c>
      <c r="Z429" t="s">
        <v>1179</v>
      </c>
      <c r="AA429" t="s">
        <v>2742</v>
      </c>
      <c r="AB429" t="s">
        <v>2742</v>
      </c>
      <c r="AC429" t="s">
        <v>2665</v>
      </c>
      <c r="AD429" t="s">
        <v>2054</v>
      </c>
      <c r="AE429" t="s">
        <v>2718</v>
      </c>
    </row>
    <row r="430" spans="1:31" x14ac:dyDescent="0.25">
      <c r="A430" t="s">
        <v>1554</v>
      </c>
      <c r="B430" t="s">
        <v>1553</v>
      </c>
      <c r="C430" t="s">
        <v>3568</v>
      </c>
      <c r="D430" t="s">
        <v>1553</v>
      </c>
      <c r="E430" t="s">
        <v>2666</v>
      </c>
      <c r="F430" t="s">
        <v>2787</v>
      </c>
      <c r="G430" t="s">
        <v>2666</v>
      </c>
      <c r="H430" t="s">
        <v>2054</v>
      </c>
      <c r="I430" t="s">
        <v>2778</v>
      </c>
      <c r="J430" t="s">
        <v>2054</v>
      </c>
      <c r="K430" t="s">
        <v>2665</v>
      </c>
      <c r="L430" t="s">
        <v>1179</v>
      </c>
      <c r="M430" t="s">
        <v>2875</v>
      </c>
      <c r="N430" t="s">
        <v>2665</v>
      </c>
      <c r="O430" t="s">
        <v>2876</v>
      </c>
      <c r="P430" t="s">
        <v>2875</v>
      </c>
      <c r="Q430" t="s">
        <v>3397</v>
      </c>
      <c r="R430" t="s">
        <v>2665</v>
      </c>
      <c r="S430" t="s">
        <v>2779</v>
      </c>
      <c r="T430" t="s">
        <v>2780</v>
      </c>
      <c r="U430" t="s">
        <v>2665</v>
      </c>
      <c r="V430" t="s">
        <v>3552</v>
      </c>
      <c r="W430" t="s">
        <v>3553</v>
      </c>
      <c r="X430" t="s">
        <v>2665</v>
      </c>
      <c r="Y430" t="s">
        <v>2054</v>
      </c>
      <c r="Z430" t="s">
        <v>1179</v>
      </c>
      <c r="AA430" t="s">
        <v>2742</v>
      </c>
      <c r="AB430" t="s">
        <v>2742</v>
      </c>
      <c r="AC430" t="s">
        <v>2665</v>
      </c>
      <c r="AD430" t="s">
        <v>2054</v>
      </c>
      <c r="AE430" t="s">
        <v>2718</v>
      </c>
    </row>
    <row r="431" spans="1:31" x14ac:dyDescent="0.25">
      <c r="A431" t="s">
        <v>1556</v>
      </c>
      <c r="B431" t="s">
        <v>1555</v>
      </c>
      <c r="C431" t="s">
        <v>3569</v>
      </c>
      <c r="D431" t="s">
        <v>1555</v>
      </c>
      <c r="E431" t="s">
        <v>2666</v>
      </c>
      <c r="F431" t="s">
        <v>2787</v>
      </c>
      <c r="G431" t="s">
        <v>2666</v>
      </c>
      <c r="H431" t="s">
        <v>2054</v>
      </c>
      <c r="I431" t="s">
        <v>2778</v>
      </c>
      <c r="J431" t="s">
        <v>2054</v>
      </c>
      <c r="K431" t="s">
        <v>2665</v>
      </c>
      <c r="L431" t="s">
        <v>1179</v>
      </c>
      <c r="M431" t="s">
        <v>2875</v>
      </c>
      <c r="N431" t="s">
        <v>2665</v>
      </c>
      <c r="O431" t="s">
        <v>2876</v>
      </c>
      <c r="P431" t="s">
        <v>2875</v>
      </c>
      <c r="Q431" t="s">
        <v>3397</v>
      </c>
      <c r="R431" t="s">
        <v>2665</v>
      </c>
      <c r="S431" t="s">
        <v>2779</v>
      </c>
      <c r="T431" t="s">
        <v>2780</v>
      </c>
      <c r="U431" t="s">
        <v>2665</v>
      </c>
      <c r="V431" t="s">
        <v>3552</v>
      </c>
      <c r="W431" t="s">
        <v>3553</v>
      </c>
      <c r="X431" t="s">
        <v>2665</v>
      </c>
      <c r="Y431" t="s">
        <v>2054</v>
      </c>
      <c r="Z431" t="s">
        <v>1179</v>
      </c>
      <c r="AA431" t="s">
        <v>2742</v>
      </c>
      <c r="AB431" t="s">
        <v>2742</v>
      </c>
      <c r="AC431" t="s">
        <v>2665</v>
      </c>
      <c r="AD431" t="s">
        <v>2054</v>
      </c>
      <c r="AE431" t="s">
        <v>2718</v>
      </c>
    </row>
    <row r="432" spans="1:31" x14ac:dyDescent="0.25">
      <c r="A432" t="s">
        <v>1558</v>
      </c>
      <c r="B432" t="s">
        <v>1557</v>
      </c>
      <c r="C432" t="s">
        <v>3570</v>
      </c>
      <c r="D432" t="s">
        <v>1557</v>
      </c>
      <c r="E432" t="s">
        <v>2666</v>
      </c>
      <c r="F432" t="s">
        <v>2787</v>
      </c>
      <c r="G432" t="s">
        <v>2666</v>
      </c>
      <c r="H432" t="s">
        <v>2054</v>
      </c>
      <c r="I432" t="s">
        <v>2778</v>
      </c>
      <c r="J432" t="s">
        <v>2054</v>
      </c>
      <c r="K432" t="s">
        <v>2665</v>
      </c>
      <c r="L432" t="s">
        <v>1179</v>
      </c>
      <c r="M432" t="s">
        <v>2875</v>
      </c>
      <c r="N432" t="s">
        <v>2665</v>
      </c>
      <c r="O432" t="s">
        <v>2876</v>
      </c>
      <c r="P432" t="s">
        <v>2875</v>
      </c>
      <c r="Q432" t="s">
        <v>3397</v>
      </c>
      <c r="R432" t="s">
        <v>2665</v>
      </c>
      <c r="S432" t="s">
        <v>2779</v>
      </c>
      <c r="T432" t="s">
        <v>2780</v>
      </c>
      <c r="U432" t="s">
        <v>2665</v>
      </c>
      <c r="V432" t="s">
        <v>3552</v>
      </c>
      <c r="W432" t="s">
        <v>3553</v>
      </c>
      <c r="X432" t="s">
        <v>2665</v>
      </c>
      <c r="Y432" t="s">
        <v>2054</v>
      </c>
      <c r="Z432" t="s">
        <v>1179</v>
      </c>
      <c r="AA432" t="s">
        <v>2742</v>
      </c>
      <c r="AB432" t="s">
        <v>2742</v>
      </c>
      <c r="AC432" t="s">
        <v>2665</v>
      </c>
      <c r="AD432" t="s">
        <v>2054</v>
      </c>
      <c r="AE432" t="s">
        <v>2718</v>
      </c>
    </row>
    <row r="433" spans="1:31" x14ac:dyDescent="0.25">
      <c r="A433" t="s">
        <v>1560</v>
      </c>
      <c r="B433" t="s">
        <v>1559</v>
      </c>
      <c r="C433" t="s">
        <v>3571</v>
      </c>
      <c r="D433" t="s">
        <v>1559</v>
      </c>
      <c r="E433" t="s">
        <v>2666</v>
      </c>
      <c r="F433" t="s">
        <v>2787</v>
      </c>
      <c r="G433" t="s">
        <v>2666</v>
      </c>
      <c r="H433" t="s">
        <v>2054</v>
      </c>
      <c r="I433" t="s">
        <v>2778</v>
      </c>
      <c r="J433" t="s">
        <v>2054</v>
      </c>
      <c r="K433" t="s">
        <v>2665</v>
      </c>
      <c r="L433" t="s">
        <v>1179</v>
      </c>
      <c r="M433" t="s">
        <v>2875</v>
      </c>
      <c r="N433" t="s">
        <v>2665</v>
      </c>
      <c r="O433" t="s">
        <v>2876</v>
      </c>
      <c r="P433" t="s">
        <v>2875</v>
      </c>
      <c r="Q433" t="s">
        <v>3397</v>
      </c>
      <c r="R433" t="s">
        <v>2665</v>
      </c>
      <c r="S433" t="s">
        <v>2779</v>
      </c>
      <c r="T433" t="s">
        <v>2780</v>
      </c>
      <c r="U433" t="s">
        <v>2665</v>
      </c>
      <c r="V433" t="s">
        <v>3552</v>
      </c>
      <c r="W433" t="s">
        <v>3553</v>
      </c>
      <c r="X433" t="s">
        <v>2665</v>
      </c>
      <c r="Y433" t="s">
        <v>2054</v>
      </c>
      <c r="Z433" t="s">
        <v>1179</v>
      </c>
      <c r="AA433" t="s">
        <v>2742</v>
      </c>
      <c r="AB433" t="s">
        <v>2742</v>
      </c>
      <c r="AC433" t="s">
        <v>2665</v>
      </c>
      <c r="AD433" t="s">
        <v>2054</v>
      </c>
      <c r="AE433" t="s">
        <v>2718</v>
      </c>
    </row>
    <row r="434" spans="1:31" x14ac:dyDescent="0.25">
      <c r="A434" t="s">
        <v>1562</v>
      </c>
      <c r="B434" t="s">
        <v>1561</v>
      </c>
      <c r="C434" t="s">
        <v>3572</v>
      </c>
      <c r="D434" t="s">
        <v>1561</v>
      </c>
      <c r="E434" t="s">
        <v>2666</v>
      </c>
      <c r="F434" t="s">
        <v>2787</v>
      </c>
      <c r="G434" t="s">
        <v>2666</v>
      </c>
      <c r="H434" t="s">
        <v>2054</v>
      </c>
      <c r="I434" t="s">
        <v>2778</v>
      </c>
      <c r="J434" t="s">
        <v>2054</v>
      </c>
      <c r="K434" t="s">
        <v>2665</v>
      </c>
      <c r="L434" t="s">
        <v>1179</v>
      </c>
      <c r="M434" t="s">
        <v>2875</v>
      </c>
      <c r="N434" t="s">
        <v>2665</v>
      </c>
      <c r="O434" t="s">
        <v>2876</v>
      </c>
      <c r="P434" t="s">
        <v>2875</v>
      </c>
      <c r="Q434" t="s">
        <v>3397</v>
      </c>
      <c r="R434" t="s">
        <v>2665</v>
      </c>
      <c r="S434" t="s">
        <v>2779</v>
      </c>
      <c r="T434" t="s">
        <v>2780</v>
      </c>
      <c r="U434" t="s">
        <v>2665</v>
      </c>
      <c r="V434" t="s">
        <v>3552</v>
      </c>
      <c r="W434" t="s">
        <v>3553</v>
      </c>
      <c r="X434" t="s">
        <v>2665</v>
      </c>
      <c r="Y434" t="s">
        <v>2054</v>
      </c>
      <c r="Z434" t="s">
        <v>1179</v>
      </c>
      <c r="AA434" t="s">
        <v>2742</v>
      </c>
      <c r="AB434" t="s">
        <v>2742</v>
      </c>
      <c r="AC434" t="s">
        <v>2665</v>
      </c>
      <c r="AD434" t="s">
        <v>2054</v>
      </c>
      <c r="AE434" t="s">
        <v>2718</v>
      </c>
    </row>
    <row r="435" spans="1:31" x14ac:dyDescent="0.25">
      <c r="A435" t="s">
        <v>1564</v>
      </c>
      <c r="B435" t="s">
        <v>1563</v>
      </c>
      <c r="C435" t="s">
        <v>3573</v>
      </c>
      <c r="D435" t="s">
        <v>1563</v>
      </c>
      <c r="E435" t="s">
        <v>2666</v>
      </c>
      <c r="F435" t="s">
        <v>2787</v>
      </c>
      <c r="G435" t="s">
        <v>2666</v>
      </c>
      <c r="H435" t="s">
        <v>2054</v>
      </c>
      <c r="I435" t="s">
        <v>2778</v>
      </c>
      <c r="J435" t="s">
        <v>2054</v>
      </c>
      <c r="K435" t="s">
        <v>2665</v>
      </c>
      <c r="L435" t="s">
        <v>1179</v>
      </c>
      <c r="M435" t="s">
        <v>2875</v>
      </c>
      <c r="N435" t="s">
        <v>2665</v>
      </c>
      <c r="O435" t="s">
        <v>2876</v>
      </c>
      <c r="P435" t="s">
        <v>2875</v>
      </c>
      <c r="Q435" t="s">
        <v>3397</v>
      </c>
      <c r="R435" t="s">
        <v>2665</v>
      </c>
      <c r="S435" t="s">
        <v>2779</v>
      </c>
      <c r="T435" t="s">
        <v>2780</v>
      </c>
      <c r="U435" t="s">
        <v>2665</v>
      </c>
      <c r="V435" t="s">
        <v>3552</v>
      </c>
      <c r="W435" t="s">
        <v>3553</v>
      </c>
      <c r="X435" t="s">
        <v>2665</v>
      </c>
      <c r="Y435" t="s">
        <v>2054</v>
      </c>
      <c r="Z435" t="s">
        <v>1179</v>
      </c>
      <c r="AA435" t="s">
        <v>2742</v>
      </c>
      <c r="AB435" t="s">
        <v>2742</v>
      </c>
      <c r="AC435" t="s">
        <v>2665</v>
      </c>
      <c r="AD435" t="s">
        <v>2054</v>
      </c>
      <c r="AE435" t="s">
        <v>2718</v>
      </c>
    </row>
    <row r="436" spans="1:31" x14ac:dyDescent="0.25">
      <c r="A436" t="s">
        <v>1566</v>
      </c>
      <c r="B436" t="s">
        <v>1565</v>
      </c>
      <c r="C436" t="s">
        <v>3574</v>
      </c>
      <c r="D436" t="s">
        <v>1565</v>
      </c>
      <c r="E436" t="s">
        <v>2666</v>
      </c>
      <c r="F436" t="s">
        <v>2762</v>
      </c>
      <c r="G436" t="s">
        <v>2666</v>
      </c>
      <c r="H436" t="s">
        <v>2054</v>
      </c>
      <c r="I436" t="s">
        <v>2778</v>
      </c>
      <c r="J436" t="s">
        <v>2054</v>
      </c>
      <c r="K436" t="s">
        <v>2665</v>
      </c>
      <c r="L436" t="s">
        <v>1179</v>
      </c>
      <c r="M436" t="s">
        <v>2875</v>
      </c>
      <c r="N436" t="s">
        <v>2665</v>
      </c>
      <c r="O436" t="s">
        <v>2876</v>
      </c>
      <c r="P436" t="s">
        <v>2827</v>
      </c>
      <c r="Q436" t="s">
        <v>3397</v>
      </c>
      <c r="R436" t="s">
        <v>2665</v>
      </c>
      <c r="S436" t="s">
        <v>2779</v>
      </c>
      <c r="T436" t="s">
        <v>2780</v>
      </c>
      <c r="U436" t="s">
        <v>2665</v>
      </c>
      <c r="V436" t="s">
        <v>3552</v>
      </c>
      <c r="W436" t="s">
        <v>3553</v>
      </c>
      <c r="X436" t="s">
        <v>2665</v>
      </c>
      <c r="Y436" t="s">
        <v>2054</v>
      </c>
      <c r="Z436" t="s">
        <v>1179</v>
      </c>
      <c r="AA436" t="s">
        <v>2795</v>
      </c>
      <c r="AB436" t="s">
        <v>2795</v>
      </c>
      <c r="AC436" t="s">
        <v>2665</v>
      </c>
      <c r="AD436" t="s">
        <v>2054</v>
      </c>
      <c r="AE436" t="s">
        <v>2726</v>
      </c>
    </row>
    <row r="437" spans="1:31" x14ac:dyDescent="0.25">
      <c r="A437" t="s">
        <v>275</v>
      </c>
      <c r="B437" t="s">
        <v>89</v>
      </c>
      <c r="C437" t="s">
        <v>3575</v>
      </c>
      <c r="D437" t="s">
        <v>274</v>
      </c>
      <c r="E437" t="s">
        <v>2666</v>
      </c>
      <c r="F437" t="s">
        <v>2712</v>
      </c>
      <c r="G437" t="s">
        <v>2666</v>
      </c>
      <c r="H437" t="s">
        <v>2054</v>
      </c>
      <c r="I437" t="s">
        <v>2778</v>
      </c>
      <c r="J437" t="s">
        <v>2054</v>
      </c>
      <c r="K437" t="s">
        <v>2665</v>
      </c>
      <c r="L437" t="s">
        <v>1179</v>
      </c>
      <c r="M437" t="s">
        <v>2878</v>
      </c>
      <c r="N437" t="s">
        <v>2665</v>
      </c>
      <c r="O437" t="s">
        <v>3576</v>
      </c>
      <c r="P437" t="s">
        <v>2827</v>
      </c>
      <c r="Q437" t="s">
        <v>3397</v>
      </c>
      <c r="R437" t="s">
        <v>2665</v>
      </c>
      <c r="S437" t="s">
        <v>2781</v>
      </c>
      <c r="T437" t="s">
        <v>2922</v>
      </c>
      <c r="U437" t="s">
        <v>2665</v>
      </c>
      <c r="V437" t="s">
        <v>3577</v>
      </c>
      <c r="W437" t="s">
        <v>3578</v>
      </c>
      <c r="X437" t="s">
        <v>2665</v>
      </c>
      <c r="Y437" t="s">
        <v>2054</v>
      </c>
      <c r="Z437" t="s">
        <v>1179</v>
      </c>
      <c r="AA437" t="s">
        <v>2742</v>
      </c>
      <c r="AB437" t="s">
        <v>2742</v>
      </c>
      <c r="AC437" t="s">
        <v>2665</v>
      </c>
      <c r="AD437" t="s">
        <v>2054</v>
      </c>
      <c r="AE437" t="s">
        <v>2054</v>
      </c>
    </row>
    <row r="438" spans="1:31" x14ac:dyDescent="0.25">
      <c r="A438" t="s">
        <v>277</v>
      </c>
      <c r="B438" t="s">
        <v>90</v>
      </c>
      <c r="C438" t="s">
        <v>3579</v>
      </c>
      <c r="D438" t="s">
        <v>276</v>
      </c>
      <c r="E438" t="s">
        <v>2666</v>
      </c>
      <c r="F438" t="s">
        <v>3580</v>
      </c>
      <c r="G438" t="s">
        <v>2666</v>
      </c>
      <c r="H438" t="s">
        <v>2054</v>
      </c>
      <c r="I438" t="s">
        <v>2778</v>
      </c>
      <c r="J438" t="s">
        <v>2054</v>
      </c>
      <c r="K438" t="s">
        <v>2665</v>
      </c>
      <c r="L438" t="s">
        <v>1179</v>
      </c>
      <c r="M438" t="s">
        <v>2878</v>
      </c>
      <c r="N438" t="s">
        <v>2665</v>
      </c>
      <c r="O438" t="s">
        <v>3576</v>
      </c>
      <c r="P438" t="s">
        <v>2827</v>
      </c>
      <c r="Q438" t="s">
        <v>3397</v>
      </c>
      <c r="R438" t="s">
        <v>2665</v>
      </c>
      <c r="S438" t="s">
        <v>2781</v>
      </c>
      <c r="T438" t="s">
        <v>2922</v>
      </c>
      <c r="U438" t="s">
        <v>2665</v>
      </c>
      <c r="V438" t="s">
        <v>3577</v>
      </c>
      <c r="W438" t="s">
        <v>3578</v>
      </c>
      <c r="X438" t="s">
        <v>2665</v>
      </c>
      <c r="Y438" t="s">
        <v>2054</v>
      </c>
      <c r="Z438" t="s">
        <v>1179</v>
      </c>
      <c r="AA438" t="s">
        <v>2742</v>
      </c>
      <c r="AB438" t="s">
        <v>2742</v>
      </c>
      <c r="AC438" t="s">
        <v>2665</v>
      </c>
      <c r="AD438" t="s">
        <v>2054</v>
      </c>
      <c r="AE438" t="s">
        <v>2054</v>
      </c>
    </row>
    <row r="439" spans="1:31" x14ac:dyDescent="0.25">
      <c r="A439" t="s">
        <v>279</v>
      </c>
      <c r="B439" t="s">
        <v>91</v>
      </c>
      <c r="C439" t="s">
        <v>3581</v>
      </c>
      <c r="D439" t="s">
        <v>278</v>
      </c>
      <c r="E439" t="s">
        <v>2666</v>
      </c>
      <c r="F439" t="s">
        <v>2916</v>
      </c>
      <c r="G439" t="s">
        <v>2666</v>
      </c>
      <c r="H439" t="s">
        <v>2054</v>
      </c>
      <c r="I439" t="s">
        <v>2778</v>
      </c>
      <c r="J439" t="s">
        <v>2054</v>
      </c>
      <c r="K439" t="s">
        <v>2665</v>
      </c>
      <c r="L439" t="s">
        <v>1179</v>
      </c>
      <c r="M439" t="s">
        <v>2878</v>
      </c>
      <c r="N439" t="s">
        <v>2665</v>
      </c>
      <c r="O439" t="s">
        <v>3576</v>
      </c>
      <c r="P439" t="s">
        <v>2827</v>
      </c>
      <c r="Q439" t="s">
        <v>3397</v>
      </c>
      <c r="R439" t="s">
        <v>2665</v>
      </c>
      <c r="S439" t="s">
        <v>2781</v>
      </c>
      <c r="T439" t="s">
        <v>2922</v>
      </c>
      <c r="U439" t="s">
        <v>2665</v>
      </c>
      <c r="V439" t="s">
        <v>3577</v>
      </c>
      <c r="W439" t="s">
        <v>3578</v>
      </c>
      <c r="X439" t="s">
        <v>2665</v>
      </c>
      <c r="Y439" t="s">
        <v>2054</v>
      </c>
      <c r="Z439" t="s">
        <v>1179</v>
      </c>
      <c r="AA439" t="s">
        <v>2791</v>
      </c>
      <c r="AB439" t="s">
        <v>2791</v>
      </c>
      <c r="AC439" t="s">
        <v>2665</v>
      </c>
      <c r="AD439" t="s">
        <v>2054</v>
      </c>
      <c r="AE439" t="s">
        <v>2054</v>
      </c>
    </row>
    <row r="440" spans="1:31" x14ac:dyDescent="0.25">
      <c r="A440" t="s">
        <v>281</v>
      </c>
      <c r="B440" t="s">
        <v>92</v>
      </c>
      <c r="C440" t="s">
        <v>3582</v>
      </c>
      <c r="D440" t="s">
        <v>280</v>
      </c>
      <c r="E440" t="s">
        <v>2666</v>
      </c>
      <c r="F440" t="s">
        <v>3583</v>
      </c>
      <c r="G440" t="s">
        <v>2666</v>
      </c>
      <c r="H440" t="s">
        <v>2054</v>
      </c>
      <c r="I440" t="s">
        <v>2778</v>
      </c>
      <c r="J440" t="s">
        <v>2054</v>
      </c>
      <c r="K440" t="s">
        <v>2665</v>
      </c>
      <c r="L440" t="s">
        <v>1179</v>
      </c>
      <c r="M440" t="s">
        <v>2878</v>
      </c>
      <c r="N440" t="s">
        <v>2665</v>
      </c>
      <c r="O440" t="s">
        <v>3576</v>
      </c>
      <c r="P440" t="s">
        <v>2827</v>
      </c>
      <c r="Q440" t="s">
        <v>3397</v>
      </c>
      <c r="R440" t="s">
        <v>2665</v>
      </c>
      <c r="S440" t="s">
        <v>2781</v>
      </c>
      <c r="T440" t="s">
        <v>2922</v>
      </c>
      <c r="U440" t="s">
        <v>2665</v>
      </c>
      <c r="V440" t="s">
        <v>3577</v>
      </c>
      <c r="W440" t="s">
        <v>3578</v>
      </c>
      <c r="X440" t="s">
        <v>2665</v>
      </c>
      <c r="Y440" t="s">
        <v>2054</v>
      </c>
      <c r="Z440" t="s">
        <v>1179</v>
      </c>
      <c r="AA440" t="s">
        <v>2791</v>
      </c>
      <c r="AB440" t="s">
        <v>2791</v>
      </c>
      <c r="AC440" t="s">
        <v>2665</v>
      </c>
      <c r="AD440" t="s">
        <v>2054</v>
      </c>
      <c r="AE440" t="s">
        <v>2054</v>
      </c>
    </row>
    <row r="441" spans="1:31" x14ac:dyDescent="0.25">
      <c r="A441" t="s">
        <v>1568</v>
      </c>
      <c r="B441" t="s">
        <v>1567</v>
      </c>
      <c r="C441" t="s">
        <v>3584</v>
      </c>
      <c r="D441" t="s">
        <v>1567</v>
      </c>
      <c r="E441" t="s">
        <v>2666</v>
      </c>
      <c r="F441" t="s">
        <v>3181</v>
      </c>
      <c r="G441" t="s">
        <v>2666</v>
      </c>
      <c r="H441" t="s">
        <v>2054</v>
      </c>
      <c r="I441" t="s">
        <v>2778</v>
      </c>
      <c r="J441" t="s">
        <v>2054</v>
      </c>
      <c r="K441" t="s">
        <v>2665</v>
      </c>
      <c r="L441" t="s">
        <v>1179</v>
      </c>
      <c r="M441" t="s">
        <v>2898</v>
      </c>
      <c r="N441" t="s">
        <v>2665</v>
      </c>
      <c r="O441" t="s">
        <v>2984</v>
      </c>
      <c r="P441" t="s">
        <v>2827</v>
      </c>
      <c r="Q441" t="s">
        <v>3397</v>
      </c>
      <c r="R441" t="s">
        <v>2665</v>
      </c>
      <c r="S441" t="s">
        <v>2779</v>
      </c>
      <c r="T441" t="s">
        <v>2780</v>
      </c>
      <c r="U441" t="s">
        <v>2665</v>
      </c>
      <c r="V441" t="s">
        <v>3398</v>
      </c>
      <c r="W441" t="s">
        <v>3399</v>
      </c>
      <c r="X441" t="s">
        <v>2665</v>
      </c>
      <c r="Y441" t="s">
        <v>2054</v>
      </c>
      <c r="Z441" t="s">
        <v>1179</v>
      </c>
      <c r="AA441" t="s">
        <v>2742</v>
      </c>
      <c r="AB441" t="s">
        <v>2742</v>
      </c>
      <c r="AC441" t="s">
        <v>2665</v>
      </c>
      <c r="AD441" t="s">
        <v>2054</v>
      </c>
      <c r="AE441" t="s">
        <v>2054</v>
      </c>
    </row>
    <row r="442" spans="1:31" x14ac:dyDescent="0.25">
      <c r="A442" t="s">
        <v>3585</v>
      </c>
      <c r="B442" t="s">
        <v>3586</v>
      </c>
      <c r="C442" t="s">
        <v>3587</v>
      </c>
      <c r="D442" t="s">
        <v>3586</v>
      </c>
      <c r="E442" t="s">
        <v>2666</v>
      </c>
      <c r="F442" t="s">
        <v>2857</v>
      </c>
      <c r="G442" t="s">
        <v>2666</v>
      </c>
      <c r="H442" t="s">
        <v>2054</v>
      </c>
      <c r="I442" t="s">
        <v>2778</v>
      </c>
      <c r="J442" t="s">
        <v>2054</v>
      </c>
      <c r="K442" t="s">
        <v>2665</v>
      </c>
      <c r="L442" t="s">
        <v>1179</v>
      </c>
      <c r="M442" t="s">
        <v>2898</v>
      </c>
      <c r="N442" t="s">
        <v>2665</v>
      </c>
      <c r="O442" t="s">
        <v>2984</v>
      </c>
      <c r="P442" t="s">
        <v>2827</v>
      </c>
      <c r="Q442" t="s">
        <v>3397</v>
      </c>
      <c r="R442" t="s">
        <v>2665</v>
      </c>
      <c r="S442" t="s">
        <v>2779</v>
      </c>
      <c r="T442" t="s">
        <v>2780</v>
      </c>
      <c r="U442" t="s">
        <v>2665</v>
      </c>
      <c r="V442" t="s">
        <v>3398</v>
      </c>
      <c r="W442" t="s">
        <v>3399</v>
      </c>
      <c r="X442" t="s">
        <v>2665</v>
      </c>
      <c r="Y442" t="s">
        <v>2054</v>
      </c>
      <c r="Z442" t="s">
        <v>1179</v>
      </c>
      <c r="AA442" t="s">
        <v>2742</v>
      </c>
      <c r="AB442" t="s">
        <v>2742</v>
      </c>
      <c r="AC442" t="s">
        <v>2665</v>
      </c>
      <c r="AD442" t="s">
        <v>2054</v>
      </c>
      <c r="AE442" t="s">
        <v>2718</v>
      </c>
    </row>
    <row r="443" spans="1:31" x14ac:dyDescent="0.25">
      <c r="A443" t="s">
        <v>1570</v>
      </c>
      <c r="B443" t="s">
        <v>1569</v>
      </c>
      <c r="C443" t="s">
        <v>3588</v>
      </c>
      <c r="D443" t="s">
        <v>1569</v>
      </c>
      <c r="E443" t="s">
        <v>2666</v>
      </c>
      <c r="F443" t="s">
        <v>3589</v>
      </c>
      <c r="G443" t="s">
        <v>2666</v>
      </c>
      <c r="H443" t="s">
        <v>2054</v>
      </c>
      <c r="I443" t="s">
        <v>2778</v>
      </c>
      <c r="J443" t="s">
        <v>2054</v>
      </c>
      <c r="K443" t="s">
        <v>2665</v>
      </c>
      <c r="L443" t="s">
        <v>1179</v>
      </c>
      <c r="M443" t="s">
        <v>2898</v>
      </c>
      <c r="N443" t="s">
        <v>2665</v>
      </c>
      <c r="O443" t="s">
        <v>2984</v>
      </c>
      <c r="P443" t="s">
        <v>2827</v>
      </c>
      <c r="Q443" t="s">
        <v>3397</v>
      </c>
      <c r="R443" t="s">
        <v>2665</v>
      </c>
      <c r="S443" t="s">
        <v>2779</v>
      </c>
      <c r="T443" t="s">
        <v>2780</v>
      </c>
      <c r="U443" t="s">
        <v>2665</v>
      </c>
      <c r="V443" t="s">
        <v>3398</v>
      </c>
      <c r="W443" t="s">
        <v>3399</v>
      </c>
      <c r="X443" t="s">
        <v>2665</v>
      </c>
      <c r="Y443" t="s">
        <v>2054</v>
      </c>
      <c r="Z443" t="s">
        <v>1179</v>
      </c>
      <c r="AA443" t="s">
        <v>3425</v>
      </c>
      <c r="AB443" t="s">
        <v>3425</v>
      </c>
      <c r="AC443" t="s">
        <v>2665</v>
      </c>
      <c r="AD443" t="s">
        <v>2054</v>
      </c>
      <c r="AE443" t="s">
        <v>2054</v>
      </c>
    </row>
    <row r="444" spans="1:31" x14ac:dyDescent="0.25">
      <c r="A444" t="s">
        <v>1572</v>
      </c>
      <c r="B444" t="s">
        <v>1571</v>
      </c>
      <c r="C444" t="s">
        <v>3590</v>
      </c>
      <c r="D444" t="s">
        <v>1571</v>
      </c>
      <c r="E444" t="s">
        <v>2666</v>
      </c>
      <c r="F444" t="s">
        <v>3591</v>
      </c>
      <c r="G444" t="s">
        <v>2666</v>
      </c>
      <c r="H444" t="s">
        <v>2054</v>
      </c>
      <c r="I444" t="s">
        <v>2778</v>
      </c>
      <c r="J444" t="s">
        <v>2054</v>
      </c>
      <c r="K444" t="s">
        <v>2665</v>
      </c>
      <c r="L444" t="s">
        <v>1179</v>
      </c>
      <c r="M444" t="s">
        <v>2898</v>
      </c>
      <c r="N444" t="s">
        <v>2665</v>
      </c>
      <c r="O444" t="s">
        <v>2984</v>
      </c>
      <c r="P444" t="s">
        <v>2827</v>
      </c>
      <c r="Q444" t="s">
        <v>3397</v>
      </c>
      <c r="R444" t="s">
        <v>2665</v>
      </c>
      <c r="S444" t="s">
        <v>2779</v>
      </c>
      <c r="T444" t="s">
        <v>2780</v>
      </c>
      <c r="U444" t="s">
        <v>2665</v>
      </c>
      <c r="V444" t="s">
        <v>3398</v>
      </c>
      <c r="W444" t="s">
        <v>3399</v>
      </c>
      <c r="X444" t="s">
        <v>2665</v>
      </c>
      <c r="Y444" t="s">
        <v>2054</v>
      </c>
      <c r="Z444" t="s">
        <v>1179</v>
      </c>
      <c r="AA444" t="s">
        <v>3425</v>
      </c>
      <c r="AB444" t="s">
        <v>3425</v>
      </c>
      <c r="AC444" t="s">
        <v>2665</v>
      </c>
      <c r="AD444" t="s">
        <v>2054</v>
      </c>
      <c r="AE444" t="s">
        <v>2054</v>
      </c>
    </row>
    <row r="445" spans="1:31" x14ac:dyDescent="0.25">
      <c r="A445" t="s">
        <v>1574</v>
      </c>
      <c r="B445" t="s">
        <v>1573</v>
      </c>
      <c r="C445" t="s">
        <v>3592</v>
      </c>
      <c r="D445" t="s">
        <v>1573</v>
      </c>
      <c r="E445" t="s">
        <v>2666</v>
      </c>
      <c r="F445" t="s">
        <v>3593</v>
      </c>
      <c r="G445" t="s">
        <v>2666</v>
      </c>
      <c r="H445" t="s">
        <v>2054</v>
      </c>
      <c r="I445" t="s">
        <v>2778</v>
      </c>
      <c r="J445" t="s">
        <v>2054</v>
      </c>
      <c r="K445" t="s">
        <v>2665</v>
      </c>
      <c r="L445" t="s">
        <v>1179</v>
      </c>
      <c r="M445" t="s">
        <v>2898</v>
      </c>
      <c r="N445" t="s">
        <v>2665</v>
      </c>
      <c r="O445" t="s">
        <v>2984</v>
      </c>
      <c r="P445" t="s">
        <v>2827</v>
      </c>
      <c r="Q445" t="s">
        <v>3397</v>
      </c>
      <c r="R445" t="s">
        <v>2665</v>
      </c>
      <c r="S445" t="s">
        <v>2779</v>
      </c>
      <c r="T445" t="s">
        <v>2780</v>
      </c>
      <c r="U445" t="s">
        <v>2665</v>
      </c>
      <c r="V445" t="s">
        <v>3398</v>
      </c>
      <c r="W445" t="s">
        <v>3399</v>
      </c>
      <c r="X445" t="s">
        <v>2665</v>
      </c>
      <c r="Y445" t="s">
        <v>2054</v>
      </c>
      <c r="Z445" t="s">
        <v>1179</v>
      </c>
      <c r="AA445" t="s">
        <v>3594</v>
      </c>
      <c r="AB445" t="s">
        <v>3594</v>
      </c>
      <c r="AC445" t="s">
        <v>2665</v>
      </c>
      <c r="AD445" t="s">
        <v>2054</v>
      </c>
      <c r="AE445" t="s">
        <v>2054</v>
      </c>
    </row>
    <row r="446" spans="1:31" x14ac:dyDescent="0.25">
      <c r="A446" t="s">
        <v>283</v>
      </c>
      <c r="B446" t="s">
        <v>93</v>
      </c>
      <c r="C446" t="s">
        <v>3595</v>
      </c>
      <c r="D446" t="s">
        <v>282</v>
      </c>
      <c r="E446" t="s">
        <v>2666</v>
      </c>
      <c r="F446" t="s">
        <v>2887</v>
      </c>
      <c r="G446" t="s">
        <v>2666</v>
      </c>
      <c r="H446" t="s">
        <v>2054</v>
      </c>
      <c r="I446" t="s">
        <v>2778</v>
      </c>
      <c r="J446" t="s">
        <v>2054</v>
      </c>
      <c r="K446" t="s">
        <v>2665</v>
      </c>
      <c r="L446" t="s">
        <v>1179</v>
      </c>
      <c r="M446" t="s">
        <v>2898</v>
      </c>
      <c r="N446" t="s">
        <v>2665</v>
      </c>
      <c r="O446" t="s">
        <v>2984</v>
      </c>
      <c r="P446" t="s">
        <v>2669</v>
      </c>
      <c r="Q446" t="s">
        <v>3420</v>
      </c>
      <c r="R446" t="s">
        <v>2665</v>
      </c>
      <c r="S446" t="s">
        <v>2781</v>
      </c>
      <c r="T446" t="s">
        <v>2922</v>
      </c>
      <c r="U446" t="s">
        <v>2665</v>
      </c>
      <c r="V446" t="s">
        <v>3596</v>
      </c>
      <c r="W446" t="s">
        <v>3597</v>
      </c>
      <c r="X446" t="s">
        <v>2665</v>
      </c>
      <c r="Y446" t="s">
        <v>2054</v>
      </c>
      <c r="Z446" t="s">
        <v>1179</v>
      </c>
      <c r="AA446" t="s">
        <v>3598</v>
      </c>
      <c r="AB446" t="s">
        <v>3598</v>
      </c>
      <c r="AC446" t="s">
        <v>2665</v>
      </c>
      <c r="AD446" t="s">
        <v>2054</v>
      </c>
      <c r="AE446" t="s">
        <v>2054</v>
      </c>
    </row>
    <row r="447" spans="1:31" x14ac:dyDescent="0.25">
      <c r="A447" t="s">
        <v>285</v>
      </c>
      <c r="B447" t="s">
        <v>94</v>
      </c>
      <c r="C447" t="s">
        <v>3599</v>
      </c>
      <c r="D447" t="s">
        <v>284</v>
      </c>
      <c r="E447" t="s">
        <v>2666</v>
      </c>
      <c r="F447" t="s">
        <v>2889</v>
      </c>
      <c r="G447" t="s">
        <v>2666</v>
      </c>
      <c r="H447" t="s">
        <v>2054</v>
      </c>
      <c r="I447" t="s">
        <v>2778</v>
      </c>
      <c r="J447" t="s">
        <v>2054</v>
      </c>
      <c r="K447" t="s">
        <v>2665</v>
      </c>
      <c r="L447" t="s">
        <v>1179</v>
      </c>
      <c r="M447" t="s">
        <v>2898</v>
      </c>
      <c r="N447" t="s">
        <v>2665</v>
      </c>
      <c r="O447" t="s">
        <v>2984</v>
      </c>
      <c r="P447" t="s">
        <v>2669</v>
      </c>
      <c r="Q447" t="s">
        <v>3420</v>
      </c>
      <c r="R447" t="s">
        <v>2665</v>
      </c>
      <c r="S447" t="s">
        <v>2781</v>
      </c>
      <c r="T447" t="s">
        <v>2922</v>
      </c>
      <c r="U447" t="s">
        <v>2665</v>
      </c>
      <c r="V447" t="s">
        <v>3596</v>
      </c>
      <c r="W447" t="s">
        <v>3597</v>
      </c>
      <c r="X447" t="s">
        <v>2665</v>
      </c>
      <c r="Y447" t="s">
        <v>2054</v>
      </c>
      <c r="Z447" t="s">
        <v>1179</v>
      </c>
      <c r="AA447" t="s">
        <v>2959</v>
      </c>
      <c r="AB447" t="s">
        <v>2959</v>
      </c>
      <c r="AC447" t="s">
        <v>2665</v>
      </c>
      <c r="AD447" t="s">
        <v>2054</v>
      </c>
      <c r="AE447" t="s">
        <v>2054</v>
      </c>
    </row>
    <row r="448" spans="1:31" x14ac:dyDescent="0.25">
      <c r="A448" t="s">
        <v>287</v>
      </c>
      <c r="B448" t="s">
        <v>95</v>
      </c>
      <c r="C448" t="s">
        <v>3600</v>
      </c>
      <c r="D448" t="s">
        <v>286</v>
      </c>
      <c r="E448" t="s">
        <v>2666</v>
      </c>
      <c r="F448" t="s">
        <v>3435</v>
      </c>
      <c r="G448" t="s">
        <v>2666</v>
      </c>
      <c r="H448" t="s">
        <v>2054</v>
      </c>
      <c r="I448" t="s">
        <v>2778</v>
      </c>
      <c r="J448" t="s">
        <v>2054</v>
      </c>
      <c r="K448" t="s">
        <v>2665</v>
      </c>
      <c r="L448" t="s">
        <v>1179</v>
      </c>
      <c r="M448" t="s">
        <v>2898</v>
      </c>
      <c r="N448" t="s">
        <v>2665</v>
      </c>
      <c r="O448" t="s">
        <v>2984</v>
      </c>
      <c r="P448" t="s">
        <v>2669</v>
      </c>
      <c r="Q448" t="s">
        <v>3420</v>
      </c>
      <c r="R448" t="s">
        <v>2665</v>
      </c>
      <c r="S448" t="s">
        <v>2781</v>
      </c>
      <c r="T448" t="s">
        <v>2922</v>
      </c>
      <c r="U448" t="s">
        <v>2665</v>
      </c>
      <c r="V448" t="s">
        <v>3596</v>
      </c>
      <c r="W448" t="s">
        <v>3597</v>
      </c>
      <c r="X448" t="s">
        <v>2665</v>
      </c>
      <c r="Y448" t="s">
        <v>2054</v>
      </c>
      <c r="Z448" t="s">
        <v>1179</v>
      </c>
      <c r="AA448" t="s">
        <v>3184</v>
      </c>
      <c r="AB448" t="s">
        <v>3184</v>
      </c>
      <c r="AC448" t="s">
        <v>2665</v>
      </c>
      <c r="AD448" t="s">
        <v>2054</v>
      </c>
      <c r="AE448" t="s">
        <v>2054</v>
      </c>
    </row>
    <row r="449" spans="1:31" x14ac:dyDescent="0.25">
      <c r="A449" t="s">
        <v>289</v>
      </c>
      <c r="B449" t="s">
        <v>96</v>
      </c>
      <c r="C449" t="s">
        <v>3601</v>
      </c>
      <c r="D449" t="s">
        <v>288</v>
      </c>
      <c r="E449" t="s">
        <v>2666</v>
      </c>
      <c r="F449" t="s">
        <v>3419</v>
      </c>
      <c r="G449" t="s">
        <v>2666</v>
      </c>
      <c r="H449" t="s">
        <v>2054</v>
      </c>
      <c r="I449" t="s">
        <v>2778</v>
      </c>
      <c r="J449" t="s">
        <v>2054</v>
      </c>
      <c r="K449" t="s">
        <v>2665</v>
      </c>
      <c r="L449" t="s">
        <v>1179</v>
      </c>
      <c r="M449" t="s">
        <v>2898</v>
      </c>
      <c r="N449" t="s">
        <v>2665</v>
      </c>
      <c r="O449" t="s">
        <v>2984</v>
      </c>
      <c r="P449" t="s">
        <v>2669</v>
      </c>
      <c r="Q449" t="s">
        <v>3420</v>
      </c>
      <c r="R449" t="s">
        <v>2665</v>
      </c>
      <c r="S449" t="s">
        <v>2781</v>
      </c>
      <c r="T449" t="s">
        <v>2922</v>
      </c>
      <c r="U449" t="s">
        <v>2665</v>
      </c>
      <c r="V449" t="s">
        <v>3596</v>
      </c>
      <c r="W449" t="s">
        <v>3597</v>
      </c>
      <c r="X449" t="s">
        <v>2665</v>
      </c>
      <c r="Y449" t="s">
        <v>2054</v>
      </c>
      <c r="Z449" t="s">
        <v>1179</v>
      </c>
      <c r="AA449" t="s">
        <v>3184</v>
      </c>
      <c r="AB449" t="s">
        <v>3184</v>
      </c>
      <c r="AC449" t="s">
        <v>2665</v>
      </c>
      <c r="AD449" t="s">
        <v>2054</v>
      </c>
      <c r="AE449" t="s">
        <v>2054</v>
      </c>
    </row>
    <row r="450" spans="1:31" x14ac:dyDescent="0.25">
      <c r="A450" t="s">
        <v>291</v>
      </c>
      <c r="B450" t="s">
        <v>97</v>
      </c>
      <c r="C450" t="s">
        <v>3602</v>
      </c>
      <c r="D450" t="s">
        <v>290</v>
      </c>
      <c r="E450" t="s">
        <v>2666</v>
      </c>
      <c r="F450" t="s">
        <v>2787</v>
      </c>
      <c r="G450" t="s">
        <v>2666</v>
      </c>
      <c r="H450" t="s">
        <v>2054</v>
      </c>
      <c r="I450" t="s">
        <v>2778</v>
      </c>
      <c r="J450" t="s">
        <v>2054</v>
      </c>
      <c r="K450" t="s">
        <v>2665</v>
      </c>
      <c r="L450" t="s">
        <v>1179</v>
      </c>
      <c r="M450" t="s">
        <v>2898</v>
      </c>
      <c r="N450" t="s">
        <v>2665</v>
      </c>
      <c r="O450" t="s">
        <v>2984</v>
      </c>
      <c r="P450" t="s">
        <v>2669</v>
      </c>
      <c r="Q450" t="s">
        <v>3420</v>
      </c>
      <c r="R450" t="s">
        <v>2665</v>
      </c>
      <c r="S450" t="s">
        <v>2781</v>
      </c>
      <c r="T450" t="s">
        <v>2922</v>
      </c>
      <c r="U450" t="s">
        <v>2665</v>
      </c>
      <c r="V450" t="s">
        <v>3596</v>
      </c>
      <c r="W450" t="s">
        <v>3597</v>
      </c>
      <c r="X450" t="s">
        <v>2665</v>
      </c>
      <c r="Y450" t="s">
        <v>2054</v>
      </c>
      <c r="Z450" t="s">
        <v>1179</v>
      </c>
      <c r="AA450" t="s">
        <v>3184</v>
      </c>
      <c r="AB450" t="s">
        <v>3184</v>
      </c>
      <c r="AC450" t="s">
        <v>2665</v>
      </c>
      <c r="AD450" t="s">
        <v>2054</v>
      </c>
      <c r="AE450" t="s">
        <v>2054</v>
      </c>
    </row>
    <row r="451" spans="1:31" x14ac:dyDescent="0.25">
      <c r="A451" t="s">
        <v>293</v>
      </c>
      <c r="B451" t="s">
        <v>98</v>
      </c>
      <c r="C451" t="s">
        <v>3603</v>
      </c>
      <c r="D451" t="s">
        <v>292</v>
      </c>
      <c r="E451" t="s">
        <v>2666</v>
      </c>
      <c r="F451" t="s">
        <v>3366</v>
      </c>
      <c r="G451" t="s">
        <v>2666</v>
      </c>
      <c r="H451" t="s">
        <v>2054</v>
      </c>
      <c r="I451" t="s">
        <v>2778</v>
      </c>
      <c r="J451" t="s">
        <v>2054</v>
      </c>
      <c r="K451" t="s">
        <v>2665</v>
      </c>
      <c r="L451" t="s">
        <v>1179</v>
      </c>
      <c r="M451" t="s">
        <v>2898</v>
      </c>
      <c r="N451" t="s">
        <v>2665</v>
      </c>
      <c r="O451" t="s">
        <v>2984</v>
      </c>
      <c r="P451" t="s">
        <v>2827</v>
      </c>
      <c r="Q451" t="s">
        <v>3397</v>
      </c>
      <c r="R451" t="s">
        <v>2665</v>
      </c>
      <c r="S451" t="s">
        <v>2781</v>
      </c>
      <c r="T451" t="s">
        <v>2922</v>
      </c>
      <c r="U451" t="s">
        <v>2665</v>
      </c>
      <c r="V451" t="s">
        <v>3604</v>
      </c>
      <c r="W451" t="s">
        <v>3605</v>
      </c>
      <c r="X451" t="s">
        <v>2665</v>
      </c>
      <c r="Y451" t="s">
        <v>2054</v>
      </c>
      <c r="Z451" t="s">
        <v>1179</v>
      </c>
      <c r="AA451" t="s">
        <v>3382</v>
      </c>
      <c r="AB451" t="s">
        <v>3382</v>
      </c>
      <c r="AC451" t="s">
        <v>2665</v>
      </c>
      <c r="AD451" t="s">
        <v>2054</v>
      </c>
      <c r="AE451" t="s">
        <v>2054</v>
      </c>
    </row>
    <row r="452" spans="1:31" x14ac:dyDescent="0.25">
      <c r="A452" t="s">
        <v>295</v>
      </c>
      <c r="B452" t="s">
        <v>99</v>
      </c>
      <c r="C452" t="s">
        <v>3606</v>
      </c>
      <c r="D452" t="s">
        <v>294</v>
      </c>
      <c r="E452" t="s">
        <v>2666</v>
      </c>
      <c r="F452" t="s">
        <v>3607</v>
      </c>
      <c r="G452" t="s">
        <v>2666</v>
      </c>
      <c r="H452" t="s">
        <v>2054</v>
      </c>
      <c r="I452" t="s">
        <v>2778</v>
      </c>
      <c r="J452" t="s">
        <v>2054</v>
      </c>
      <c r="K452" t="s">
        <v>2665</v>
      </c>
      <c r="L452" t="s">
        <v>1179</v>
      </c>
      <c r="M452" t="s">
        <v>2898</v>
      </c>
      <c r="N452" t="s">
        <v>2665</v>
      </c>
      <c r="O452" t="s">
        <v>2984</v>
      </c>
      <c r="P452" t="s">
        <v>2827</v>
      </c>
      <c r="Q452" t="s">
        <v>3397</v>
      </c>
      <c r="R452" t="s">
        <v>2665</v>
      </c>
      <c r="S452" t="s">
        <v>2781</v>
      </c>
      <c r="T452" t="s">
        <v>2922</v>
      </c>
      <c r="U452" t="s">
        <v>2665</v>
      </c>
      <c r="V452" t="s">
        <v>3604</v>
      </c>
      <c r="W452" t="s">
        <v>3605</v>
      </c>
      <c r="X452" t="s">
        <v>2665</v>
      </c>
      <c r="Y452" t="s">
        <v>2054</v>
      </c>
      <c r="Z452" t="s">
        <v>1179</v>
      </c>
      <c r="AA452" t="s">
        <v>3382</v>
      </c>
      <c r="AB452" t="s">
        <v>3382</v>
      </c>
      <c r="AC452" t="s">
        <v>2665</v>
      </c>
      <c r="AD452" t="s">
        <v>2054</v>
      </c>
      <c r="AE452" t="s">
        <v>2054</v>
      </c>
    </row>
    <row r="453" spans="1:31" x14ac:dyDescent="0.25">
      <c r="A453" t="s">
        <v>101</v>
      </c>
      <c r="B453" t="s">
        <v>100</v>
      </c>
      <c r="C453" t="s">
        <v>3608</v>
      </c>
      <c r="D453" t="s">
        <v>296</v>
      </c>
      <c r="E453" t="s">
        <v>2666</v>
      </c>
      <c r="F453" t="s">
        <v>3607</v>
      </c>
      <c r="G453" t="s">
        <v>2666</v>
      </c>
      <c r="H453" t="s">
        <v>2054</v>
      </c>
      <c r="I453" t="s">
        <v>2778</v>
      </c>
      <c r="J453" t="s">
        <v>2054</v>
      </c>
      <c r="K453" t="s">
        <v>2665</v>
      </c>
      <c r="L453" t="s">
        <v>1179</v>
      </c>
      <c r="M453" t="s">
        <v>2898</v>
      </c>
      <c r="N453" t="s">
        <v>2665</v>
      </c>
      <c r="O453" t="s">
        <v>2984</v>
      </c>
      <c r="P453" t="s">
        <v>2827</v>
      </c>
      <c r="Q453" t="s">
        <v>3397</v>
      </c>
      <c r="R453" t="s">
        <v>2665</v>
      </c>
      <c r="S453" t="s">
        <v>2781</v>
      </c>
      <c r="T453" t="s">
        <v>2922</v>
      </c>
      <c r="U453" t="s">
        <v>2665</v>
      </c>
      <c r="V453" t="s">
        <v>3604</v>
      </c>
      <c r="W453" t="s">
        <v>3605</v>
      </c>
      <c r="X453" t="s">
        <v>2665</v>
      </c>
      <c r="Y453" t="s">
        <v>2054</v>
      </c>
      <c r="Z453" t="s">
        <v>1179</v>
      </c>
      <c r="AA453" t="s">
        <v>3382</v>
      </c>
      <c r="AB453" t="s">
        <v>3382</v>
      </c>
      <c r="AC453" t="s">
        <v>2665</v>
      </c>
      <c r="AD453" t="s">
        <v>2054</v>
      </c>
      <c r="AE453" t="s">
        <v>2054</v>
      </c>
    </row>
    <row r="454" spans="1:31" x14ac:dyDescent="0.25">
      <c r="A454" t="s">
        <v>103</v>
      </c>
      <c r="B454" t="s">
        <v>102</v>
      </c>
      <c r="C454" t="s">
        <v>3609</v>
      </c>
      <c r="D454" t="s">
        <v>324</v>
      </c>
      <c r="E454" t="s">
        <v>2666</v>
      </c>
      <c r="F454" t="s">
        <v>3610</v>
      </c>
      <c r="G454" t="s">
        <v>2666</v>
      </c>
      <c r="H454" t="s">
        <v>2054</v>
      </c>
      <c r="I454" t="s">
        <v>2778</v>
      </c>
      <c r="J454" t="s">
        <v>2054</v>
      </c>
      <c r="K454" t="s">
        <v>2665</v>
      </c>
      <c r="L454" t="s">
        <v>1179</v>
      </c>
      <c r="M454" t="s">
        <v>2898</v>
      </c>
      <c r="N454" t="s">
        <v>2665</v>
      </c>
      <c r="O454" t="s">
        <v>2984</v>
      </c>
      <c r="P454" t="s">
        <v>2669</v>
      </c>
      <c r="Q454" t="s">
        <v>3420</v>
      </c>
      <c r="R454" t="s">
        <v>2665</v>
      </c>
      <c r="S454" t="s">
        <v>2781</v>
      </c>
      <c r="T454" t="s">
        <v>2922</v>
      </c>
      <c r="U454" t="s">
        <v>2665</v>
      </c>
      <c r="V454" t="s">
        <v>3482</v>
      </c>
      <c r="W454" t="s">
        <v>3483</v>
      </c>
      <c r="X454" t="s">
        <v>2665</v>
      </c>
      <c r="Y454" t="s">
        <v>2054</v>
      </c>
      <c r="Z454" t="s">
        <v>1179</v>
      </c>
      <c r="AA454" t="s">
        <v>3479</v>
      </c>
      <c r="AB454" t="s">
        <v>3479</v>
      </c>
      <c r="AC454" t="s">
        <v>2665</v>
      </c>
      <c r="AD454" t="s">
        <v>2054</v>
      </c>
      <c r="AE454" t="s">
        <v>2054</v>
      </c>
    </row>
    <row r="455" spans="1:31" x14ac:dyDescent="0.25">
      <c r="A455" t="s">
        <v>326</v>
      </c>
      <c r="B455" t="s">
        <v>104</v>
      </c>
      <c r="C455" t="s">
        <v>3611</v>
      </c>
      <c r="D455" t="s">
        <v>327</v>
      </c>
      <c r="E455" t="s">
        <v>2666</v>
      </c>
      <c r="F455" t="s">
        <v>3610</v>
      </c>
      <c r="G455" t="s">
        <v>2666</v>
      </c>
      <c r="H455" t="s">
        <v>2054</v>
      </c>
      <c r="I455" t="s">
        <v>2778</v>
      </c>
      <c r="J455" t="s">
        <v>2054</v>
      </c>
      <c r="K455" t="s">
        <v>2665</v>
      </c>
      <c r="L455" t="s">
        <v>1179</v>
      </c>
      <c r="M455" t="s">
        <v>2898</v>
      </c>
      <c r="N455" t="s">
        <v>2665</v>
      </c>
      <c r="O455" t="s">
        <v>2984</v>
      </c>
      <c r="P455" t="s">
        <v>2669</v>
      </c>
      <c r="Q455" t="s">
        <v>3420</v>
      </c>
      <c r="R455" t="s">
        <v>2665</v>
      </c>
      <c r="S455" t="s">
        <v>2781</v>
      </c>
      <c r="T455" t="s">
        <v>2922</v>
      </c>
      <c r="U455" t="s">
        <v>2665</v>
      </c>
      <c r="V455" t="s">
        <v>3482</v>
      </c>
      <c r="W455" t="s">
        <v>3483</v>
      </c>
      <c r="X455" t="s">
        <v>2665</v>
      </c>
      <c r="Y455" t="s">
        <v>2054</v>
      </c>
      <c r="Z455" t="s">
        <v>1179</v>
      </c>
      <c r="AA455" t="s">
        <v>3479</v>
      </c>
      <c r="AB455" t="s">
        <v>3479</v>
      </c>
      <c r="AC455" t="s">
        <v>2665</v>
      </c>
      <c r="AD455" t="s">
        <v>2054</v>
      </c>
      <c r="AE455" t="s">
        <v>2054</v>
      </c>
    </row>
    <row r="456" spans="1:31" x14ac:dyDescent="0.25">
      <c r="A456" t="s">
        <v>328</v>
      </c>
      <c r="B456" t="s">
        <v>105</v>
      </c>
      <c r="C456" t="s">
        <v>3612</v>
      </c>
      <c r="D456" t="s">
        <v>325</v>
      </c>
      <c r="E456" t="s">
        <v>2666</v>
      </c>
      <c r="F456" t="s">
        <v>3610</v>
      </c>
      <c r="G456" t="s">
        <v>2666</v>
      </c>
      <c r="H456" t="s">
        <v>2054</v>
      </c>
      <c r="I456" t="s">
        <v>2778</v>
      </c>
      <c r="J456" t="s">
        <v>2054</v>
      </c>
      <c r="K456" t="s">
        <v>2665</v>
      </c>
      <c r="L456" t="s">
        <v>1179</v>
      </c>
      <c r="M456" t="s">
        <v>2898</v>
      </c>
      <c r="N456" t="s">
        <v>2665</v>
      </c>
      <c r="O456" t="s">
        <v>2984</v>
      </c>
      <c r="P456" t="s">
        <v>2669</v>
      </c>
      <c r="Q456" t="s">
        <v>3420</v>
      </c>
      <c r="R456" t="s">
        <v>2665</v>
      </c>
      <c r="S456" t="s">
        <v>2781</v>
      </c>
      <c r="T456" t="s">
        <v>2922</v>
      </c>
      <c r="U456" t="s">
        <v>2665</v>
      </c>
      <c r="V456" t="s">
        <v>3482</v>
      </c>
      <c r="W456" t="s">
        <v>3483</v>
      </c>
      <c r="X456" t="s">
        <v>2665</v>
      </c>
      <c r="Y456" t="s">
        <v>2054</v>
      </c>
      <c r="Z456" t="s">
        <v>1179</v>
      </c>
      <c r="AA456" t="s">
        <v>3479</v>
      </c>
      <c r="AB456" t="s">
        <v>3479</v>
      </c>
      <c r="AC456" t="s">
        <v>2665</v>
      </c>
      <c r="AD456" t="s">
        <v>2054</v>
      </c>
      <c r="AE456" t="s">
        <v>2054</v>
      </c>
    </row>
    <row r="457" spans="1:31" x14ac:dyDescent="0.25">
      <c r="A457" t="s">
        <v>330</v>
      </c>
      <c r="B457" t="s">
        <v>106</v>
      </c>
      <c r="C457" t="s">
        <v>3613</v>
      </c>
      <c r="D457" t="s">
        <v>329</v>
      </c>
      <c r="E457" t="s">
        <v>2666</v>
      </c>
      <c r="F457" t="s">
        <v>3614</v>
      </c>
      <c r="G457" t="s">
        <v>2666</v>
      </c>
      <c r="H457" t="s">
        <v>2054</v>
      </c>
      <c r="I457" t="s">
        <v>2778</v>
      </c>
      <c r="J457" t="s">
        <v>2054</v>
      </c>
      <c r="K457" t="s">
        <v>2665</v>
      </c>
      <c r="L457" t="s">
        <v>1179</v>
      </c>
      <c r="M457" t="s">
        <v>2898</v>
      </c>
      <c r="N457" t="s">
        <v>2665</v>
      </c>
      <c r="O457" t="s">
        <v>2984</v>
      </c>
      <c r="P457" t="s">
        <v>2669</v>
      </c>
      <c r="Q457" t="s">
        <v>3420</v>
      </c>
      <c r="R457" t="s">
        <v>2665</v>
      </c>
      <c r="S457" t="s">
        <v>2781</v>
      </c>
      <c r="T457" t="s">
        <v>2922</v>
      </c>
      <c r="U457" t="s">
        <v>2665</v>
      </c>
      <c r="V457" t="s">
        <v>3482</v>
      </c>
      <c r="W457" t="s">
        <v>3483</v>
      </c>
      <c r="X457" t="s">
        <v>2665</v>
      </c>
      <c r="Y457" t="s">
        <v>2054</v>
      </c>
      <c r="Z457" t="s">
        <v>1179</v>
      </c>
      <c r="AA457" t="s">
        <v>3006</v>
      </c>
      <c r="AB457" t="s">
        <v>3006</v>
      </c>
      <c r="AC457" t="s">
        <v>2665</v>
      </c>
      <c r="AD457" t="s">
        <v>2054</v>
      </c>
      <c r="AE457" t="s">
        <v>2054</v>
      </c>
    </row>
    <row r="458" spans="1:31" x14ac:dyDescent="0.25">
      <c r="A458" t="s">
        <v>1575</v>
      </c>
      <c r="B458" t="s">
        <v>625</v>
      </c>
      <c r="C458" t="s">
        <v>3615</v>
      </c>
      <c r="D458" t="s">
        <v>632</v>
      </c>
      <c r="E458" t="s">
        <v>2666</v>
      </c>
      <c r="F458" t="s">
        <v>3616</v>
      </c>
      <c r="G458" t="s">
        <v>2666</v>
      </c>
      <c r="H458" t="s">
        <v>2054</v>
      </c>
      <c r="I458" t="s">
        <v>2778</v>
      </c>
      <c r="J458" t="s">
        <v>2054</v>
      </c>
      <c r="K458" t="s">
        <v>2665</v>
      </c>
      <c r="L458" t="s">
        <v>1179</v>
      </c>
      <c r="M458" t="s">
        <v>2878</v>
      </c>
      <c r="N458" t="s">
        <v>2665</v>
      </c>
      <c r="O458" t="s">
        <v>3576</v>
      </c>
      <c r="P458" t="s">
        <v>2898</v>
      </c>
      <c r="Q458" t="s">
        <v>3617</v>
      </c>
      <c r="R458" t="s">
        <v>2665</v>
      </c>
      <c r="S458" t="s">
        <v>2781</v>
      </c>
      <c r="T458" t="s">
        <v>2922</v>
      </c>
      <c r="U458" t="s">
        <v>2665</v>
      </c>
      <c r="V458" t="s">
        <v>3398</v>
      </c>
      <c r="W458" t="s">
        <v>3399</v>
      </c>
      <c r="X458" t="s">
        <v>2665</v>
      </c>
      <c r="Y458" t="s">
        <v>2054</v>
      </c>
      <c r="Z458" t="s">
        <v>1179</v>
      </c>
      <c r="AA458" t="s">
        <v>2959</v>
      </c>
      <c r="AB458" t="s">
        <v>2959</v>
      </c>
      <c r="AC458" t="s">
        <v>2665</v>
      </c>
      <c r="AD458" t="s">
        <v>2054</v>
      </c>
      <c r="AE458" t="s">
        <v>2054</v>
      </c>
    </row>
    <row r="459" spans="1:31" x14ac:dyDescent="0.25">
      <c r="A459" t="s">
        <v>1576</v>
      </c>
      <c r="B459" t="s">
        <v>638</v>
      </c>
      <c r="C459" t="s">
        <v>3618</v>
      </c>
      <c r="D459" t="s">
        <v>633</v>
      </c>
      <c r="E459" t="s">
        <v>2666</v>
      </c>
      <c r="F459" t="s">
        <v>2859</v>
      </c>
      <c r="G459" t="s">
        <v>2666</v>
      </c>
      <c r="H459" t="s">
        <v>2054</v>
      </c>
      <c r="I459" t="s">
        <v>2778</v>
      </c>
      <c r="J459" t="s">
        <v>2054</v>
      </c>
      <c r="K459" t="s">
        <v>2665</v>
      </c>
      <c r="L459" t="s">
        <v>1179</v>
      </c>
      <c r="M459" t="s">
        <v>2898</v>
      </c>
      <c r="N459" t="s">
        <v>2665</v>
      </c>
      <c r="O459" t="s">
        <v>2984</v>
      </c>
      <c r="P459" t="s">
        <v>2669</v>
      </c>
      <c r="Q459" t="s">
        <v>3420</v>
      </c>
      <c r="R459" t="s">
        <v>2665</v>
      </c>
      <c r="S459" t="s">
        <v>2781</v>
      </c>
      <c r="T459" t="s">
        <v>2922</v>
      </c>
      <c r="U459" t="s">
        <v>2665</v>
      </c>
      <c r="V459" t="s">
        <v>3398</v>
      </c>
      <c r="W459" t="s">
        <v>3399</v>
      </c>
      <c r="X459" t="s">
        <v>2665</v>
      </c>
      <c r="Y459" t="s">
        <v>2054</v>
      </c>
      <c r="Z459" t="s">
        <v>1179</v>
      </c>
      <c r="AA459" t="s">
        <v>2959</v>
      </c>
      <c r="AB459" t="s">
        <v>2959</v>
      </c>
      <c r="AC459" t="s">
        <v>2665</v>
      </c>
      <c r="AD459" t="s">
        <v>2054</v>
      </c>
      <c r="AE459" t="s">
        <v>2054</v>
      </c>
    </row>
    <row r="460" spans="1:31" x14ac:dyDescent="0.25">
      <c r="A460" t="s">
        <v>1577</v>
      </c>
      <c r="B460" t="s">
        <v>626</v>
      </c>
      <c r="C460" t="s">
        <v>3619</v>
      </c>
      <c r="D460" t="s">
        <v>634</v>
      </c>
      <c r="E460" t="s">
        <v>2666</v>
      </c>
      <c r="F460" t="s">
        <v>3620</v>
      </c>
      <c r="G460" t="s">
        <v>2666</v>
      </c>
      <c r="H460" t="s">
        <v>2054</v>
      </c>
      <c r="I460" t="s">
        <v>2778</v>
      </c>
      <c r="J460" t="s">
        <v>2054</v>
      </c>
      <c r="K460" t="s">
        <v>2665</v>
      </c>
      <c r="L460" t="s">
        <v>1179</v>
      </c>
      <c r="M460" t="s">
        <v>2898</v>
      </c>
      <c r="N460" t="s">
        <v>2665</v>
      </c>
      <c r="O460" t="s">
        <v>2984</v>
      </c>
      <c r="P460" t="s">
        <v>2669</v>
      </c>
      <c r="Q460" t="s">
        <v>3420</v>
      </c>
      <c r="R460" t="s">
        <v>2665</v>
      </c>
      <c r="S460" t="s">
        <v>2781</v>
      </c>
      <c r="T460" t="s">
        <v>2922</v>
      </c>
      <c r="U460" t="s">
        <v>2665</v>
      </c>
      <c r="V460" t="s">
        <v>3398</v>
      </c>
      <c r="W460" t="s">
        <v>3399</v>
      </c>
      <c r="X460" t="s">
        <v>2665</v>
      </c>
      <c r="Y460" t="s">
        <v>2054</v>
      </c>
      <c r="Z460" t="s">
        <v>1179</v>
      </c>
      <c r="AA460" t="s">
        <v>2959</v>
      </c>
      <c r="AB460" t="s">
        <v>2959</v>
      </c>
      <c r="AC460" t="s">
        <v>2665</v>
      </c>
      <c r="AD460" t="s">
        <v>2054</v>
      </c>
      <c r="AE460" t="s">
        <v>2054</v>
      </c>
    </row>
    <row r="461" spans="1:31" x14ac:dyDescent="0.25">
      <c r="A461" t="s">
        <v>1578</v>
      </c>
      <c r="B461" t="s">
        <v>627</v>
      </c>
      <c r="C461" t="s">
        <v>3621</v>
      </c>
      <c r="D461" t="s">
        <v>635</v>
      </c>
      <c r="E461" t="s">
        <v>2666</v>
      </c>
      <c r="F461" t="s">
        <v>2740</v>
      </c>
      <c r="G461" t="s">
        <v>2666</v>
      </c>
      <c r="H461" t="s">
        <v>2054</v>
      </c>
      <c r="I461" t="s">
        <v>2778</v>
      </c>
      <c r="J461" t="s">
        <v>2054</v>
      </c>
      <c r="K461" t="s">
        <v>2665</v>
      </c>
      <c r="L461" t="s">
        <v>1179</v>
      </c>
      <c r="M461" t="s">
        <v>2898</v>
      </c>
      <c r="N461" t="s">
        <v>2665</v>
      </c>
      <c r="O461" t="s">
        <v>2984</v>
      </c>
      <c r="P461" t="s">
        <v>2669</v>
      </c>
      <c r="Q461" t="s">
        <v>3420</v>
      </c>
      <c r="R461" t="s">
        <v>2665</v>
      </c>
      <c r="S461" t="s">
        <v>2781</v>
      </c>
      <c r="T461" t="s">
        <v>2922</v>
      </c>
      <c r="U461" t="s">
        <v>2665</v>
      </c>
      <c r="V461" t="s">
        <v>3398</v>
      </c>
      <c r="W461" t="s">
        <v>3399</v>
      </c>
      <c r="X461" t="s">
        <v>2665</v>
      </c>
      <c r="Y461" t="s">
        <v>2054</v>
      </c>
      <c r="Z461" t="s">
        <v>1179</v>
      </c>
      <c r="AA461" t="s">
        <v>2959</v>
      </c>
      <c r="AB461" t="s">
        <v>2959</v>
      </c>
      <c r="AC461" t="s">
        <v>2665</v>
      </c>
      <c r="AD461" t="s">
        <v>2054</v>
      </c>
      <c r="AE461" t="s">
        <v>2054</v>
      </c>
    </row>
    <row r="462" spans="1:31" x14ac:dyDescent="0.25">
      <c r="A462" t="s">
        <v>2186</v>
      </c>
      <c r="B462" t="s">
        <v>2185</v>
      </c>
      <c r="C462" t="s">
        <v>3622</v>
      </c>
      <c r="D462" t="s">
        <v>2335</v>
      </c>
      <c r="E462" t="s">
        <v>2666</v>
      </c>
      <c r="F462" t="s">
        <v>3366</v>
      </c>
      <c r="G462" t="s">
        <v>2666</v>
      </c>
      <c r="H462" t="s">
        <v>2054</v>
      </c>
      <c r="I462" t="s">
        <v>2778</v>
      </c>
      <c r="J462" t="s">
        <v>2054</v>
      </c>
      <c r="K462" t="s">
        <v>2665</v>
      </c>
      <c r="L462" t="s">
        <v>1179</v>
      </c>
      <c r="M462" t="s">
        <v>2898</v>
      </c>
      <c r="N462" t="s">
        <v>2665</v>
      </c>
      <c r="O462" t="s">
        <v>2984</v>
      </c>
      <c r="P462" t="s">
        <v>2827</v>
      </c>
      <c r="Q462" t="s">
        <v>3397</v>
      </c>
      <c r="R462" t="s">
        <v>2665</v>
      </c>
      <c r="S462" t="s">
        <v>2781</v>
      </c>
      <c r="T462" t="s">
        <v>2922</v>
      </c>
      <c r="U462" t="s">
        <v>2665</v>
      </c>
      <c r="V462" t="s">
        <v>3604</v>
      </c>
      <c r="W462" t="s">
        <v>3605</v>
      </c>
      <c r="X462" t="s">
        <v>2665</v>
      </c>
      <c r="Y462" t="s">
        <v>2054</v>
      </c>
      <c r="Z462" t="s">
        <v>1179</v>
      </c>
      <c r="AA462" t="s">
        <v>3382</v>
      </c>
      <c r="AB462" t="s">
        <v>3382</v>
      </c>
      <c r="AC462" t="s">
        <v>2665</v>
      </c>
      <c r="AD462" t="s">
        <v>2054</v>
      </c>
      <c r="AE462" t="s">
        <v>2054</v>
      </c>
    </row>
    <row r="463" spans="1:31" x14ac:dyDescent="0.25">
      <c r="A463" t="s">
        <v>2188</v>
      </c>
      <c r="B463" t="s">
        <v>2187</v>
      </c>
      <c r="C463" t="s">
        <v>3623</v>
      </c>
      <c r="D463" t="s">
        <v>2336</v>
      </c>
      <c r="E463" t="s">
        <v>2666</v>
      </c>
      <c r="F463" t="s">
        <v>3366</v>
      </c>
      <c r="G463" t="s">
        <v>2666</v>
      </c>
      <c r="H463" t="s">
        <v>2054</v>
      </c>
      <c r="I463" t="s">
        <v>2778</v>
      </c>
      <c r="J463" t="s">
        <v>2054</v>
      </c>
      <c r="K463" t="s">
        <v>2665</v>
      </c>
      <c r="L463" t="s">
        <v>1179</v>
      </c>
      <c r="M463" t="s">
        <v>2898</v>
      </c>
      <c r="N463" t="s">
        <v>2665</v>
      </c>
      <c r="O463" t="s">
        <v>2984</v>
      </c>
      <c r="P463" t="s">
        <v>2827</v>
      </c>
      <c r="Q463" t="s">
        <v>3397</v>
      </c>
      <c r="R463" t="s">
        <v>2665</v>
      </c>
      <c r="S463" t="s">
        <v>2781</v>
      </c>
      <c r="T463" t="s">
        <v>2922</v>
      </c>
      <c r="U463" t="s">
        <v>2665</v>
      </c>
      <c r="V463" t="s">
        <v>3604</v>
      </c>
      <c r="W463" t="s">
        <v>3605</v>
      </c>
      <c r="X463" t="s">
        <v>2665</v>
      </c>
      <c r="Y463" t="s">
        <v>2054</v>
      </c>
      <c r="Z463" t="s">
        <v>1179</v>
      </c>
      <c r="AA463" t="s">
        <v>3382</v>
      </c>
      <c r="AB463" t="s">
        <v>3382</v>
      </c>
      <c r="AC463" t="s">
        <v>2665</v>
      </c>
      <c r="AD463" t="s">
        <v>2054</v>
      </c>
      <c r="AE463" t="s">
        <v>2054</v>
      </c>
    </row>
    <row r="464" spans="1:31" x14ac:dyDescent="0.25">
      <c r="A464" t="s">
        <v>2190</v>
      </c>
      <c r="B464" t="s">
        <v>2189</v>
      </c>
      <c r="C464" t="s">
        <v>3624</v>
      </c>
      <c r="D464" t="s">
        <v>2337</v>
      </c>
      <c r="E464" t="s">
        <v>2666</v>
      </c>
      <c r="F464" t="s">
        <v>3366</v>
      </c>
      <c r="G464" t="s">
        <v>2666</v>
      </c>
      <c r="H464" t="s">
        <v>2054</v>
      </c>
      <c r="I464" t="s">
        <v>2778</v>
      </c>
      <c r="J464" t="s">
        <v>2054</v>
      </c>
      <c r="K464" t="s">
        <v>2665</v>
      </c>
      <c r="L464" t="s">
        <v>1179</v>
      </c>
      <c r="M464" t="s">
        <v>2898</v>
      </c>
      <c r="N464" t="s">
        <v>2665</v>
      </c>
      <c r="O464" t="s">
        <v>2984</v>
      </c>
      <c r="P464" t="s">
        <v>2827</v>
      </c>
      <c r="Q464" t="s">
        <v>3397</v>
      </c>
      <c r="R464" t="s">
        <v>2665</v>
      </c>
      <c r="S464" t="s">
        <v>2781</v>
      </c>
      <c r="T464" t="s">
        <v>2922</v>
      </c>
      <c r="U464" t="s">
        <v>2665</v>
      </c>
      <c r="V464" t="s">
        <v>3604</v>
      </c>
      <c r="W464" t="s">
        <v>3605</v>
      </c>
      <c r="X464" t="s">
        <v>2665</v>
      </c>
      <c r="Y464" t="s">
        <v>2054</v>
      </c>
      <c r="Z464" t="s">
        <v>1179</v>
      </c>
      <c r="AA464" t="s">
        <v>3382</v>
      </c>
      <c r="AB464" t="s">
        <v>3382</v>
      </c>
      <c r="AC464" t="s">
        <v>2665</v>
      </c>
      <c r="AD464" t="s">
        <v>2054</v>
      </c>
      <c r="AE464" t="s">
        <v>2054</v>
      </c>
    </row>
    <row r="465" spans="1:31" x14ac:dyDescent="0.25">
      <c r="A465" t="s">
        <v>2192</v>
      </c>
      <c r="B465" t="s">
        <v>2191</v>
      </c>
      <c r="C465" t="s">
        <v>3625</v>
      </c>
      <c r="D465" t="s">
        <v>2338</v>
      </c>
      <c r="E465" t="s">
        <v>2666</v>
      </c>
      <c r="F465" t="s">
        <v>3366</v>
      </c>
      <c r="G465" t="s">
        <v>2666</v>
      </c>
      <c r="H465" t="s">
        <v>2054</v>
      </c>
      <c r="I465" t="s">
        <v>2778</v>
      </c>
      <c r="J465" t="s">
        <v>2054</v>
      </c>
      <c r="K465" t="s">
        <v>2665</v>
      </c>
      <c r="L465" t="s">
        <v>1179</v>
      </c>
      <c r="M465" t="s">
        <v>2898</v>
      </c>
      <c r="N465" t="s">
        <v>2665</v>
      </c>
      <c r="O465" t="s">
        <v>2984</v>
      </c>
      <c r="P465" t="s">
        <v>2827</v>
      </c>
      <c r="Q465" t="s">
        <v>3397</v>
      </c>
      <c r="R465" t="s">
        <v>2665</v>
      </c>
      <c r="S465" t="s">
        <v>2781</v>
      </c>
      <c r="T465" t="s">
        <v>2922</v>
      </c>
      <c r="U465" t="s">
        <v>2665</v>
      </c>
      <c r="V465" t="s">
        <v>3604</v>
      </c>
      <c r="W465" t="s">
        <v>3605</v>
      </c>
      <c r="X465" t="s">
        <v>2665</v>
      </c>
      <c r="Y465" t="s">
        <v>2054</v>
      </c>
      <c r="Z465" t="s">
        <v>1179</v>
      </c>
      <c r="AA465" t="s">
        <v>3382</v>
      </c>
      <c r="AB465" t="s">
        <v>3382</v>
      </c>
      <c r="AC465" t="s">
        <v>2665</v>
      </c>
      <c r="AD465" t="s">
        <v>2054</v>
      </c>
      <c r="AE465" t="s">
        <v>2054</v>
      </c>
    </row>
    <row r="466" spans="1:31" x14ac:dyDescent="0.25">
      <c r="A466" t="s">
        <v>2194</v>
      </c>
      <c r="B466" t="s">
        <v>2193</v>
      </c>
      <c r="C466" t="s">
        <v>3626</v>
      </c>
      <c r="D466" t="s">
        <v>2311</v>
      </c>
      <c r="E466" t="s">
        <v>2666</v>
      </c>
      <c r="F466" t="s">
        <v>2859</v>
      </c>
      <c r="G466" t="s">
        <v>2666</v>
      </c>
      <c r="H466" t="s">
        <v>2054</v>
      </c>
      <c r="I466" t="s">
        <v>2778</v>
      </c>
      <c r="J466" t="s">
        <v>2054</v>
      </c>
      <c r="K466" t="s">
        <v>2665</v>
      </c>
      <c r="L466" t="s">
        <v>1179</v>
      </c>
      <c r="M466" t="s">
        <v>2898</v>
      </c>
      <c r="N466" t="s">
        <v>2665</v>
      </c>
      <c r="O466" t="s">
        <v>2984</v>
      </c>
      <c r="P466" t="s">
        <v>2669</v>
      </c>
      <c r="Q466" t="s">
        <v>3420</v>
      </c>
      <c r="R466" t="s">
        <v>2665</v>
      </c>
      <c r="S466" t="s">
        <v>2781</v>
      </c>
      <c r="T466" t="s">
        <v>2922</v>
      </c>
      <c r="U466" t="s">
        <v>2665</v>
      </c>
      <c r="V466" t="s">
        <v>3398</v>
      </c>
      <c r="W466" t="s">
        <v>3399</v>
      </c>
      <c r="X466" t="s">
        <v>2665</v>
      </c>
      <c r="Y466" t="s">
        <v>2054</v>
      </c>
      <c r="Z466" t="s">
        <v>1179</v>
      </c>
      <c r="AA466" t="s">
        <v>2959</v>
      </c>
      <c r="AB466" t="s">
        <v>2959</v>
      </c>
      <c r="AC466" t="s">
        <v>2665</v>
      </c>
      <c r="AD466" t="s">
        <v>2054</v>
      </c>
      <c r="AE466" t="s">
        <v>2054</v>
      </c>
    </row>
    <row r="467" spans="1:31" x14ac:dyDescent="0.25">
      <c r="A467" t="s">
        <v>1579</v>
      </c>
      <c r="B467" t="s">
        <v>628</v>
      </c>
      <c r="C467" t="s">
        <v>3627</v>
      </c>
      <c r="D467" t="s">
        <v>636</v>
      </c>
      <c r="E467" t="s">
        <v>2666</v>
      </c>
      <c r="F467" t="s">
        <v>3628</v>
      </c>
      <c r="G467" t="s">
        <v>2666</v>
      </c>
      <c r="H467" t="s">
        <v>2054</v>
      </c>
      <c r="I467" t="s">
        <v>2778</v>
      </c>
      <c r="J467" t="s">
        <v>2054</v>
      </c>
      <c r="K467" t="s">
        <v>2665</v>
      </c>
      <c r="L467" t="s">
        <v>1179</v>
      </c>
      <c r="M467" t="s">
        <v>2878</v>
      </c>
      <c r="N467" t="s">
        <v>2665</v>
      </c>
      <c r="O467" t="s">
        <v>3576</v>
      </c>
      <c r="P467" t="s">
        <v>2898</v>
      </c>
      <c r="Q467" t="s">
        <v>3617</v>
      </c>
      <c r="R467" t="s">
        <v>2665</v>
      </c>
      <c r="S467" t="s">
        <v>2781</v>
      </c>
      <c r="T467" t="s">
        <v>2922</v>
      </c>
      <c r="U467" t="s">
        <v>2665</v>
      </c>
      <c r="V467" t="s">
        <v>3629</v>
      </c>
      <c r="W467" t="s">
        <v>3630</v>
      </c>
      <c r="X467" t="s">
        <v>2665</v>
      </c>
      <c r="Y467" t="s">
        <v>2054</v>
      </c>
      <c r="Z467" t="s">
        <v>1179</v>
      </c>
      <c r="AA467" t="s">
        <v>2847</v>
      </c>
      <c r="AB467" t="s">
        <v>2847</v>
      </c>
      <c r="AC467" t="s">
        <v>2665</v>
      </c>
      <c r="AD467" t="s">
        <v>2054</v>
      </c>
      <c r="AE467" t="s">
        <v>2054</v>
      </c>
    </row>
    <row r="468" spans="1:31" x14ac:dyDescent="0.25">
      <c r="A468" t="s">
        <v>1580</v>
      </c>
      <c r="B468" t="s">
        <v>629</v>
      </c>
      <c r="C468" t="s">
        <v>3631</v>
      </c>
      <c r="D468" t="s">
        <v>637</v>
      </c>
      <c r="E468" t="s">
        <v>2666</v>
      </c>
      <c r="F468" t="s">
        <v>3632</v>
      </c>
      <c r="G468" t="s">
        <v>2666</v>
      </c>
      <c r="H468" t="s">
        <v>2054</v>
      </c>
      <c r="I468" t="s">
        <v>2778</v>
      </c>
      <c r="J468" t="s">
        <v>2054</v>
      </c>
      <c r="K468" t="s">
        <v>2665</v>
      </c>
      <c r="L468" t="s">
        <v>1179</v>
      </c>
      <c r="M468" t="s">
        <v>2878</v>
      </c>
      <c r="N468" t="s">
        <v>2665</v>
      </c>
      <c r="O468" t="s">
        <v>3576</v>
      </c>
      <c r="P468" t="s">
        <v>2898</v>
      </c>
      <c r="Q468" t="s">
        <v>3617</v>
      </c>
      <c r="R468" t="s">
        <v>2665</v>
      </c>
      <c r="S468" t="s">
        <v>2781</v>
      </c>
      <c r="T468" t="s">
        <v>2922</v>
      </c>
      <c r="U468" t="s">
        <v>2665</v>
      </c>
      <c r="V468" t="s">
        <v>3629</v>
      </c>
      <c r="W468" t="s">
        <v>3630</v>
      </c>
      <c r="X468" t="s">
        <v>2665</v>
      </c>
      <c r="Y468" t="s">
        <v>2054</v>
      </c>
      <c r="Z468" t="s">
        <v>1179</v>
      </c>
      <c r="AA468" t="s">
        <v>2847</v>
      </c>
      <c r="AB468" t="s">
        <v>2847</v>
      </c>
      <c r="AC468" t="s">
        <v>2665</v>
      </c>
      <c r="AD468" t="s">
        <v>2054</v>
      </c>
      <c r="AE468" t="s">
        <v>2054</v>
      </c>
    </row>
    <row r="469" spans="1:31" x14ac:dyDescent="0.25">
      <c r="A469" t="s">
        <v>1581</v>
      </c>
      <c r="B469" t="s">
        <v>630</v>
      </c>
      <c r="C469" t="s">
        <v>3633</v>
      </c>
      <c r="D469" t="s">
        <v>640</v>
      </c>
      <c r="E469" t="s">
        <v>2666</v>
      </c>
      <c r="F469" t="s">
        <v>3634</v>
      </c>
      <c r="G469" t="s">
        <v>2666</v>
      </c>
      <c r="H469" t="s">
        <v>2054</v>
      </c>
      <c r="I469" t="s">
        <v>2778</v>
      </c>
      <c r="J469" t="s">
        <v>2054</v>
      </c>
      <c r="K469" t="s">
        <v>2665</v>
      </c>
      <c r="L469" t="s">
        <v>1179</v>
      </c>
      <c r="M469" t="s">
        <v>2878</v>
      </c>
      <c r="N469" t="s">
        <v>2665</v>
      </c>
      <c r="O469" t="s">
        <v>3576</v>
      </c>
      <c r="P469" t="s">
        <v>2898</v>
      </c>
      <c r="Q469" t="s">
        <v>3617</v>
      </c>
      <c r="R469" t="s">
        <v>2665</v>
      </c>
      <c r="S469" t="s">
        <v>2781</v>
      </c>
      <c r="T469" t="s">
        <v>2922</v>
      </c>
      <c r="U469" t="s">
        <v>2665</v>
      </c>
      <c r="V469" t="s">
        <v>3629</v>
      </c>
      <c r="W469" t="s">
        <v>3630</v>
      </c>
      <c r="X469" t="s">
        <v>2665</v>
      </c>
      <c r="Y469" t="s">
        <v>2054</v>
      </c>
      <c r="Z469" t="s">
        <v>1179</v>
      </c>
      <c r="AA469" t="s">
        <v>2847</v>
      </c>
      <c r="AB469" t="s">
        <v>2847</v>
      </c>
      <c r="AC469" t="s">
        <v>2665</v>
      </c>
      <c r="AD469" t="s">
        <v>2054</v>
      </c>
      <c r="AE469" t="s">
        <v>2054</v>
      </c>
    </row>
    <row r="470" spans="1:31" x14ac:dyDescent="0.25">
      <c r="A470" t="s">
        <v>1582</v>
      </c>
      <c r="B470" t="s">
        <v>631</v>
      </c>
      <c r="C470" t="s">
        <v>3635</v>
      </c>
      <c r="D470" t="s">
        <v>784</v>
      </c>
      <c r="E470" t="s">
        <v>2666</v>
      </c>
      <c r="F470" t="s">
        <v>3634</v>
      </c>
      <c r="G470" t="s">
        <v>2666</v>
      </c>
      <c r="H470" t="s">
        <v>2054</v>
      </c>
      <c r="I470" t="s">
        <v>2778</v>
      </c>
      <c r="J470" t="s">
        <v>2054</v>
      </c>
      <c r="K470" t="s">
        <v>2665</v>
      </c>
      <c r="L470" t="s">
        <v>1179</v>
      </c>
      <c r="M470" t="s">
        <v>2878</v>
      </c>
      <c r="N470" t="s">
        <v>2665</v>
      </c>
      <c r="O470" t="s">
        <v>3576</v>
      </c>
      <c r="P470" t="s">
        <v>2898</v>
      </c>
      <c r="Q470" t="s">
        <v>3617</v>
      </c>
      <c r="R470" t="s">
        <v>2665</v>
      </c>
      <c r="S470" t="s">
        <v>2781</v>
      </c>
      <c r="T470" t="s">
        <v>2922</v>
      </c>
      <c r="U470" t="s">
        <v>2665</v>
      </c>
      <c r="V470" t="s">
        <v>3629</v>
      </c>
      <c r="W470" t="s">
        <v>3630</v>
      </c>
      <c r="X470" t="s">
        <v>2665</v>
      </c>
      <c r="Y470" t="s">
        <v>2054</v>
      </c>
      <c r="Z470" t="s">
        <v>1179</v>
      </c>
      <c r="AA470" t="s">
        <v>2847</v>
      </c>
      <c r="AB470" t="s">
        <v>2847</v>
      </c>
      <c r="AC470" t="s">
        <v>2665</v>
      </c>
      <c r="AD470" t="s">
        <v>2054</v>
      </c>
      <c r="AE470" t="s">
        <v>2054</v>
      </c>
    </row>
    <row r="471" spans="1:31" x14ac:dyDescent="0.25">
      <c r="A471" t="s">
        <v>1584</v>
      </c>
      <c r="B471" t="s">
        <v>1583</v>
      </c>
      <c r="C471" t="s">
        <v>3636</v>
      </c>
      <c r="D471" t="s">
        <v>1583</v>
      </c>
      <c r="E471" t="s">
        <v>2666</v>
      </c>
      <c r="F471" t="s">
        <v>3637</v>
      </c>
      <c r="G471" t="s">
        <v>2666</v>
      </c>
      <c r="H471" t="s">
        <v>2054</v>
      </c>
      <c r="I471" t="s">
        <v>2778</v>
      </c>
      <c r="J471" t="s">
        <v>2054</v>
      </c>
      <c r="K471" t="s">
        <v>2665</v>
      </c>
      <c r="L471" t="s">
        <v>1179</v>
      </c>
      <c r="M471" t="s">
        <v>2898</v>
      </c>
      <c r="N471" t="s">
        <v>2665</v>
      </c>
      <c r="O471" t="s">
        <v>2984</v>
      </c>
      <c r="P471" t="s">
        <v>2827</v>
      </c>
      <c r="Q471" t="s">
        <v>3397</v>
      </c>
      <c r="R471" t="s">
        <v>2665</v>
      </c>
      <c r="S471" t="s">
        <v>2779</v>
      </c>
      <c r="T471" t="s">
        <v>2780</v>
      </c>
      <c r="U471" t="s">
        <v>2665</v>
      </c>
      <c r="V471" t="s">
        <v>3398</v>
      </c>
      <c r="W471" t="s">
        <v>3399</v>
      </c>
      <c r="X471" t="s">
        <v>2665</v>
      </c>
      <c r="Y471" t="s">
        <v>2054</v>
      </c>
      <c r="Z471" t="s">
        <v>1179</v>
      </c>
      <c r="AA471" t="s">
        <v>2783</v>
      </c>
      <c r="AB471" t="s">
        <v>2783</v>
      </c>
      <c r="AC471" t="s">
        <v>2665</v>
      </c>
      <c r="AD471" t="s">
        <v>2054</v>
      </c>
      <c r="AE471" t="s">
        <v>2054</v>
      </c>
    </row>
    <row r="472" spans="1:31" x14ac:dyDescent="0.25">
      <c r="A472" t="s">
        <v>1586</v>
      </c>
      <c r="B472" t="s">
        <v>1585</v>
      </c>
      <c r="C472" t="s">
        <v>3638</v>
      </c>
      <c r="D472" t="s">
        <v>1585</v>
      </c>
      <c r="E472" t="s">
        <v>2666</v>
      </c>
      <c r="F472" t="s">
        <v>3639</v>
      </c>
      <c r="G472" t="s">
        <v>2666</v>
      </c>
      <c r="H472" t="s">
        <v>2054</v>
      </c>
      <c r="I472" t="s">
        <v>2778</v>
      </c>
      <c r="J472" t="s">
        <v>2054</v>
      </c>
      <c r="K472" t="s">
        <v>2665</v>
      </c>
      <c r="L472" t="s">
        <v>1179</v>
      </c>
      <c r="M472" t="s">
        <v>2898</v>
      </c>
      <c r="N472" t="s">
        <v>2665</v>
      </c>
      <c r="O472" t="s">
        <v>2984</v>
      </c>
      <c r="P472" t="s">
        <v>2827</v>
      </c>
      <c r="Q472" t="s">
        <v>3397</v>
      </c>
      <c r="R472" t="s">
        <v>2665</v>
      </c>
      <c r="S472" t="s">
        <v>2779</v>
      </c>
      <c r="T472" t="s">
        <v>2780</v>
      </c>
      <c r="U472" t="s">
        <v>2665</v>
      </c>
      <c r="V472" t="s">
        <v>3398</v>
      </c>
      <c r="W472" t="s">
        <v>3399</v>
      </c>
      <c r="X472" t="s">
        <v>2665</v>
      </c>
      <c r="Y472" t="s">
        <v>2054</v>
      </c>
      <c r="Z472" t="s">
        <v>1179</v>
      </c>
      <c r="AA472" t="s">
        <v>2783</v>
      </c>
      <c r="AB472" t="s">
        <v>2783</v>
      </c>
      <c r="AC472" t="s">
        <v>2665</v>
      </c>
      <c r="AD472" t="s">
        <v>2054</v>
      </c>
      <c r="AE472" t="s">
        <v>2054</v>
      </c>
    </row>
    <row r="473" spans="1:31" x14ac:dyDescent="0.25">
      <c r="A473" t="s">
        <v>1588</v>
      </c>
      <c r="B473" t="s">
        <v>1587</v>
      </c>
      <c r="C473" t="s">
        <v>3640</v>
      </c>
      <c r="D473" t="s">
        <v>1587</v>
      </c>
      <c r="E473" t="s">
        <v>2666</v>
      </c>
      <c r="F473" t="s">
        <v>2758</v>
      </c>
      <c r="G473" t="s">
        <v>2666</v>
      </c>
      <c r="H473" t="s">
        <v>2054</v>
      </c>
      <c r="I473" t="s">
        <v>2778</v>
      </c>
      <c r="J473" t="s">
        <v>2054</v>
      </c>
      <c r="K473" t="s">
        <v>2665</v>
      </c>
      <c r="L473" t="s">
        <v>1179</v>
      </c>
      <c r="M473" t="s">
        <v>2898</v>
      </c>
      <c r="N473" t="s">
        <v>2665</v>
      </c>
      <c r="O473" t="s">
        <v>2984</v>
      </c>
      <c r="P473" t="s">
        <v>2827</v>
      </c>
      <c r="Q473" t="s">
        <v>3397</v>
      </c>
      <c r="R473" t="s">
        <v>2665</v>
      </c>
      <c r="S473" t="s">
        <v>2779</v>
      </c>
      <c r="T473" t="s">
        <v>2780</v>
      </c>
      <c r="U473" t="s">
        <v>2665</v>
      </c>
      <c r="V473" t="s">
        <v>3398</v>
      </c>
      <c r="W473" t="s">
        <v>3399</v>
      </c>
      <c r="X473" t="s">
        <v>2665</v>
      </c>
      <c r="Y473" t="s">
        <v>2054</v>
      </c>
      <c r="Z473" t="s">
        <v>1179</v>
      </c>
      <c r="AA473" t="s">
        <v>2783</v>
      </c>
      <c r="AB473" t="s">
        <v>2783</v>
      </c>
      <c r="AC473" t="s">
        <v>2665</v>
      </c>
      <c r="AD473" t="s">
        <v>2054</v>
      </c>
      <c r="AE473" t="s">
        <v>2054</v>
      </c>
    </row>
    <row r="474" spans="1:31" x14ac:dyDescent="0.25">
      <c r="A474" t="s">
        <v>1590</v>
      </c>
      <c r="B474" t="s">
        <v>1589</v>
      </c>
      <c r="C474" t="s">
        <v>3641</v>
      </c>
      <c r="D474" t="s">
        <v>3642</v>
      </c>
      <c r="E474" t="s">
        <v>2666</v>
      </c>
      <c r="F474" t="s">
        <v>3643</v>
      </c>
      <c r="G474" t="s">
        <v>2666</v>
      </c>
      <c r="H474" t="s">
        <v>2054</v>
      </c>
      <c r="I474" t="s">
        <v>2778</v>
      </c>
      <c r="J474" t="s">
        <v>2054</v>
      </c>
      <c r="K474" t="s">
        <v>2665</v>
      </c>
      <c r="L474" t="s">
        <v>1179</v>
      </c>
      <c r="M474" t="s">
        <v>2898</v>
      </c>
      <c r="N474" t="s">
        <v>2665</v>
      </c>
      <c r="O474" t="s">
        <v>2984</v>
      </c>
      <c r="P474" t="s">
        <v>2827</v>
      </c>
      <c r="Q474" t="s">
        <v>3397</v>
      </c>
      <c r="R474" t="s">
        <v>2665</v>
      </c>
      <c r="S474" t="s">
        <v>2781</v>
      </c>
      <c r="T474" t="s">
        <v>2922</v>
      </c>
      <c r="U474" t="s">
        <v>2665</v>
      </c>
      <c r="V474" t="s">
        <v>3644</v>
      </c>
      <c r="W474" t="s">
        <v>3645</v>
      </c>
      <c r="X474" t="s">
        <v>2665</v>
      </c>
      <c r="Y474" t="s">
        <v>2054</v>
      </c>
      <c r="Z474" t="s">
        <v>1179</v>
      </c>
      <c r="AA474" t="s">
        <v>2847</v>
      </c>
      <c r="AB474" t="s">
        <v>2847</v>
      </c>
      <c r="AC474" t="s">
        <v>2665</v>
      </c>
      <c r="AD474" t="s">
        <v>2054</v>
      </c>
      <c r="AE474" t="s">
        <v>2054</v>
      </c>
    </row>
    <row r="475" spans="1:31" x14ac:dyDescent="0.25">
      <c r="A475" t="s">
        <v>3646</v>
      </c>
      <c r="B475" t="s">
        <v>3647</v>
      </c>
      <c r="C475" t="s">
        <v>3648</v>
      </c>
      <c r="D475" t="s">
        <v>3647</v>
      </c>
      <c r="E475" t="s">
        <v>2666</v>
      </c>
      <c r="F475" t="s">
        <v>3583</v>
      </c>
      <c r="G475" t="s">
        <v>2666</v>
      </c>
      <c r="H475" t="s">
        <v>2054</v>
      </c>
      <c r="I475" t="s">
        <v>2778</v>
      </c>
      <c r="J475" t="s">
        <v>2054</v>
      </c>
      <c r="K475" t="s">
        <v>2665</v>
      </c>
      <c r="L475" t="s">
        <v>1179</v>
      </c>
      <c r="M475" t="s">
        <v>2898</v>
      </c>
      <c r="N475" t="s">
        <v>2665</v>
      </c>
      <c r="O475" t="s">
        <v>2984</v>
      </c>
      <c r="P475" t="s">
        <v>2827</v>
      </c>
      <c r="Q475" t="s">
        <v>3397</v>
      </c>
      <c r="R475" t="s">
        <v>2665</v>
      </c>
      <c r="S475" t="s">
        <v>2779</v>
      </c>
      <c r="T475" t="s">
        <v>2780</v>
      </c>
      <c r="U475" t="s">
        <v>2665</v>
      </c>
      <c r="V475" t="s">
        <v>3398</v>
      </c>
      <c r="W475" t="s">
        <v>3399</v>
      </c>
      <c r="X475" t="s">
        <v>2665</v>
      </c>
      <c r="Y475" t="s">
        <v>2054</v>
      </c>
      <c r="Z475" t="s">
        <v>1179</v>
      </c>
      <c r="AA475" t="s">
        <v>3649</v>
      </c>
      <c r="AB475" t="s">
        <v>3649</v>
      </c>
      <c r="AC475" t="s">
        <v>2665</v>
      </c>
      <c r="AD475" t="s">
        <v>2054</v>
      </c>
      <c r="AE475" t="s">
        <v>2726</v>
      </c>
    </row>
    <row r="476" spans="1:31" x14ac:dyDescent="0.25">
      <c r="A476" t="s">
        <v>3650</v>
      </c>
      <c r="B476" t="s">
        <v>3651</v>
      </c>
      <c r="C476" t="s">
        <v>3652</v>
      </c>
      <c r="D476" t="s">
        <v>3651</v>
      </c>
      <c r="E476" t="s">
        <v>2666</v>
      </c>
      <c r="F476" t="s">
        <v>3583</v>
      </c>
      <c r="G476" t="s">
        <v>2666</v>
      </c>
      <c r="H476" t="s">
        <v>2054</v>
      </c>
      <c r="I476" t="s">
        <v>2778</v>
      </c>
      <c r="J476" t="s">
        <v>2054</v>
      </c>
      <c r="K476" t="s">
        <v>2665</v>
      </c>
      <c r="L476" t="s">
        <v>1179</v>
      </c>
      <c r="M476" t="s">
        <v>2875</v>
      </c>
      <c r="N476" t="s">
        <v>2665</v>
      </c>
      <c r="O476" t="s">
        <v>2876</v>
      </c>
      <c r="P476" t="s">
        <v>2827</v>
      </c>
      <c r="Q476" t="s">
        <v>3397</v>
      </c>
      <c r="R476" t="s">
        <v>2665</v>
      </c>
      <c r="S476" t="s">
        <v>2779</v>
      </c>
      <c r="T476" t="s">
        <v>2780</v>
      </c>
      <c r="U476" t="s">
        <v>2665</v>
      </c>
      <c r="V476" t="s">
        <v>3398</v>
      </c>
      <c r="W476" t="s">
        <v>3399</v>
      </c>
      <c r="X476" t="s">
        <v>2665</v>
      </c>
      <c r="Y476" t="s">
        <v>2054</v>
      </c>
      <c r="Z476" t="s">
        <v>1179</v>
      </c>
      <c r="AA476" t="s">
        <v>3649</v>
      </c>
      <c r="AB476" t="s">
        <v>3649</v>
      </c>
      <c r="AC476" t="s">
        <v>2665</v>
      </c>
      <c r="AD476" t="s">
        <v>2054</v>
      </c>
      <c r="AE476" t="s">
        <v>2718</v>
      </c>
    </row>
    <row r="477" spans="1:31" x14ac:dyDescent="0.25">
      <c r="A477" t="s">
        <v>3653</v>
      </c>
      <c r="B477" t="s">
        <v>3654</v>
      </c>
      <c r="C477" t="s">
        <v>3655</v>
      </c>
      <c r="D477" t="s">
        <v>3654</v>
      </c>
      <c r="E477" t="s">
        <v>2666</v>
      </c>
      <c r="F477" t="s">
        <v>2857</v>
      </c>
      <c r="G477" t="s">
        <v>2666</v>
      </c>
      <c r="H477" t="s">
        <v>2054</v>
      </c>
      <c r="I477" t="s">
        <v>2778</v>
      </c>
      <c r="J477" t="s">
        <v>2054</v>
      </c>
      <c r="K477" t="s">
        <v>2665</v>
      </c>
      <c r="L477" t="s">
        <v>1179</v>
      </c>
      <c r="M477" t="s">
        <v>2875</v>
      </c>
      <c r="N477" t="s">
        <v>2665</v>
      </c>
      <c r="O477" t="s">
        <v>2876</v>
      </c>
      <c r="P477" t="s">
        <v>2827</v>
      </c>
      <c r="Q477" t="s">
        <v>3397</v>
      </c>
      <c r="R477" t="s">
        <v>2665</v>
      </c>
      <c r="S477" t="s">
        <v>2779</v>
      </c>
      <c r="T477" t="s">
        <v>2780</v>
      </c>
      <c r="U477" t="s">
        <v>2665</v>
      </c>
      <c r="V477" t="s">
        <v>3398</v>
      </c>
      <c r="W477" t="s">
        <v>3399</v>
      </c>
      <c r="X477" t="s">
        <v>2665</v>
      </c>
      <c r="Y477" t="s">
        <v>2054</v>
      </c>
      <c r="Z477" t="s">
        <v>1179</v>
      </c>
      <c r="AA477" t="s">
        <v>3656</v>
      </c>
      <c r="AB477" t="s">
        <v>3656</v>
      </c>
      <c r="AC477" t="s">
        <v>2665</v>
      </c>
      <c r="AD477" t="s">
        <v>2054</v>
      </c>
      <c r="AE477" t="s">
        <v>2054</v>
      </c>
    </row>
    <row r="478" spans="1:31" x14ac:dyDescent="0.25">
      <c r="A478" t="s">
        <v>108</v>
      </c>
      <c r="B478" t="s">
        <v>107</v>
      </c>
      <c r="C478" t="s">
        <v>3657</v>
      </c>
      <c r="D478" t="s">
        <v>332</v>
      </c>
      <c r="E478" t="s">
        <v>2666</v>
      </c>
      <c r="F478" t="s">
        <v>3658</v>
      </c>
      <c r="G478" t="s">
        <v>2666</v>
      </c>
      <c r="H478" t="s">
        <v>2054</v>
      </c>
      <c r="I478" t="s">
        <v>2778</v>
      </c>
      <c r="J478" t="s">
        <v>2054</v>
      </c>
      <c r="K478" t="s">
        <v>2665</v>
      </c>
      <c r="L478" t="s">
        <v>1179</v>
      </c>
      <c r="M478" t="s">
        <v>2898</v>
      </c>
      <c r="N478" t="s">
        <v>2665</v>
      </c>
      <c r="O478" t="s">
        <v>2984</v>
      </c>
      <c r="P478" t="s">
        <v>2898</v>
      </c>
      <c r="Q478" t="s">
        <v>3617</v>
      </c>
      <c r="R478" t="s">
        <v>2665</v>
      </c>
      <c r="S478" t="s">
        <v>2781</v>
      </c>
      <c r="T478" t="s">
        <v>2922</v>
      </c>
      <c r="U478" t="s">
        <v>2665</v>
      </c>
      <c r="V478" t="s">
        <v>3659</v>
      </c>
      <c r="W478" t="s">
        <v>3660</v>
      </c>
      <c r="X478" t="s">
        <v>2665</v>
      </c>
      <c r="Y478" t="s">
        <v>2054</v>
      </c>
      <c r="Z478" t="s">
        <v>1179</v>
      </c>
      <c r="AA478" t="s">
        <v>2847</v>
      </c>
      <c r="AB478" t="s">
        <v>2847</v>
      </c>
      <c r="AC478" t="s">
        <v>2665</v>
      </c>
      <c r="AD478" t="s">
        <v>2054</v>
      </c>
      <c r="AE478" t="s">
        <v>2054</v>
      </c>
    </row>
    <row r="479" spans="1:31" x14ac:dyDescent="0.25">
      <c r="A479" t="s">
        <v>110</v>
      </c>
      <c r="B479" t="s">
        <v>109</v>
      </c>
      <c r="C479" t="s">
        <v>3661</v>
      </c>
      <c r="D479" t="s">
        <v>333</v>
      </c>
      <c r="E479" t="s">
        <v>2666</v>
      </c>
      <c r="F479" t="s">
        <v>3662</v>
      </c>
      <c r="G479" t="s">
        <v>2666</v>
      </c>
      <c r="H479" t="s">
        <v>2054</v>
      </c>
      <c r="I479" t="s">
        <v>2778</v>
      </c>
      <c r="J479" t="s">
        <v>2054</v>
      </c>
      <c r="K479" t="s">
        <v>2665</v>
      </c>
      <c r="L479" t="s">
        <v>1179</v>
      </c>
      <c r="M479" t="s">
        <v>2898</v>
      </c>
      <c r="N479" t="s">
        <v>2665</v>
      </c>
      <c r="O479" t="s">
        <v>2984</v>
      </c>
      <c r="P479" t="s">
        <v>2898</v>
      </c>
      <c r="Q479" t="s">
        <v>3617</v>
      </c>
      <c r="R479" t="s">
        <v>2665</v>
      </c>
      <c r="S479" t="s">
        <v>2781</v>
      </c>
      <c r="T479" t="s">
        <v>2922</v>
      </c>
      <c r="U479" t="s">
        <v>2665</v>
      </c>
      <c r="V479" t="s">
        <v>3659</v>
      </c>
      <c r="W479" t="s">
        <v>3660</v>
      </c>
      <c r="X479" t="s">
        <v>2665</v>
      </c>
      <c r="Y479" t="s">
        <v>2054</v>
      </c>
      <c r="Z479" t="s">
        <v>1179</v>
      </c>
      <c r="AA479" t="s">
        <v>2847</v>
      </c>
      <c r="AB479" t="s">
        <v>2847</v>
      </c>
      <c r="AC479" t="s">
        <v>2665</v>
      </c>
      <c r="AD479" t="s">
        <v>2054</v>
      </c>
      <c r="AE479" t="s">
        <v>2054</v>
      </c>
    </row>
    <row r="480" spans="1:31" x14ac:dyDescent="0.25">
      <c r="A480" t="s">
        <v>112</v>
      </c>
      <c r="B480" t="s">
        <v>111</v>
      </c>
      <c r="C480" t="s">
        <v>3663</v>
      </c>
      <c r="D480" t="s">
        <v>334</v>
      </c>
      <c r="E480" t="s">
        <v>2666</v>
      </c>
      <c r="F480" t="s">
        <v>3664</v>
      </c>
      <c r="G480" t="s">
        <v>2666</v>
      </c>
      <c r="H480" t="s">
        <v>2054</v>
      </c>
      <c r="I480" t="s">
        <v>2778</v>
      </c>
      <c r="J480" t="s">
        <v>2054</v>
      </c>
      <c r="K480" t="s">
        <v>2665</v>
      </c>
      <c r="L480" t="s">
        <v>1179</v>
      </c>
      <c r="M480" t="s">
        <v>2898</v>
      </c>
      <c r="N480" t="s">
        <v>2665</v>
      </c>
      <c r="O480" t="s">
        <v>2984</v>
      </c>
      <c r="P480" t="s">
        <v>2898</v>
      </c>
      <c r="Q480" t="s">
        <v>3617</v>
      </c>
      <c r="R480" t="s">
        <v>2665</v>
      </c>
      <c r="S480" t="s">
        <v>2781</v>
      </c>
      <c r="T480" t="s">
        <v>2922</v>
      </c>
      <c r="U480" t="s">
        <v>2665</v>
      </c>
      <c r="V480" t="s">
        <v>3659</v>
      </c>
      <c r="W480" t="s">
        <v>3660</v>
      </c>
      <c r="X480" t="s">
        <v>2665</v>
      </c>
      <c r="Y480" t="s">
        <v>2054</v>
      </c>
      <c r="Z480" t="s">
        <v>1179</v>
      </c>
      <c r="AA480" t="s">
        <v>2847</v>
      </c>
      <c r="AB480" t="s">
        <v>2847</v>
      </c>
      <c r="AC480" t="s">
        <v>2665</v>
      </c>
      <c r="AD480" t="s">
        <v>2054</v>
      </c>
      <c r="AE480" t="s">
        <v>2054</v>
      </c>
    </row>
    <row r="481" spans="1:31" x14ac:dyDescent="0.25">
      <c r="A481" t="s">
        <v>1592</v>
      </c>
      <c r="B481" t="s">
        <v>1591</v>
      </c>
      <c r="C481" t="s">
        <v>3665</v>
      </c>
      <c r="D481" t="s">
        <v>1591</v>
      </c>
      <c r="E481" t="s">
        <v>2666</v>
      </c>
      <c r="F481" t="s">
        <v>2916</v>
      </c>
      <c r="G481" t="s">
        <v>2666</v>
      </c>
      <c r="H481" t="s">
        <v>2054</v>
      </c>
      <c r="I481" t="s">
        <v>2741</v>
      </c>
      <c r="J481" t="s">
        <v>2054</v>
      </c>
      <c r="K481" t="s">
        <v>2665</v>
      </c>
      <c r="L481" t="s">
        <v>1136</v>
      </c>
      <c r="M481" t="s">
        <v>2898</v>
      </c>
      <c r="N481" t="s">
        <v>2665</v>
      </c>
      <c r="O481" t="s">
        <v>2984</v>
      </c>
      <c r="P481" t="s">
        <v>2898</v>
      </c>
      <c r="Q481" t="s">
        <v>3617</v>
      </c>
      <c r="R481" t="s">
        <v>2665</v>
      </c>
      <c r="S481" t="s">
        <v>2779</v>
      </c>
      <c r="T481" t="s">
        <v>2780</v>
      </c>
      <c r="U481" t="s">
        <v>2665</v>
      </c>
      <c r="V481" t="s">
        <v>3666</v>
      </c>
      <c r="W481" t="s">
        <v>3667</v>
      </c>
      <c r="X481" t="s">
        <v>2665</v>
      </c>
      <c r="Y481" t="s">
        <v>2054</v>
      </c>
      <c r="Z481" t="s">
        <v>1136</v>
      </c>
      <c r="AA481" t="s">
        <v>2797</v>
      </c>
      <c r="AB481" t="s">
        <v>2797</v>
      </c>
      <c r="AC481" t="s">
        <v>2665</v>
      </c>
      <c r="AD481" t="s">
        <v>2054</v>
      </c>
      <c r="AE481" t="s">
        <v>2054</v>
      </c>
    </row>
    <row r="482" spans="1:31" x14ac:dyDescent="0.25">
      <c r="A482" t="s">
        <v>1594</v>
      </c>
      <c r="B482" t="s">
        <v>1593</v>
      </c>
      <c r="C482" t="s">
        <v>3668</v>
      </c>
      <c r="D482" t="s">
        <v>1593</v>
      </c>
      <c r="E482" t="s">
        <v>2666</v>
      </c>
      <c r="F482" t="s">
        <v>2859</v>
      </c>
      <c r="G482" t="s">
        <v>2666</v>
      </c>
      <c r="H482" t="s">
        <v>2054</v>
      </c>
      <c r="I482" t="s">
        <v>2741</v>
      </c>
      <c r="J482" t="s">
        <v>2054</v>
      </c>
      <c r="K482" t="s">
        <v>2665</v>
      </c>
      <c r="L482" t="s">
        <v>1136</v>
      </c>
      <c r="M482" t="s">
        <v>2898</v>
      </c>
      <c r="N482" t="s">
        <v>2665</v>
      </c>
      <c r="O482" t="s">
        <v>2984</v>
      </c>
      <c r="P482" t="s">
        <v>2898</v>
      </c>
      <c r="Q482" t="s">
        <v>3617</v>
      </c>
      <c r="R482" t="s">
        <v>2665</v>
      </c>
      <c r="S482" t="s">
        <v>2779</v>
      </c>
      <c r="T482" t="s">
        <v>2780</v>
      </c>
      <c r="U482" t="s">
        <v>2665</v>
      </c>
      <c r="V482" t="s">
        <v>3666</v>
      </c>
      <c r="W482" t="s">
        <v>3667</v>
      </c>
      <c r="X482" t="s">
        <v>2665</v>
      </c>
      <c r="Y482" t="s">
        <v>2054</v>
      </c>
      <c r="Z482" t="s">
        <v>1136</v>
      </c>
      <c r="AA482" t="s">
        <v>3037</v>
      </c>
      <c r="AB482" t="s">
        <v>3037</v>
      </c>
      <c r="AC482" t="s">
        <v>2665</v>
      </c>
      <c r="AD482" t="s">
        <v>2054</v>
      </c>
      <c r="AE482" t="s">
        <v>2054</v>
      </c>
    </row>
    <row r="483" spans="1:31" x14ac:dyDescent="0.25">
      <c r="A483" t="s">
        <v>1596</v>
      </c>
      <c r="B483" t="s">
        <v>1595</v>
      </c>
      <c r="C483" t="s">
        <v>3669</v>
      </c>
      <c r="D483" t="s">
        <v>1595</v>
      </c>
      <c r="E483" t="s">
        <v>2666</v>
      </c>
      <c r="F483" t="s">
        <v>3157</v>
      </c>
      <c r="G483" t="s">
        <v>2666</v>
      </c>
      <c r="H483" t="s">
        <v>2054</v>
      </c>
      <c r="I483" t="s">
        <v>2741</v>
      </c>
      <c r="J483" t="s">
        <v>2054</v>
      </c>
      <c r="K483" t="s">
        <v>2665</v>
      </c>
      <c r="L483" t="s">
        <v>1136</v>
      </c>
      <c r="M483" t="s">
        <v>2898</v>
      </c>
      <c r="N483" t="s">
        <v>2665</v>
      </c>
      <c r="O483" t="s">
        <v>2984</v>
      </c>
      <c r="P483" t="s">
        <v>2898</v>
      </c>
      <c r="Q483" t="s">
        <v>3617</v>
      </c>
      <c r="R483" t="s">
        <v>2665</v>
      </c>
      <c r="S483" t="s">
        <v>2779</v>
      </c>
      <c r="T483" t="s">
        <v>2780</v>
      </c>
      <c r="U483" t="s">
        <v>2665</v>
      </c>
      <c r="V483" t="s">
        <v>3666</v>
      </c>
      <c r="W483" t="s">
        <v>3667</v>
      </c>
      <c r="X483" t="s">
        <v>2665</v>
      </c>
      <c r="Y483" t="s">
        <v>2054</v>
      </c>
      <c r="Z483" t="s">
        <v>1136</v>
      </c>
      <c r="AA483" t="s">
        <v>2870</v>
      </c>
      <c r="AB483" t="s">
        <v>2870</v>
      </c>
      <c r="AC483" t="s">
        <v>2665</v>
      </c>
      <c r="AD483" t="s">
        <v>2054</v>
      </c>
      <c r="AE483" t="s">
        <v>2054</v>
      </c>
    </row>
    <row r="484" spans="1:31" x14ac:dyDescent="0.25">
      <c r="A484" t="s">
        <v>3670</v>
      </c>
      <c r="B484" t="s">
        <v>3671</v>
      </c>
      <c r="C484" t="s">
        <v>3672</v>
      </c>
      <c r="D484" t="s">
        <v>3671</v>
      </c>
      <c r="E484" t="s">
        <v>2666</v>
      </c>
      <c r="F484" t="s">
        <v>2748</v>
      </c>
      <c r="G484" t="s">
        <v>2666</v>
      </c>
      <c r="H484" t="s">
        <v>2054</v>
      </c>
      <c r="I484" t="s">
        <v>2741</v>
      </c>
      <c r="J484" t="s">
        <v>2054</v>
      </c>
      <c r="K484" t="s">
        <v>2665</v>
      </c>
      <c r="L484" t="s">
        <v>1136</v>
      </c>
      <c r="M484" t="s">
        <v>2898</v>
      </c>
      <c r="N484" t="s">
        <v>2665</v>
      </c>
      <c r="O484" t="s">
        <v>2984</v>
      </c>
      <c r="P484" t="s">
        <v>2898</v>
      </c>
      <c r="Q484" t="s">
        <v>3617</v>
      </c>
      <c r="R484" t="s">
        <v>2665</v>
      </c>
      <c r="S484" t="s">
        <v>2779</v>
      </c>
      <c r="T484" t="s">
        <v>2780</v>
      </c>
      <c r="U484" t="s">
        <v>2665</v>
      </c>
      <c r="V484" t="s">
        <v>3666</v>
      </c>
      <c r="W484" t="s">
        <v>3667</v>
      </c>
      <c r="X484" t="s">
        <v>2665</v>
      </c>
      <c r="Y484" t="s">
        <v>2054</v>
      </c>
      <c r="Z484" t="s">
        <v>1136</v>
      </c>
      <c r="AA484" t="s">
        <v>2797</v>
      </c>
      <c r="AB484" t="s">
        <v>2797</v>
      </c>
      <c r="AC484" t="s">
        <v>2665</v>
      </c>
      <c r="AD484" t="s">
        <v>2054</v>
      </c>
      <c r="AE484" t="s">
        <v>2054</v>
      </c>
    </row>
    <row r="485" spans="1:31" x14ac:dyDescent="0.25">
      <c r="A485" t="s">
        <v>3673</v>
      </c>
      <c r="B485" t="s">
        <v>3674</v>
      </c>
      <c r="C485" t="s">
        <v>3675</v>
      </c>
      <c r="D485" t="s">
        <v>3674</v>
      </c>
      <c r="E485" t="s">
        <v>2666</v>
      </c>
      <c r="F485" t="s">
        <v>3181</v>
      </c>
      <c r="G485" t="s">
        <v>2666</v>
      </c>
      <c r="H485" t="s">
        <v>2054</v>
      </c>
      <c r="I485" t="s">
        <v>2741</v>
      </c>
      <c r="J485" t="s">
        <v>2054</v>
      </c>
      <c r="K485" t="s">
        <v>2665</v>
      </c>
      <c r="L485" t="s">
        <v>1136</v>
      </c>
      <c r="M485" t="s">
        <v>2898</v>
      </c>
      <c r="N485" t="s">
        <v>2665</v>
      </c>
      <c r="O485" t="s">
        <v>2984</v>
      </c>
      <c r="P485" t="s">
        <v>2898</v>
      </c>
      <c r="Q485" t="s">
        <v>3617</v>
      </c>
      <c r="R485" t="s">
        <v>2665</v>
      </c>
      <c r="S485" t="s">
        <v>2779</v>
      </c>
      <c r="T485" t="s">
        <v>2780</v>
      </c>
      <c r="U485" t="s">
        <v>2665</v>
      </c>
      <c r="V485" t="s">
        <v>3666</v>
      </c>
      <c r="W485" t="s">
        <v>3667</v>
      </c>
      <c r="X485" t="s">
        <v>2665</v>
      </c>
      <c r="Y485" t="s">
        <v>2054</v>
      </c>
      <c r="Z485" t="s">
        <v>1136</v>
      </c>
      <c r="AA485" t="s">
        <v>2795</v>
      </c>
      <c r="AB485" t="s">
        <v>2795</v>
      </c>
      <c r="AC485" t="s">
        <v>2665</v>
      </c>
      <c r="AD485" t="s">
        <v>2054</v>
      </c>
      <c r="AE485" t="s">
        <v>2054</v>
      </c>
    </row>
    <row r="486" spans="1:31" x14ac:dyDescent="0.25">
      <c r="A486" t="s">
        <v>1597</v>
      </c>
      <c r="B486" t="s">
        <v>606</v>
      </c>
      <c r="C486" t="s">
        <v>3676</v>
      </c>
      <c r="D486" t="s">
        <v>787</v>
      </c>
      <c r="E486" t="s">
        <v>2666</v>
      </c>
      <c r="F486" t="s">
        <v>3677</v>
      </c>
      <c r="G486" t="s">
        <v>2666</v>
      </c>
      <c r="H486" t="s">
        <v>2054</v>
      </c>
      <c r="I486" t="s">
        <v>2778</v>
      </c>
      <c r="J486" t="s">
        <v>2054</v>
      </c>
      <c r="K486" t="s">
        <v>2665</v>
      </c>
      <c r="L486" t="s">
        <v>1179</v>
      </c>
      <c r="M486" t="s">
        <v>2878</v>
      </c>
      <c r="N486" t="s">
        <v>2665</v>
      </c>
      <c r="O486" t="s">
        <v>3576</v>
      </c>
      <c r="P486" t="s">
        <v>2898</v>
      </c>
      <c r="Q486" t="s">
        <v>3617</v>
      </c>
      <c r="R486" t="s">
        <v>2665</v>
      </c>
      <c r="S486" t="s">
        <v>2781</v>
      </c>
      <c r="T486" t="s">
        <v>2922</v>
      </c>
      <c r="U486" t="s">
        <v>2665</v>
      </c>
      <c r="V486" t="s">
        <v>3629</v>
      </c>
      <c r="W486" t="s">
        <v>3630</v>
      </c>
      <c r="X486" t="s">
        <v>2665</v>
      </c>
      <c r="Y486" t="s">
        <v>2054</v>
      </c>
      <c r="Z486" t="s">
        <v>1179</v>
      </c>
      <c r="AA486" t="s">
        <v>2851</v>
      </c>
      <c r="AB486" t="s">
        <v>2851</v>
      </c>
      <c r="AC486" t="s">
        <v>2665</v>
      </c>
      <c r="AD486" t="s">
        <v>2054</v>
      </c>
      <c r="AE486" t="s">
        <v>2054</v>
      </c>
    </row>
    <row r="487" spans="1:31" x14ac:dyDescent="0.25">
      <c r="A487" t="s">
        <v>1598</v>
      </c>
      <c r="B487" t="s">
        <v>607</v>
      </c>
      <c r="C487" t="s">
        <v>3678</v>
      </c>
      <c r="D487" t="s">
        <v>788</v>
      </c>
      <c r="E487" t="s">
        <v>2666</v>
      </c>
      <c r="F487" t="s">
        <v>3239</v>
      </c>
      <c r="G487" t="s">
        <v>2666</v>
      </c>
      <c r="H487" t="s">
        <v>2054</v>
      </c>
      <c r="I487" t="s">
        <v>2778</v>
      </c>
      <c r="J487" t="s">
        <v>2054</v>
      </c>
      <c r="K487" t="s">
        <v>2665</v>
      </c>
      <c r="L487" t="s">
        <v>1179</v>
      </c>
      <c r="M487" t="s">
        <v>2878</v>
      </c>
      <c r="N487" t="s">
        <v>2665</v>
      </c>
      <c r="O487" t="s">
        <v>3576</v>
      </c>
      <c r="P487" t="s">
        <v>2898</v>
      </c>
      <c r="Q487" t="s">
        <v>3617</v>
      </c>
      <c r="R487" t="s">
        <v>2665</v>
      </c>
      <c r="S487" t="s">
        <v>2781</v>
      </c>
      <c r="T487" t="s">
        <v>2922</v>
      </c>
      <c r="U487" t="s">
        <v>2665</v>
      </c>
      <c r="V487" t="s">
        <v>3629</v>
      </c>
      <c r="W487" t="s">
        <v>3630</v>
      </c>
      <c r="X487" t="s">
        <v>2665</v>
      </c>
      <c r="Y487" t="s">
        <v>2054</v>
      </c>
      <c r="Z487" t="s">
        <v>1179</v>
      </c>
      <c r="AA487" t="s">
        <v>2851</v>
      </c>
      <c r="AB487" t="s">
        <v>2851</v>
      </c>
      <c r="AC487" t="s">
        <v>2665</v>
      </c>
      <c r="AD487" t="s">
        <v>2054</v>
      </c>
      <c r="AE487" t="s">
        <v>2054</v>
      </c>
    </row>
    <row r="488" spans="1:31" x14ac:dyDescent="0.25">
      <c r="A488" t="s">
        <v>1599</v>
      </c>
      <c r="B488" t="s">
        <v>608</v>
      </c>
      <c r="C488" t="s">
        <v>3679</v>
      </c>
      <c r="D488" t="s">
        <v>819</v>
      </c>
      <c r="E488" t="s">
        <v>2666</v>
      </c>
      <c r="F488" t="s">
        <v>3680</v>
      </c>
      <c r="G488" t="s">
        <v>2666</v>
      </c>
      <c r="H488" t="s">
        <v>2054</v>
      </c>
      <c r="I488" t="s">
        <v>2778</v>
      </c>
      <c r="J488" t="s">
        <v>2054</v>
      </c>
      <c r="K488" t="s">
        <v>2665</v>
      </c>
      <c r="L488" t="s">
        <v>1179</v>
      </c>
      <c r="M488" t="s">
        <v>2878</v>
      </c>
      <c r="N488" t="s">
        <v>2665</v>
      </c>
      <c r="O488" t="s">
        <v>3576</v>
      </c>
      <c r="P488" t="s">
        <v>2898</v>
      </c>
      <c r="Q488" t="s">
        <v>3617</v>
      </c>
      <c r="R488" t="s">
        <v>2665</v>
      </c>
      <c r="S488" t="s">
        <v>2781</v>
      </c>
      <c r="T488" t="s">
        <v>2922</v>
      </c>
      <c r="U488" t="s">
        <v>2665</v>
      </c>
      <c r="V488" t="s">
        <v>3629</v>
      </c>
      <c r="W488" t="s">
        <v>3630</v>
      </c>
      <c r="X488" t="s">
        <v>2665</v>
      </c>
      <c r="Y488" t="s">
        <v>2054</v>
      </c>
      <c r="Z488" t="s">
        <v>1179</v>
      </c>
      <c r="AA488" t="s">
        <v>2851</v>
      </c>
      <c r="AB488" t="s">
        <v>2851</v>
      </c>
      <c r="AC488" t="s">
        <v>2665</v>
      </c>
      <c r="AD488" t="s">
        <v>2054</v>
      </c>
      <c r="AE488" t="s">
        <v>2054</v>
      </c>
    </row>
    <row r="489" spans="1:31" x14ac:dyDescent="0.25">
      <c r="A489" t="s">
        <v>1600</v>
      </c>
      <c r="B489" t="s">
        <v>609</v>
      </c>
      <c r="C489" t="s">
        <v>3681</v>
      </c>
      <c r="D489" t="s">
        <v>820</v>
      </c>
      <c r="E489" t="s">
        <v>2666</v>
      </c>
      <c r="F489" t="s">
        <v>2790</v>
      </c>
      <c r="G489" t="s">
        <v>2666</v>
      </c>
      <c r="H489" t="s">
        <v>2054</v>
      </c>
      <c r="I489" t="s">
        <v>2778</v>
      </c>
      <c r="J489" t="s">
        <v>2054</v>
      </c>
      <c r="K489" t="s">
        <v>2665</v>
      </c>
      <c r="L489" t="s">
        <v>1179</v>
      </c>
      <c r="M489" t="s">
        <v>2878</v>
      </c>
      <c r="N489" t="s">
        <v>2665</v>
      </c>
      <c r="O489" t="s">
        <v>3576</v>
      </c>
      <c r="P489" t="s">
        <v>2898</v>
      </c>
      <c r="Q489" t="s">
        <v>3617</v>
      </c>
      <c r="R489" t="s">
        <v>2665</v>
      </c>
      <c r="S489" t="s">
        <v>2781</v>
      </c>
      <c r="T489" t="s">
        <v>2922</v>
      </c>
      <c r="U489" t="s">
        <v>2665</v>
      </c>
      <c r="V489" t="s">
        <v>3629</v>
      </c>
      <c r="W489" t="s">
        <v>3630</v>
      </c>
      <c r="X489" t="s">
        <v>2665</v>
      </c>
      <c r="Y489" t="s">
        <v>2054</v>
      </c>
      <c r="Z489" t="s">
        <v>1179</v>
      </c>
      <c r="AA489" t="s">
        <v>2739</v>
      </c>
      <c r="AB489" t="s">
        <v>2739</v>
      </c>
      <c r="AC489" t="s">
        <v>2665</v>
      </c>
      <c r="AD489" t="s">
        <v>2054</v>
      </c>
      <c r="AE489" t="s">
        <v>2054</v>
      </c>
    </row>
    <row r="490" spans="1:31" x14ac:dyDescent="0.25">
      <c r="A490" t="s">
        <v>1601</v>
      </c>
      <c r="B490" t="s">
        <v>610</v>
      </c>
      <c r="C490" t="s">
        <v>3682</v>
      </c>
      <c r="D490" t="s">
        <v>821</v>
      </c>
      <c r="E490" t="s">
        <v>2666</v>
      </c>
      <c r="F490" t="s">
        <v>3683</v>
      </c>
      <c r="G490" t="s">
        <v>2666</v>
      </c>
      <c r="H490" t="s">
        <v>2054</v>
      </c>
      <c r="I490" t="s">
        <v>2778</v>
      </c>
      <c r="J490" t="s">
        <v>2054</v>
      </c>
      <c r="K490" t="s">
        <v>2665</v>
      </c>
      <c r="L490" t="s">
        <v>1179</v>
      </c>
      <c r="M490" t="s">
        <v>2878</v>
      </c>
      <c r="N490" t="s">
        <v>2665</v>
      </c>
      <c r="O490" t="s">
        <v>3576</v>
      </c>
      <c r="P490" t="s">
        <v>2898</v>
      </c>
      <c r="Q490" t="s">
        <v>3617</v>
      </c>
      <c r="R490" t="s">
        <v>2665</v>
      </c>
      <c r="S490" t="s">
        <v>2781</v>
      </c>
      <c r="T490" t="s">
        <v>2922</v>
      </c>
      <c r="U490" t="s">
        <v>2665</v>
      </c>
      <c r="V490" t="s">
        <v>3629</v>
      </c>
      <c r="W490" t="s">
        <v>3630</v>
      </c>
      <c r="X490" t="s">
        <v>2665</v>
      </c>
      <c r="Y490" t="s">
        <v>2054</v>
      </c>
      <c r="Z490" t="s">
        <v>1179</v>
      </c>
      <c r="AA490" t="s">
        <v>2739</v>
      </c>
      <c r="AB490" t="s">
        <v>2739</v>
      </c>
      <c r="AC490" t="s">
        <v>2665</v>
      </c>
      <c r="AD490" t="s">
        <v>2054</v>
      </c>
      <c r="AE490" t="s">
        <v>2054</v>
      </c>
    </row>
    <row r="491" spans="1:31" x14ac:dyDescent="0.25">
      <c r="A491" t="s">
        <v>1602</v>
      </c>
      <c r="B491" t="s">
        <v>611</v>
      </c>
      <c r="C491" t="s">
        <v>3684</v>
      </c>
      <c r="D491" t="s">
        <v>822</v>
      </c>
      <c r="E491" t="s">
        <v>2666</v>
      </c>
      <c r="F491" t="s">
        <v>3685</v>
      </c>
      <c r="G491" t="s">
        <v>2666</v>
      </c>
      <c r="H491" t="s">
        <v>2054</v>
      </c>
      <c r="I491" t="s">
        <v>2778</v>
      </c>
      <c r="J491" t="s">
        <v>2054</v>
      </c>
      <c r="K491" t="s">
        <v>2665</v>
      </c>
      <c r="L491" t="s">
        <v>1179</v>
      </c>
      <c r="M491" t="s">
        <v>2878</v>
      </c>
      <c r="N491" t="s">
        <v>2665</v>
      </c>
      <c r="O491" t="s">
        <v>3576</v>
      </c>
      <c r="P491" t="s">
        <v>2898</v>
      </c>
      <c r="Q491" t="s">
        <v>3617</v>
      </c>
      <c r="R491" t="s">
        <v>2665</v>
      </c>
      <c r="S491" t="s">
        <v>2781</v>
      </c>
      <c r="T491" t="s">
        <v>2922</v>
      </c>
      <c r="U491" t="s">
        <v>2665</v>
      </c>
      <c r="V491" t="s">
        <v>3629</v>
      </c>
      <c r="W491" t="s">
        <v>3630</v>
      </c>
      <c r="X491" t="s">
        <v>2665</v>
      </c>
      <c r="Y491" t="s">
        <v>2054</v>
      </c>
      <c r="Z491" t="s">
        <v>1179</v>
      </c>
      <c r="AA491" t="s">
        <v>2839</v>
      </c>
      <c r="AB491" t="s">
        <v>2839</v>
      </c>
      <c r="AC491" t="s">
        <v>2665</v>
      </c>
      <c r="AD491" t="s">
        <v>2054</v>
      </c>
      <c r="AE491" t="s">
        <v>2054</v>
      </c>
    </row>
    <row r="492" spans="1:31" x14ac:dyDescent="0.25">
      <c r="A492" t="s">
        <v>1603</v>
      </c>
      <c r="B492" t="s">
        <v>612</v>
      </c>
      <c r="C492" t="s">
        <v>3686</v>
      </c>
      <c r="D492" t="s">
        <v>823</v>
      </c>
      <c r="E492" t="s">
        <v>2666</v>
      </c>
      <c r="F492" t="s">
        <v>3687</v>
      </c>
      <c r="G492" t="s">
        <v>2666</v>
      </c>
      <c r="H492" t="s">
        <v>2054</v>
      </c>
      <c r="I492" t="s">
        <v>2778</v>
      </c>
      <c r="J492" t="s">
        <v>2054</v>
      </c>
      <c r="K492" t="s">
        <v>2665</v>
      </c>
      <c r="L492" t="s">
        <v>1179</v>
      </c>
      <c r="M492" t="s">
        <v>2878</v>
      </c>
      <c r="N492" t="s">
        <v>2665</v>
      </c>
      <c r="O492" t="s">
        <v>3576</v>
      </c>
      <c r="P492" t="s">
        <v>2898</v>
      </c>
      <c r="Q492" t="s">
        <v>3617</v>
      </c>
      <c r="R492" t="s">
        <v>2665</v>
      </c>
      <c r="S492" t="s">
        <v>2781</v>
      </c>
      <c r="T492" t="s">
        <v>2922</v>
      </c>
      <c r="U492" t="s">
        <v>2665</v>
      </c>
      <c r="V492" t="s">
        <v>3629</v>
      </c>
      <c r="W492" t="s">
        <v>3630</v>
      </c>
      <c r="X492" t="s">
        <v>2665</v>
      </c>
      <c r="Y492" t="s">
        <v>2054</v>
      </c>
      <c r="Z492" t="s">
        <v>1179</v>
      </c>
      <c r="AA492" t="s">
        <v>2739</v>
      </c>
      <c r="AB492" t="s">
        <v>2739</v>
      </c>
      <c r="AC492" t="s">
        <v>2665</v>
      </c>
      <c r="AD492" t="s">
        <v>2054</v>
      </c>
      <c r="AE492" t="s">
        <v>2054</v>
      </c>
    </row>
    <row r="493" spans="1:31" x14ac:dyDescent="0.25">
      <c r="A493" t="s">
        <v>1604</v>
      </c>
      <c r="B493" t="s">
        <v>613</v>
      </c>
      <c r="C493" t="s">
        <v>3688</v>
      </c>
      <c r="D493" t="s">
        <v>824</v>
      </c>
      <c r="E493" t="s">
        <v>2666</v>
      </c>
      <c r="F493" t="s">
        <v>3689</v>
      </c>
      <c r="G493" t="s">
        <v>2666</v>
      </c>
      <c r="H493" t="s">
        <v>2054</v>
      </c>
      <c r="I493" t="s">
        <v>2778</v>
      </c>
      <c r="J493" t="s">
        <v>2054</v>
      </c>
      <c r="K493" t="s">
        <v>2665</v>
      </c>
      <c r="L493" t="s">
        <v>1179</v>
      </c>
      <c r="M493" t="s">
        <v>2878</v>
      </c>
      <c r="N493" t="s">
        <v>2665</v>
      </c>
      <c r="O493" t="s">
        <v>3576</v>
      </c>
      <c r="P493" t="s">
        <v>2898</v>
      </c>
      <c r="Q493" t="s">
        <v>3617</v>
      </c>
      <c r="R493" t="s">
        <v>2665</v>
      </c>
      <c r="S493" t="s">
        <v>2781</v>
      </c>
      <c r="T493" t="s">
        <v>2922</v>
      </c>
      <c r="U493" t="s">
        <v>2665</v>
      </c>
      <c r="V493" t="s">
        <v>3629</v>
      </c>
      <c r="W493" t="s">
        <v>3630</v>
      </c>
      <c r="X493" t="s">
        <v>2665</v>
      </c>
      <c r="Y493" t="s">
        <v>2054</v>
      </c>
      <c r="Z493" t="s">
        <v>1179</v>
      </c>
      <c r="AA493" t="s">
        <v>2739</v>
      </c>
      <c r="AB493" t="s">
        <v>2739</v>
      </c>
      <c r="AC493" t="s">
        <v>2665</v>
      </c>
      <c r="AD493" t="s">
        <v>2054</v>
      </c>
      <c r="AE493" t="s">
        <v>2054</v>
      </c>
    </row>
    <row r="494" spans="1:31" x14ac:dyDescent="0.25">
      <c r="A494" t="s">
        <v>1605</v>
      </c>
      <c r="B494" t="s">
        <v>614</v>
      </c>
      <c r="C494" t="s">
        <v>3690</v>
      </c>
      <c r="D494" t="s">
        <v>825</v>
      </c>
      <c r="E494" t="s">
        <v>2666</v>
      </c>
      <c r="F494" t="s">
        <v>3614</v>
      </c>
      <c r="G494" t="s">
        <v>2666</v>
      </c>
      <c r="H494" t="s">
        <v>2054</v>
      </c>
      <c r="I494" t="s">
        <v>2778</v>
      </c>
      <c r="J494" t="s">
        <v>2054</v>
      </c>
      <c r="K494" t="s">
        <v>2665</v>
      </c>
      <c r="L494" t="s">
        <v>1179</v>
      </c>
      <c r="M494" t="s">
        <v>2878</v>
      </c>
      <c r="N494" t="s">
        <v>2665</v>
      </c>
      <c r="O494" t="s">
        <v>3576</v>
      </c>
      <c r="P494" t="s">
        <v>2898</v>
      </c>
      <c r="Q494" t="s">
        <v>3617</v>
      </c>
      <c r="R494" t="s">
        <v>2665</v>
      </c>
      <c r="S494" t="s">
        <v>2781</v>
      </c>
      <c r="T494" t="s">
        <v>2922</v>
      </c>
      <c r="U494" t="s">
        <v>2665</v>
      </c>
      <c r="V494" t="s">
        <v>3629</v>
      </c>
      <c r="W494" t="s">
        <v>3630</v>
      </c>
      <c r="X494" t="s">
        <v>2665</v>
      </c>
      <c r="Y494" t="s">
        <v>2054</v>
      </c>
      <c r="Z494" t="s">
        <v>1179</v>
      </c>
      <c r="AA494" t="s">
        <v>2697</v>
      </c>
      <c r="AB494" t="s">
        <v>2697</v>
      </c>
      <c r="AC494" t="s">
        <v>2665</v>
      </c>
      <c r="AD494" t="s">
        <v>2054</v>
      </c>
      <c r="AE494" t="s">
        <v>2054</v>
      </c>
    </row>
    <row r="495" spans="1:31" x14ac:dyDescent="0.25">
      <c r="A495" t="s">
        <v>1606</v>
      </c>
      <c r="B495" t="s">
        <v>923</v>
      </c>
      <c r="C495" t="s">
        <v>3691</v>
      </c>
      <c r="D495" t="s">
        <v>925</v>
      </c>
      <c r="E495" t="s">
        <v>2666</v>
      </c>
      <c r="F495" t="s">
        <v>3687</v>
      </c>
      <c r="G495" t="s">
        <v>2666</v>
      </c>
      <c r="H495" t="s">
        <v>2054</v>
      </c>
      <c r="I495" t="s">
        <v>2778</v>
      </c>
      <c r="J495" t="s">
        <v>2054</v>
      </c>
      <c r="K495" t="s">
        <v>2665</v>
      </c>
      <c r="L495" t="s">
        <v>1179</v>
      </c>
      <c r="M495" t="s">
        <v>2878</v>
      </c>
      <c r="N495" t="s">
        <v>2665</v>
      </c>
      <c r="O495" t="s">
        <v>3576</v>
      </c>
      <c r="P495" t="s">
        <v>2898</v>
      </c>
      <c r="Q495" t="s">
        <v>3617</v>
      </c>
      <c r="R495" t="s">
        <v>2665</v>
      </c>
      <c r="S495" t="s">
        <v>2781</v>
      </c>
      <c r="T495" t="s">
        <v>2922</v>
      </c>
      <c r="U495" t="s">
        <v>2665</v>
      </c>
      <c r="V495" t="s">
        <v>3629</v>
      </c>
      <c r="W495" t="s">
        <v>3630</v>
      </c>
      <c r="X495" t="s">
        <v>2665</v>
      </c>
      <c r="Y495" t="s">
        <v>2054</v>
      </c>
      <c r="Z495" t="s">
        <v>1179</v>
      </c>
      <c r="AA495" t="s">
        <v>2697</v>
      </c>
      <c r="AB495" t="s">
        <v>2697</v>
      </c>
      <c r="AC495" t="s">
        <v>2665</v>
      </c>
      <c r="AD495" t="s">
        <v>2054</v>
      </c>
      <c r="AE495" t="s">
        <v>2054</v>
      </c>
    </row>
    <row r="496" spans="1:31" x14ac:dyDescent="0.25">
      <c r="A496" t="s">
        <v>1607</v>
      </c>
      <c r="B496" t="s">
        <v>924</v>
      </c>
      <c r="C496" t="s">
        <v>3692</v>
      </c>
      <c r="D496" t="s">
        <v>926</v>
      </c>
      <c r="E496" t="s">
        <v>2666</v>
      </c>
      <c r="F496" t="s">
        <v>3693</v>
      </c>
      <c r="G496" t="s">
        <v>2666</v>
      </c>
      <c r="H496" t="s">
        <v>2054</v>
      </c>
      <c r="I496" t="s">
        <v>2778</v>
      </c>
      <c r="J496" t="s">
        <v>2054</v>
      </c>
      <c r="K496" t="s">
        <v>2665</v>
      </c>
      <c r="L496" t="s">
        <v>1179</v>
      </c>
      <c r="M496" t="s">
        <v>2878</v>
      </c>
      <c r="N496" t="s">
        <v>2665</v>
      </c>
      <c r="O496" t="s">
        <v>3576</v>
      </c>
      <c r="P496" t="s">
        <v>2898</v>
      </c>
      <c r="Q496" t="s">
        <v>3617</v>
      </c>
      <c r="R496" t="s">
        <v>2665</v>
      </c>
      <c r="S496" t="s">
        <v>2781</v>
      </c>
      <c r="T496" t="s">
        <v>2922</v>
      </c>
      <c r="U496" t="s">
        <v>2665</v>
      </c>
      <c r="V496" t="s">
        <v>3629</v>
      </c>
      <c r="W496" t="s">
        <v>3630</v>
      </c>
      <c r="X496" t="s">
        <v>2665</v>
      </c>
      <c r="Y496" t="s">
        <v>2054</v>
      </c>
      <c r="Z496" t="s">
        <v>1179</v>
      </c>
      <c r="AA496" t="s">
        <v>2697</v>
      </c>
      <c r="AB496" t="s">
        <v>2697</v>
      </c>
      <c r="AC496" t="s">
        <v>2665</v>
      </c>
      <c r="AD496" t="s">
        <v>2054</v>
      </c>
      <c r="AE496" t="s">
        <v>2054</v>
      </c>
    </row>
    <row r="497" spans="1:31" x14ac:dyDescent="0.25">
      <c r="A497" t="s">
        <v>1608</v>
      </c>
      <c r="B497" t="s">
        <v>615</v>
      </c>
      <c r="C497" t="s">
        <v>3694</v>
      </c>
      <c r="D497" t="s">
        <v>826</v>
      </c>
      <c r="E497" t="s">
        <v>2666</v>
      </c>
      <c r="F497" t="s">
        <v>3695</v>
      </c>
      <c r="G497" t="s">
        <v>2666</v>
      </c>
      <c r="H497" t="s">
        <v>2054</v>
      </c>
      <c r="I497" t="s">
        <v>2778</v>
      </c>
      <c r="J497" t="s">
        <v>2054</v>
      </c>
      <c r="K497" t="s">
        <v>2665</v>
      </c>
      <c r="L497" t="s">
        <v>1179</v>
      </c>
      <c r="M497" t="s">
        <v>2878</v>
      </c>
      <c r="N497" t="s">
        <v>2665</v>
      </c>
      <c r="O497" t="s">
        <v>3576</v>
      </c>
      <c r="P497" t="s">
        <v>2898</v>
      </c>
      <c r="Q497" t="s">
        <v>3617</v>
      </c>
      <c r="R497" t="s">
        <v>2665</v>
      </c>
      <c r="S497" t="s">
        <v>2781</v>
      </c>
      <c r="T497" t="s">
        <v>2922</v>
      </c>
      <c r="U497" t="s">
        <v>2665</v>
      </c>
      <c r="V497" t="s">
        <v>3629</v>
      </c>
      <c r="W497" t="s">
        <v>3630</v>
      </c>
      <c r="X497" t="s">
        <v>2665</v>
      </c>
      <c r="Y497" t="s">
        <v>2054</v>
      </c>
      <c r="Z497" t="s">
        <v>1179</v>
      </c>
      <c r="AA497" t="s">
        <v>2691</v>
      </c>
      <c r="AB497" t="s">
        <v>2691</v>
      </c>
      <c r="AC497" t="s">
        <v>2665</v>
      </c>
      <c r="AD497" t="s">
        <v>2054</v>
      </c>
      <c r="AE497" t="s">
        <v>2054</v>
      </c>
    </row>
    <row r="498" spans="1:31" x14ac:dyDescent="0.25">
      <c r="A498" t="s">
        <v>1609</v>
      </c>
      <c r="B498" t="s">
        <v>616</v>
      </c>
      <c r="C498" t="s">
        <v>3696</v>
      </c>
      <c r="D498" t="s">
        <v>827</v>
      </c>
      <c r="E498" t="s">
        <v>2666</v>
      </c>
      <c r="F498" t="s">
        <v>3697</v>
      </c>
      <c r="G498" t="s">
        <v>2666</v>
      </c>
      <c r="H498" t="s">
        <v>2054</v>
      </c>
      <c r="I498" t="s">
        <v>2778</v>
      </c>
      <c r="J498" t="s">
        <v>2054</v>
      </c>
      <c r="K498" t="s">
        <v>2665</v>
      </c>
      <c r="L498" t="s">
        <v>1179</v>
      </c>
      <c r="M498" t="s">
        <v>2878</v>
      </c>
      <c r="N498" t="s">
        <v>2665</v>
      </c>
      <c r="O498" t="s">
        <v>3576</v>
      </c>
      <c r="P498" t="s">
        <v>2898</v>
      </c>
      <c r="Q498" t="s">
        <v>3617</v>
      </c>
      <c r="R498" t="s">
        <v>2665</v>
      </c>
      <c r="S498" t="s">
        <v>2781</v>
      </c>
      <c r="T498" t="s">
        <v>2922</v>
      </c>
      <c r="U498" t="s">
        <v>2665</v>
      </c>
      <c r="V498" t="s">
        <v>3629</v>
      </c>
      <c r="W498" t="s">
        <v>3630</v>
      </c>
      <c r="X498" t="s">
        <v>2665</v>
      </c>
      <c r="Y498" t="s">
        <v>2054</v>
      </c>
      <c r="Z498" t="s">
        <v>1179</v>
      </c>
      <c r="AA498" t="s">
        <v>2851</v>
      </c>
      <c r="AB498" t="s">
        <v>2851</v>
      </c>
      <c r="AC498" t="s">
        <v>2665</v>
      </c>
      <c r="AD498" t="s">
        <v>2054</v>
      </c>
      <c r="AE498" t="s">
        <v>2054</v>
      </c>
    </row>
    <row r="499" spans="1:31" x14ac:dyDescent="0.25">
      <c r="A499" t="s">
        <v>1610</v>
      </c>
      <c r="B499" t="s">
        <v>617</v>
      </c>
      <c r="C499" t="s">
        <v>3698</v>
      </c>
      <c r="D499" t="s">
        <v>3699</v>
      </c>
      <c r="E499" t="s">
        <v>2666</v>
      </c>
      <c r="F499" t="s">
        <v>3697</v>
      </c>
      <c r="G499" t="s">
        <v>2666</v>
      </c>
      <c r="H499" t="s">
        <v>2054</v>
      </c>
      <c r="I499" t="s">
        <v>2778</v>
      </c>
      <c r="J499" t="s">
        <v>2054</v>
      </c>
      <c r="K499" t="s">
        <v>2665</v>
      </c>
      <c r="L499" t="s">
        <v>1179</v>
      </c>
      <c r="M499" t="s">
        <v>2878</v>
      </c>
      <c r="N499" t="s">
        <v>2665</v>
      </c>
      <c r="O499" t="s">
        <v>3576</v>
      </c>
      <c r="P499" t="s">
        <v>2898</v>
      </c>
      <c r="Q499" t="s">
        <v>3617</v>
      </c>
      <c r="R499" t="s">
        <v>2665</v>
      </c>
      <c r="S499" t="s">
        <v>2781</v>
      </c>
      <c r="T499" t="s">
        <v>2922</v>
      </c>
      <c r="U499" t="s">
        <v>2665</v>
      </c>
      <c r="V499" t="s">
        <v>3629</v>
      </c>
      <c r="W499" t="s">
        <v>3630</v>
      </c>
      <c r="X499" t="s">
        <v>2665</v>
      </c>
      <c r="Y499" t="s">
        <v>2054</v>
      </c>
      <c r="Z499" t="s">
        <v>1179</v>
      </c>
      <c r="AA499" t="s">
        <v>2851</v>
      </c>
      <c r="AB499" t="s">
        <v>2851</v>
      </c>
      <c r="AC499" t="s">
        <v>2665</v>
      </c>
      <c r="AD499" t="s">
        <v>2054</v>
      </c>
      <c r="AE499" t="s">
        <v>2054</v>
      </c>
    </row>
    <row r="500" spans="1:31" x14ac:dyDescent="0.25">
      <c r="A500" t="s">
        <v>1611</v>
      </c>
      <c r="B500" t="s">
        <v>618</v>
      </c>
      <c r="C500" t="s">
        <v>3700</v>
      </c>
      <c r="D500" t="s">
        <v>3701</v>
      </c>
      <c r="E500" t="s">
        <v>2666</v>
      </c>
      <c r="F500" t="s">
        <v>3697</v>
      </c>
      <c r="G500" t="s">
        <v>2666</v>
      </c>
      <c r="H500" t="s">
        <v>2054</v>
      </c>
      <c r="I500" t="s">
        <v>2778</v>
      </c>
      <c r="J500" t="s">
        <v>2054</v>
      </c>
      <c r="K500" t="s">
        <v>2665</v>
      </c>
      <c r="L500" t="s">
        <v>1179</v>
      </c>
      <c r="M500" t="s">
        <v>2878</v>
      </c>
      <c r="N500" t="s">
        <v>2665</v>
      </c>
      <c r="O500" t="s">
        <v>3576</v>
      </c>
      <c r="P500" t="s">
        <v>2898</v>
      </c>
      <c r="Q500" t="s">
        <v>3617</v>
      </c>
      <c r="R500" t="s">
        <v>2665</v>
      </c>
      <c r="S500" t="s">
        <v>2781</v>
      </c>
      <c r="T500" t="s">
        <v>2922</v>
      </c>
      <c r="U500" t="s">
        <v>2665</v>
      </c>
      <c r="V500" t="s">
        <v>3629</v>
      </c>
      <c r="W500" t="s">
        <v>3630</v>
      </c>
      <c r="X500" t="s">
        <v>2665</v>
      </c>
      <c r="Y500" t="s">
        <v>2054</v>
      </c>
      <c r="Z500" t="s">
        <v>1179</v>
      </c>
      <c r="AA500" t="s">
        <v>2851</v>
      </c>
      <c r="AB500" t="s">
        <v>2851</v>
      </c>
      <c r="AC500" t="s">
        <v>2665</v>
      </c>
      <c r="AD500" t="s">
        <v>2054</v>
      </c>
      <c r="AE500" t="s">
        <v>2054</v>
      </c>
    </row>
    <row r="501" spans="1:31" x14ac:dyDescent="0.25">
      <c r="A501" t="s">
        <v>1612</v>
      </c>
      <c r="B501" t="s">
        <v>619</v>
      </c>
      <c r="C501" t="s">
        <v>3702</v>
      </c>
      <c r="D501" t="s">
        <v>3703</v>
      </c>
      <c r="E501" t="s">
        <v>2666</v>
      </c>
      <c r="F501" t="s">
        <v>3704</v>
      </c>
      <c r="G501" t="s">
        <v>2666</v>
      </c>
      <c r="H501" t="s">
        <v>2054</v>
      </c>
      <c r="I501" t="s">
        <v>2778</v>
      </c>
      <c r="J501" t="s">
        <v>2054</v>
      </c>
      <c r="K501" t="s">
        <v>2665</v>
      </c>
      <c r="L501" t="s">
        <v>1179</v>
      </c>
      <c r="M501" t="s">
        <v>2878</v>
      </c>
      <c r="N501" t="s">
        <v>2665</v>
      </c>
      <c r="O501" t="s">
        <v>3576</v>
      </c>
      <c r="P501" t="s">
        <v>2898</v>
      </c>
      <c r="Q501" t="s">
        <v>3617</v>
      </c>
      <c r="R501" t="s">
        <v>2665</v>
      </c>
      <c r="S501" t="s">
        <v>2781</v>
      </c>
      <c r="T501" t="s">
        <v>2922</v>
      </c>
      <c r="U501" t="s">
        <v>2665</v>
      </c>
      <c r="V501" t="s">
        <v>3629</v>
      </c>
      <c r="W501" t="s">
        <v>3630</v>
      </c>
      <c r="X501" t="s">
        <v>2665</v>
      </c>
      <c r="Y501" t="s">
        <v>2054</v>
      </c>
      <c r="Z501" t="s">
        <v>1179</v>
      </c>
      <c r="AA501" t="s">
        <v>2739</v>
      </c>
      <c r="AB501" t="s">
        <v>2739</v>
      </c>
      <c r="AC501" t="s">
        <v>2665</v>
      </c>
      <c r="AD501" t="s">
        <v>2054</v>
      </c>
      <c r="AE501" t="s">
        <v>2054</v>
      </c>
    </row>
    <row r="502" spans="1:31" x14ac:dyDescent="0.25">
      <c r="A502" t="s">
        <v>1613</v>
      </c>
      <c r="B502" t="s">
        <v>620</v>
      </c>
      <c r="C502" t="s">
        <v>3705</v>
      </c>
      <c r="D502" t="s">
        <v>3706</v>
      </c>
      <c r="E502" t="s">
        <v>2666</v>
      </c>
      <c r="F502" t="s">
        <v>3707</v>
      </c>
      <c r="G502" t="s">
        <v>2666</v>
      </c>
      <c r="H502" t="s">
        <v>2054</v>
      </c>
      <c r="I502" t="s">
        <v>2778</v>
      </c>
      <c r="J502" t="s">
        <v>2054</v>
      </c>
      <c r="K502" t="s">
        <v>2665</v>
      </c>
      <c r="L502" t="s">
        <v>1179</v>
      </c>
      <c r="M502" t="s">
        <v>2878</v>
      </c>
      <c r="N502" t="s">
        <v>2665</v>
      </c>
      <c r="O502" t="s">
        <v>3576</v>
      </c>
      <c r="P502" t="s">
        <v>2898</v>
      </c>
      <c r="Q502" t="s">
        <v>3617</v>
      </c>
      <c r="R502" t="s">
        <v>2665</v>
      </c>
      <c r="S502" t="s">
        <v>2781</v>
      </c>
      <c r="T502" t="s">
        <v>2922</v>
      </c>
      <c r="U502" t="s">
        <v>2665</v>
      </c>
      <c r="V502" t="s">
        <v>3629</v>
      </c>
      <c r="W502" t="s">
        <v>3630</v>
      </c>
      <c r="X502" t="s">
        <v>2665</v>
      </c>
      <c r="Y502" t="s">
        <v>2054</v>
      </c>
      <c r="Z502" t="s">
        <v>1179</v>
      </c>
      <c r="AA502" t="s">
        <v>2697</v>
      </c>
      <c r="AB502" t="s">
        <v>2697</v>
      </c>
      <c r="AC502" t="s">
        <v>2665</v>
      </c>
      <c r="AD502" t="s">
        <v>2054</v>
      </c>
      <c r="AE502" t="s">
        <v>2054</v>
      </c>
    </row>
    <row r="503" spans="1:31" x14ac:dyDescent="0.25">
      <c r="A503" t="s">
        <v>1614</v>
      </c>
      <c r="B503" t="s">
        <v>621</v>
      </c>
      <c r="C503" t="s">
        <v>3708</v>
      </c>
      <c r="D503" t="s">
        <v>829</v>
      </c>
      <c r="E503" t="s">
        <v>2666</v>
      </c>
      <c r="F503" t="s">
        <v>3707</v>
      </c>
      <c r="G503" t="s">
        <v>2666</v>
      </c>
      <c r="H503" t="s">
        <v>2054</v>
      </c>
      <c r="I503" t="s">
        <v>2778</v>
      </c>
      <c r="J503" t="s">
        <v>2054</v>
      </c>
      <c r="K503" t="s">
        <v>2665</v>
      </c>
      <c r="L503" t="s">
        <v>1179</v>
      </c>
      <c r="M503" t="s">
        <v>2878</v>
      </c>
      <c r="N503" t="s">
        <v>2665</v>
      </c>
      <c r="O503" t="s">
        <v>3576</v>
      </c>
      <c r="P503" t="s">
        <v>2898</v>
      </c>
      <c r="Q503" t="s">
        <v>3617</v>
      </c>
      <c r="R503" t="s">
        <v>2665</v>
      </c>
      <c r="S503" t="s">
        <v>2781</v>
      </c>
      <c r="T503" t="s">
        <v>2922</v>
      </c>
      <c r="U503" t="s">
        <v>2665</v>
      </c>
      <c r="V503" t="s">
        <v>3629</v>
      </c>
      <c r="W503" t="s">
        <v>3630</v>
      </c>
      <c r="X503" t="s">
        <v>2665</v>
      </c>
      <c r="Y503" t="s">
        <v>2054</v>
      </c>
      <c r="Z503" t="s">
        <v>1179</v>
      </c>
      <c r="AA503" t="s">
        <v>2697</v>
      </c>
      <c r="AB503" t="s">
        <v>2697</v>
      </c>
      <c r="AC503" t="s">
        <v>2665</v>
      </c>
      <c r="AD503" t="s">
        <v>2054</v>
      </c>
      <c r="AE503" t="s">
        <v>2054</v>
      </c>
    </row>
    <row r="504" spans="1:31" x14ac:dyDescent="0.25">
      <c r="A504" t="s">
        <v>1616</v>
      </c>
      <c r="B504" t="s">
        <v>1615</v>
      </c>
      <c r="C504" t="s">
        <v>3709</v>
      </c>
      <c r="D504" t="s">
        <v>1615</v>
      </c>
      <c r="E504" t="s">
        <v>2666</v>
      </c>
      <c r="F504" t="s">
        <v>3710</v>
      </c>
      <c r="G504" t="s">
        <v>2666</v>
      </c>
      <c r="H504" t="s">
        <v>2054</v>
      </c>
      <c r="I504" t="s">
        <v>2778</v>
      </c>
      <c r="J504" t="s">
        <v>2054</v>
      </c>
      <c r="K504" t="s">
        <v>2665</v>
      </c>
      <c r="L504" t="s">
        <v>1179</v>
      </c>
      <c r="M504" t="s">
        <v>2875</v>
      </c>
      <c r="N504" t="s">
        <v>2665</v>
      </c>
      <c r="O504" t="s">
        <v>2876</v>
      </c>
      <c r="P504" t="s">
        <v>3411</v>
      </c>
      <c r="Q504" t="s">
        <v>3412</v>
      </c>
      <c r="R504" t="s">
        <v>2665</v>
      </c>
      <c r="S504" t="s">
        <v>2779</v>
      </c>
      <c r="T504" t="s">
        <v>2780</v>
      </c>
      <c r="U504" t="s">
        <v>2665</v>
      </c>
      <c r="V504" t="s">
        <v>3711</v>
      </c>
      <c r="W504" t="s">
        <v>3712</v>
      </c>
      <c r="X504" t="s">
        <v>2665</v>
      </c>
      <c r="Y504" t="s">
        <v>2054</v>
      </c>
      <c r="Z504" t="s">
        <v>1179</v>
      </c>
      <c r="AA504" t="s">
        <v>2959</v>
      </c>
      <c r="AB504" t="s">
        <v>2959</v>
      </c>
      <c r="AC504" t="s">
        <v>2665</v>
      </c>
      <c r="AD504" t="s">
        <v>2054</v>
      </c>
      <c r="AE504" t="s">
        <v>2054</v>
      </c>
    </row>
    <row r="505" spans="1:31" x14ac:dyDescent="0.25">
      <c r="A505" t="s">
        <v>1618</v>
      </c>
      <c r="B505" t="s">
        <v>1617</v>
      </c>
      <c r="C505" t="s">
        <v>3713</v>
      </c>
      <c r="D505" t="s">
        <v>1617</v>
      </c>
      <c r="E505" t="s">
        <v>2666</v>
      </c>
      <c r="F505" t="s">
        <v>2712</v>
      </c>
      <c r="G505" t="s">
        <v>2666</v>
      </c>
      <c r="H505" t="s">
        <v>2054</v>
      </c>
      <c r="I505" t="s">
        <v>2778</v>
      </c>
      <c r="J505" t="s">
        <v>2054</v>
      </c>
      <c r="K505" t="s">
        <v>2665</v>
      </c>
      <c r="L505" t="s">
        <v>1179</v>
      </c>
      <c r="M505" t="s">
        <v>2875</v>
      </c>
      <c r="N505" t="s">
        <v>2665</v>
      </c>
      <c r="O505" t="s">
        <v>2876</v>
      </c>
      <c r="P505" t="s">
        <v>3411</v>
      </c>
      <c r="Q505" t="s">
        <v>3412</v>
      </c>
      <c r="R505" t="s">
        <v>2665</v>
      </c>
      <c r="S505" t="s">
        <v>2779</v>
      </c>
      <c r="T505" t="s">
        <v>2780</v>
      </c>
      <c r="U505" t="s">
        <v>2665</v>
      </c>
      <c r="V505" t="s">
        <v>3711</v>
      </c>
      <c r="W505" t="s">
        <v>3712</v>
      </c>
      <c r="X505" t="s">
        <v>2665</v>
      </c>
      <c r="Y505" t="s">
        <v>2054</v>
      </c>
      <c r="Z505" t="s">
        <v>1179</v>
      </c>
      <c r="AA505" t="s">
        <v>2959</v>
      </c>
      <c r="AB505" t="s">
        <v>2959</v>
      </c>
      <c r="AC505" t="s">
        <v>2665</v>
      </c>
      <c r="AD505" t="s">
        <v>2054</v>
      </c>
      <c r="AE505" t="s">
        <v>2054</v>
      </c>
    </row>
    <row r="506" spans="1:31" x14ac:dyDescent="0.25">
      <c r="A506" t="s">
        <v>1620</v>
      </c>
      <c r="B506" t="s">
        <v>1619</v>
      </c>
      <c r="C506" t="s">
        <v>3714</v>
      </c>
      <c r="D506" t="s">
        <v>1619</v>
      </c>
      <c r="E506" t="s">
        <v>2666</v>
      </c>
      <c r="F506" t="s">
        <v>2825</v>
      </c>
      <c r="G506" t="s">
        <v>2666</v>
      </c>
      <c r="H506" t="s">
        <v>2054</v>
      </c>
      <c r="I506" t="s">
        <v>2741</v>
      </c>
      <c r="J506" t="s">
        <v>2054</v>
      </c>
      <c r="K506" t="s">
        <v>2665</v>
      </c>
      <c r="L506" t="s">
        <v>1136</v>
      </c>
      <c r="M506" t="s">
        <v>2875</v>
      </c>
      <c r="N506" t="s">
        <v>2665</v>
      </c>
      <c r="O506" t="s">
        <v>2876</v>
      </c>
      <c r="P506" t="s">
        <v>3411</v>
      </c>
      <c r="Q506" t="s">
        <v>3412</v>
      </c>
      <c r="R506" t="s">
        <v>2665</v>
      </c>
      <c r="S506" t="s">
        <v>2779</v>
      </c>
      <c r="T506" t="s">
        <v>2780</v>
      </c>
      <c r="U506" t="s">
        <v>2665</v>
      </c>
      <c r="V506" t="s">
        <v>3711</v>
      </c>
      <c r="W506" t="s">
        <v>3712</v>
      </c>
      <c r="X506" t="s">
        <v>2665</v>
      </c>
      <c r="Y506" t="s">
        <v>2054</v>
      </c>
      <c r="Z506" t="s">
        <v>1136</v>
      </c>
      <c r="AA506" t="s">
        <v>2795</v>
      </c>
      <c r="AB506" t="s">
        <v>2795</v>
      </c>
      <c r="AC506" t="s">
        <v>2665</v>
      </c>
      <c r="AD506" t="s">
        <v>2054</v>
      </c>
      <c r="AE506" t="s">
        <v>2054</v>
      </c>
    </row>
    <row r="507" spans="1:31" x14ac:dyDescent="0.25">
      <c r="A507" t="s">
        <v>1622</v>
      </c>
      <c r="B507" t="s">
        <v>1621</v>
      </c>
      <c r="C507" t="s">
        <v>3715</v>
      </c>
      <c r="D507" t="s">
        <v>1621</v>
      </c>
      <c r="E507" t="s">
        <v>2666</v>
      </c>
      <c r="F507" t="s">
        <v>2825</v>
      </c>
      <c r="G507" t="s">
        <v>2666</v>
      </c>
      <c r="H507" t="s">
        <v>2054</v>
      </c>
      <c r="I507" t="s">
        <v>2741</v>
      </c>
      <c r="J507" t="s">
        <v>2054</v>
      </c>
      <c r="K507" t="s">
        <v>2665</v>
      </c>
      <c r="L507" t="s">
        <v>1136</v>
      </c>
      <c r="M507" t="s">
        <v>2875</v>
      </c>
      <c r="N507" t="s">
        <v>2665</v>
      </c>
      <c r="O507" t="s">
        <v>2876</v>
      </c>
      <c r="P507" t="s">
        <v>3411</v>
      </c>
      <c r="Q507" t="s">
        <v>3412</v>
      </c>
      <c r="R507" t="s">
        <v>2665</v>
      </c>
      <c r="S507" t="s">
        <v>2779</v>
      </c>
      <c r="T507" t="s">
        <v>2780</v>
      </c>
      <c r="U507" t="s">
        <v>2665</v>
      </c>
      <c r="V507" t="s">
        <v>3711</v>
      </c>
      <c r="W507" t="s">
        <v>3712</v>
      </c>
      <c r="X507" t="s">
        <v>2665</v>
      </c>
      <c r="Y507" t="s">
        <v>2054</v>
      </c>
      <c r="Z507" t="s">
        <v>1136</v>
      </c>
      <c r="AA507" t="s">
        <v>2795</v>
      </c>
      <c r="AB507" t="s">
        <v>2795</v>
      </c>
      <c r="AC507" t="s">
        <v>2665</v>
      </c>
      <c r="AD507" t="s">
        <v>2054</v>
      </c>
      <c r="AE507" t="s">
        <v>2054</v>
      </c>
    </row>
    <row r="508" spans="1:31" x14ac:dyDescent="0.25">
      <c r="A508" t="s">
        <v>1624</v>
      </c>
      <c r="B508" t="s">
        <v>1623</v>
      </c>
      <c r="C508" t="s">
        <v>3716</v>
      </c>
      <c r="D508" t="s">
        <v>1623</v>
      </c>
      <c r="E508" t="s">
        <v>2666</v>
      </c>
      <c r="F508" t="s">
        <v>2825</v>
      </c>
      <c r="G508" t="s">
        <v>2666</v>
      </c>
      <c r="H508" t="s">
        <v>2054</v>
      </c>
      <c r="I508" t="s">
        <v>2741</v>
      </c>
      <c r="J508" t="s">
        <v>2054</v>
      </c>
      <c r="K508" t="s">
        <v>2665</v>
      </c>
      <c r="L508" t="s">
        <v>1136</v>
      </c>
      <c r="M508" t="s">
        <v>2875</v>
      </c>
      <c r="N508" t="s">
        <v>2665</v>
      </c>
      <c r="O508" t="s">
        <v>2876</v>
      </c>
      <c r="P508" t="s">
        <v>3411</v>
      </c>
      <c r="Q508" t="s">
        <v>3412</v>
      </c>
      <c r="R508" t="s">
        <v>2665</v>
      </c>
      <c r="S508" t="s">
        <v>2779</v>
      </c>
      <c r="T508" t="s">
        <v>2780</v>
      </c>
      <c r="U508" t="s">
        <v>2665</v>
      </c>
      <c r="V508" t="s">
        <v>3711</v>
      </c>
      <c r="W508" t="s">
        <v>3712</v>
      </c>
      <c r="X508" t="s">
        <v>2665</v>
      </c>
      <c r="Y508" t="s">
        <v>2054</v>
      </c>
      <c r="Z508" t="s">
        <v>1136</v>
      </c>
      <c r="AA508" t="s">
        <v>2795</v>
      </c>
      <c r="AB508" t="s">
        <v>2795</v>
      </c>
      <c r="AC508" t="s">
        <v>2665</v>
      </c>
      <c r="AD508" t="s">
        <v>2054</v>
      </c>
      <c r="AE508" t="s">
        <v>2054</v>
      </c>
    </row>
    <row r="509" spans="1:31" x14ac:dyDescent="0.25">
      <c r="A509" t="s">
        <v>1626</v>
      </c>
      <c r="B509" t="s">
        <v>1625</v>
      </c>
      <c r="C509" t="s">
        <v>3717</v>
      </c>
      <c r="D509" t="s">
        <v>1625</v>
      </c>
      <c r="E509" t="s">
        <v>2666</v>
      </c>
      <c r="F509" t="s">
        <v>2825</v>
      </c>
      <c r="G509" t="s">
        <v>2666</v>
      </c>
      <c r="H509" t="s">
        <v>2054</v>
      </c>
      <c r="I509" t="s">
        <v>2741</v>
      </c>
      <c r="J509" t="s">
        <v>2054</v>
      </c>
      <c r="K509" t="s">
        <v>2665</v>
      </c>
      <c r="L509" t="s">
        <v>1136</v>
      </c>
      <c r="M509" t="s">
        <v>2875</v>
      </c>
      <c r="N509" t="s">
        <v>2665</v>
      </c>
      <c r="O509" t="s">
        <v>2876</v>
      </c>
      <c r="P509" t="s">
        <v>3411</v>
      </c>
      <c r="Q509" t="s">
        <v>3412</v>
      </c>
      <c r="R509" t="s">
        <v>2665</v>
      </c>
      <c r="S509" t="s">
        <v>2779</v>
      </c>
      <c r="T509" t="s">
        <v>2780</v>
      </c>
      <c r="U509" t="s">
        <v>2665</v>
      </c>
      <c r="V509" t="s">
        <v>3711</v>
      </c>
      <c r="W509" t="s">
        <v>3712</v>
      </c>
      <c r="X509" t="s">
        <v>2665</v>
      </c>
      <c r="Y509" t="s">
        <v>2054</v>
      </c>
      <c r="Z509" t="s">
        <v>1136</v>
      </c>
      <c r="AA509" t="s">
        <v>2795</v>
      </c>
      <c r="AB509" t="s">
        <v>2795</v>
      </c>
      <c r="AC509" t="s">
        <v>2665</v>
      </c>
      <c r="AD509" t="s">
        <v>2054</v>
      </c>
      <c r="AE509" t="s">
        <v>2054</v>
      </c>
    </row>
    <row r="510" spans="1:31" x14ac:dyDescent="0.25">
      <c r="A510" t="s">
        <v>1628</v>
      </c>
      <c r="B510" t="s">
        <v>1627</v>
      </c>
      <c r="C510" t="s">
        <v>3718</v>
      </c>
      <c r="D510" t="s">
        <v>1627</v>
      </c>
      <c r="E510" t="s">
        <v>2666</v>
      </c>
      <c r="F510" t="s">
        <v>2825</v>
      </c>
      <c r="G510" t="s">
        <v>2666</v>
      </c>
      <c r="H510" t="s">
        <v>2054</v>
      </c>
      <c r="I510" t="s">
        <v>2741</v>
      </c>
      <c r="J510" t="s">
        <v>2054</v>
      </c>
      <c r="K510" t="s">
        <v>2665</v>
      </c>
      <c r="L510" t="s">
        <v>1136</v>
      </c>
      <c r="M510" t="s">
        <v>2875</v>
      </c>
      <c r="N510" t="s">
        <v>2665</v>
      </c>
      <c r="O510" t="s">
        <v>2876</v>
      </c>
      <c r="P510" t="s">
        <v>3411</v>
      </c>
      <c r="Q510" t="s">
        <v>3412</v>
      </c>
      <c r="R510" t="s">
        <v>2665</v>
      </c>
      <c r="S510" t="s">
        <v>2779</v>
      </c>
      <c r="T510" t="s">
        <v>2780</v>
      </c>
      <c r="U510" t="s">
        <v>2665</v>
      </c>
      <c r="V510" t="s">
        <v>3711</v>
      </c>
      <c r="W510" t="s">
        <v>3712</v>
      </c>
      <c r="X510" t="s">
        <v>2665</v>
      </c>
      <c r="Y510" t="s">
        <v>2054</v>
      </c>
      <c r="Z510" t="s">
        <v>1136</v>
      </c>
      <c r="AA510" t="s">
        <v>2795</v>
      </c>
      <c r="AB510" t="s">
        <v>2795</v>
      </c>
      <c r="AC510" t="s">
        <v>2665</v>
      </c>
      <c r="AD510" t="s">
        <v>2054</v>
      </c>
      <c r="AE510" t="s">
        <v>2054</v>
      </c>
    </row>
    <row r="511" spans="1:31" x14ac:dyDescent="0.25">
      <c r="A511" t="s">
        <v>809</v>
      </c>
      <c r="B511" t="s">
        <v>789</v>
      </c>
      <c r="C511" t="s">
        <v>3719</v>
      </c>
      <c r="D511" t="s">
        <v>799</v>
      </c>
      <c r="E511" t="s">
        <v>2666</v>
      </c>
      <c r="F511" t="s">
        <v>3720</v>
      </c>
      <c r="G511" t="s">
        <v>2666</v>
      </c>
      <c r="H511" t="s">
        <v>2054</v>
      </c>
      <c r="I511" t="s">
        <v>2778</v>
      </c>
      <c r="J511" t="s">
        <v>2054</v>
      </c>
      <c r="K511" t="s">
        <v>2665</v>
      </c>
      <c r="L511" t="s">
        <v>1179</v>
      </c>
      <c r="M511" t="s">
        <v>2878</v>
      </c>
      <c r="N511" t="s">
        <v>2665</v>
      </c>
      <c r="O511" t="s">
        <v>3576</v>
      </c>
      <c r="P511" t="s">
        <v>2898</v>
      </c>
      <c r="Q511" t="s">
        <v>3617</v>
      </c>
      <c r="R511" t="s">
        <v>2665</v>
      </c>
      <c r="S511" t="s">
        <v>2781</v>
      </c>
      <c r="T511" t="s">
        <v>2922</v>
      </c>
      <c r="U511" t="s">
        <v>2665</v>
      </c>
      <c r="V511" t="s">
        <v>3721</v>
      </c>
      <c r="W511" t="s">
        <v>3722</v>
      </c>
      <c r="X511" t="s">
        <v>2665</v>
      </c>
      <c r="Y511" t="s">
        <v>2054</v>
      </c>
      <c r="Z511" t="s">
        <v>1179</v>
      </c>
      <c r="AA511" t="s">
        <v>2763</v>
      </c>
      <c r="AB511" t="s">
        <v>2763</v>
      </c>
      <c r="AC511" t="s">
        <v>2665</v>
      </c>
      <c r="AD511" t="s">
        <v>2054</v>
      </c>
      <c r="AE511" t="s">
        <v>2054</v>
      </c>
    </row>
    <row r="512" spans="1:31" x14ac:dyDescent="0.25">
      <c r="A512" t="s">
        <v>810</v>
      </c>
      <c r="B512" t="s">
        <v>790</v>
      </c>
      <c r="C512" t="s">
        <v>3723</v>
      </c>
      <c r="D512" t="s">
        <v>800</v>
      </c>
      <c r="E512" t="s">
        <v>2666</v>
      </c>
      <c r="F512" t="s">
        <v>2931</v>
      </c>
      <c r="G512" t="s">
        <v>2666</v>
      </c>
      <c r="H512" t="s">
        <v>2054</v>
      </c>
      <c r="I512" t="s">
        <v>2778</v>
      </c>
      <c r="J512" t="s">
        <v>2054</v>
      </c>
      <c r="K512" t="s">
        <v>2665</v>
      </c>
      <c r="L512" t="s">
        <v>1179</v>
      </c>
      <c r="M512" t="s">
        <v>2878</v>
      </c>
      <c r="N512" t="s">
        <v>2665</v>
      </c>
      <c r="O512" t="s">
        <v>3576</v>
      </c>
      <c r="P512" t="s">
        <v>2898</v>
      </c>
      <c r="Q512" t="s">
        <v>3617</v>
      </c>
      <c r="R512" t="s">
        <v>2665</v>
      </c>
      <c r="S512" t="s">
        <v>2781</v>
      </c>
      <c r="T512" t="s">
        <v>2922</v>
      </c>
      <c r="U512" t="s">
        <v>2665</v>
      </c>
      <c r="V512" t="s">
        <v>3721</v>
      </c>
      <c r="W512" t="s">
        <v>3722</v>
      </c>
      <c r="X512" t="s">
        <v>2665</v>
      </c>
      <c r="Y512" t="s">
        <v>2054</v>
      </c>
      <c r="Z512" t="s">
        <v>1179</v>
      </c>
      <c r="AA512" t="s">
        <v>2763</v>
      </c>
      <c r="AB512" t="s">
        <v>2763</v>
      </c>
      <c r="AC512" t="s">
        <v>2665</v>
      </c>
      <c r="AD512" t="s">
        <v>2054</v>
      </c>
      <c r="AE512" t="s">
        <v>2054</v>
      </c>
    </row>
    <row r="513" spans="1:31" x14ac:dyDescent="0.25">
      <c r="A513" t="s">
        <v>811</v>
      </c>
      <c r="B513" t="s">
        <v>791</v>
      </c>
      <c r="C513" t="s">
        <v>3724</v>
      </c>
      <c r="D513" t="s">
        <v>801</v>
      </c>
      <c r="E513" t="s">
        <v>2666</v>
      </c>
      <c r="F513" t="s">
        <v>3725</v>
      </c>
      <c r="G513" t="s">
        <v>2666</v>
      </c>
      <c r="H513" t="s">
        <v>2054</v>
      </c>
      <c r="I513" t="s">
        <v>2778</v>
      </c>
      <c r="J513" t="s">
        <v>2054</v>
      </c>
      <c r="K513" t="s">
        <v>2665</v>
      </c>
      <c r="L513" t="s">
        <v>1179</v>
      </c>
      <c r="M513" t="s">
        <v>2878</v>
      </c>
      <c r="N513" t="s">
        <v>2665</v>
      </c>
      <c r="O513" t="s">
        <v>3576</v>
      </c>
      <c r="P513" t="s">
        <v>2898</v>
      </c>
      <c r="Q513" t="s">
        <v>3617</v>
      </c>
      <c r="R513" t="s">
        <v>2665</v>
      </c>
      <c r="S513" t="s">
        <v>2781</v>
      </c>
      <c r="T513" t="s">
        <v>2922</v>
      </c>
      <c r="U513" t="s">
        <v>2665</v>
      </c>
      <c r="V513" t="s">
        <v>3721</v>
      </c>
      <c r="W513" t="s">
        <v>3722</v>
      </c>
      <c r="X513" t="s">
        <v>2665</v>
      </c>
      <c r="Y513" t="s">
        <v>2054</v>
      </c>
      <c r="Z513" t="s">
        <v>1179</v>
      </c>
      <c r="AA513" t="s">
        <v>2763</v>
      </c>
      <c r="AB513" t="s">
        <v>2763</v>
      </c>
      <c r="AC513" t="s">
        <v>2665</v>
      </c>
      <c r="AD513" t="s">
        <v>2054</v>
      </c>
      <c r="AE513" t="s">
        <v>2054</v>
      </c>
    </row>
    <row r="514" spans="1:31" x14ac:dyDescent="0.25">
      <c r="A514" t="s">
        <v>1630</v>
      </c>
      <c r="B514" t="s">
        <v>1629</v>
      </c>
      <c r="C514" t="s">
        <v>3726</v>
      </c>
      <c r="D514" t="s">
        <v>3727</v>
      </c>
      <c r="E514" t="s">
        <v>2666</v>
      </c>
      <c r="F514" t="s">
        <v>3720</v>
      </c>
      <c r="G514" t="s">
        <v>2666</v>
      </c>
      <c r="H514" t="s">
        <v>2054</v>
      </c>
      <c r="I514" t="s">
        <v>2778</v>
      </c>
      <c r="J514" t="s">
        <v>2054</v>
      </c>
      <c r="K514" t="s">
        <v>2665</v>
      </c>
      <c r="L514" t="s">
        <v>1179</v>
      </c>
      <c r="M514" t="s">
        <v>2878</v>
      </c>
      <c r="N514" t="s">
        <v>2665</v>
      </c>
      <c r="O514" t="s">
        <v>3576</v>
      </c>
      <c r="P514" t="s">
        <v>2898</v>
      </c>
      <c r="Q514" t="s">
        <v>3617</v>
      </c>
      <c r="R514" t="s">
        <v>2665</v>
      </c>
      <c r="S514" t="s">
        <v>2781</v>
      </c>
      <c r="T514" t="s">
        <v>2922</v>
      </c>
      <c r="U514" t="s">
        <v>2665</v>
      </c>
      <c r="V514" t="s">
        <v>3721</v>
      </c>
      <c r="W514" t="s">
        <v>3722</v>
      </c>
      <c r="X514" t="s">
        <v>2665</v>
      </c>
      <c r="Y514" t="s">
        <v>2054</v>
      </c>
      <c r="Z514" t="s">
        <v>1179</v>
      </c>
      <c r="AA514" t="s">
        <v>2763</v>
      </c>
      <c r="AB514" t="s">
        <v>2763</v>
      </c>
      <c r="AC514" t="s">
        <v>2665</v>
      </c>
      <c r="AD514" t="s">
        <v>2054</v>
      </c>
      <c r="AE514" t="s">
        <v>2054</v>
      </c>
    </row>
    <row r="515" spans="1:31" x14ac:dyDescent="0.25">
      <c r="A515" t="s">
        <v>812</v>
      </c>
      <c r="B515" t="s">
        <v>792</v>
      </c>
      <c r="C515" t="s">
        <v>3728</v>
      </c>
      <c r="D515" t="s">
        <v>802</v>
      </c>
      <c r="E515" t="s">
        <v>2666</v>
      </c>
      <c r="F515" t="s">
        <v>3729</v>
      </c>
      <c r="G515" t="s">
        <v>2666</v>
      </c>
      <c r="H515" t="s">
        <v>2054</v>
      </c>
      <c r="I515" t="s">
        <v>2778</v>
      </c>
      <c r="J515" t="s">
        <v>2054</v>
      </c>
      <c r="K515" t="s">
        <v>2665</v>
      </c>
      <c r="L515" t="s">
        <v>1179</v>
      </c>
      <c r="M515" t="s">
        <v>2878</v>
      </c>
      <c r="N515" t="s">
        <v>2665</v>
      </c>
      <c r="O515" t="s">
        <v>3576</v>
      </c>
      <c r="P515" t="s">
        <v>2898</v>
      </c>
      <c r="Q515" t="s">
        <v>3617</v>
      </c>
      <c r="R515" t="s">
        <v>2665</v>
      </c>
      <c r="S515" t="s">
        <v>2781</v>
      </c>
      <c r="T515" t="s">
        <v>2922</v>
      </c>
      <c r="U515" t="s">
        <v>2665</v>
      </c>
      <c r="V515" t="s">
        <v>3721</v>
      </c>
      <c r="W515" t="s">
        <v>3722</v>
      </c>
      <c r="X515" t="s">
        <v>2665</v>
      </c>
      <c r="Y515" t="s">
        <v>2054</v>
      </c>
      <c r="Z515" t="s">
        <v>1179</v>
      </c>
      <c r="AA515" t="s">
        <v>2763</v>
      </c>
      <c r="AB515" t="s">
        <v>2763</v>
      </c>
      <c r="AC515" t="s">
        <v>2665</v>
      </c>
      <c r="AD515" t="s">
        <v>2054</v>
      </c>
      <c r="AE515" t="s">
        <v>2054</v>
      </c>
    </row>
    <row r="516" spans="1:31" x14ac:dyDescent="0.25">
      <c r="A516" t="s">
        <v>813</v>
      </c>
      <c r="B516" t="s">
        <v>793</v>
      </c>
      <c r="C516" t="s">
        <v>3730</v>
      </c>
      <c r="D516" t="s">
        <v>803</v>
      </c>
      <c r="E516" t="s">
        <v>2666</v>
      </c>
      <c r="F516" t="s">
        <v>3731</v>
      </c>
      <c r="G516" t="s">
        <v>2666</v>
      </c>
      <c r="H516" t="s">
        <v>2054</v>
      </c>
      <c r="I516" t="s">
        <v>2778</v>
      </c>
      <c r="J516" t="s">
        <v>2054</v>
      </c>
      <c r="K516" t="s">
        <v>2665</v>
      </c>
      <c r="L516" t="s">
        <v>1179</v>
      </c>
      <c r="M516" t="s">
        <v>2878</v>
      </c>
      <c r="N516" t="s">
        <v>2665</v>
      </c>
      <c r="O516" t="s">
        <v>3576</v>
      </c>
      <c r="P516" t="s">
        <v>2898</v>
      </c>
      <c r="Q516" t="s">
        <v>3617</v>
      </c>
      <c r="R516" t="s">
        <v>2665</v>
      </c>
      <c r="S516" t="s">
        <v>2781</v>
      </c>
      <c r="T516" t="s">
        <v>2922</v>
      </c>
      <c r="U516" t="s">
        <v>2665</v>
      </c>
      <c r="V516" t="s">
        <v>3721</v>
      </c>
      <c r="W516" t="s">
        <v>3722</v>
      </c>
      <c r="X516" t="s">
        <v>2665</v>
      </c>
      <c r="Y516" t="s">
        <v>2054</v>
      </c>
      <c r="Z516" t="s">
        <v>1179</v>
      </c>
      <c r="AA516" t="s">
        <v>2763</v>
      </c>
      <c r="AB516" t="s">
        <v>2763</v>
      </c>
      <c r="AC516" t="s">
        <v>2665</v>
      </c>
      <c r="AD516" t="s">
        <v>2054</v>
      </c>
      <c r="AE516" t="s">
        <v>2054</v>
      </c>
    </row>
    <row r="517" spans="1:31" x14ac:dyDescent="0.25">
      <c r="A517" t="s">
        <v>814</v>
      </c>
      <c r="B517" t="s">
        <v>794</v>
      </c>
      <c r="C517" t="s">
        <v>3732</v>
      </c>
      <c r="D517" t="s">
        <v>804</v>
      </c>
      <c r="E517" t="s">
        <v>2666</v>
      </c>
      <c r="F517" t="s">
        <v>3683</v>
      </c>
      <c r="G517" t="s">
        <v>2666</v>
      </c>
      <c r="H517" t="s">
        <v>2054</v>
      </c>
      <c r="I517" t="s">
        <v>2778</v>
      </c>
      <c r="J517" t="s">
        <v>2054</v>
      </c>
      <c r="K517" t="s">
        <v>2665</v>
      </c>
      <c r="L517" t="s">
        <v>1179</v>
      </c>
      <c r="M517" t="s">
        <v>2878</v>
      </c>
      <c r="N517" t="s">
        <v>2665</v>
      </c>
      <c r="O517" t="s">
        <v>3576</v>
      </c>
      <c r="P517" t="s">
        <v>2898</v>
      </c>
      <c r="Q517" t="s">
        <v>3617</v>
      </c>
      <c r="R517" t="s">
        <v>2665</v>
      </c>
      <c r="S517" t="s">
        <v>2781</v>
      </c>
      <c r="T517" t="s">
        <v>2922</v>
      </c>
      <c r="U517" t="s">
        <v>2665</v>
      </c>
      <c r="V517" t="s">
        <v>3721</v>
      </c>
      <c r="W517" t="s">
        <v>3722</v>
      </c>
      <c r="X517" t="s">
        <v>2665</v>
      </c>
      <c r="Y517" t="s">
        <v>2054</v>
      </c>
      <c r="Z517" t="s">
        <v>1179</v>
      </c>
      <c r="AA517" t="s">
        <v>2797</v>
      </c>
      <c r="AB517" t="s">
        <v>2797</v>
      </c>
      <c r="AC517" t="s">
        <v>2665</v>
      </c>
      <c r="AD517" t="s">
        <v>2054</v>
      </c>
      <c r="AE517" t="s">
        <v>2054</v>
      </c>
    </row>
    <row r="518" spans="1:31" x14ac:dyDescent="0.25">
      <c r="A518" t="s">
        <v>1632</v>
      </c>
      <c r="B518" t="s">
        <v>1631</v>
      </c>
      <c r="C518" t="s">
        <v>3733</v>
      </c>
      <c r="D518" t="s">
        <v>3734</v>
      </c>
      <c r="E518" t="s">
        <v>2666</v>
      </c>
      <c r="F518" t="s">
        <v>3720</v>
      </c>
      <c r="G518" t="s">
        <v>2666</v>
      </c>
      <c r="H518" t="s">
        <v>2054</v>
      </c>
      <c r="I518" t="s">
        <v>2778</v>
      </c>
      <c r="J518" t="s">
        <v>2054</v>
      </c>
      <c r="K518" t="s">
        <v>2665</v>
      </c>
      <c r="L518" t="s">
        <v>1179</v>
      </c>
      <c r="M518" t="s">
        <v>2878</v>
      </c>
      <c r="N518" t="s">
        <v>2665</v>
      </c>
      <c r="O518" t="s">
        <v>3576</v>
      </c>
      <c r="P518" t="s">
        <v>2898</v>
      </c>
      <c r="Q518" t="s">
        <v>3617</v>
      </c>
      <c r="R518" t="s">
        <v>2665</v>
      </c>
      <c r="S518" t="s">
        <v>2781</v>
      </c>
      <c r="T518" t="s">
        <v>2922</v>
      </c>
      <c r="U518" t="s">
        <v>2665</v>
      </c>
      <c r="V518" t="s">
        <v>3721</v>
      </c>
      <c r="W518" t="s">
        <v>3722</v>
      </c>
      <c r="X518" t="s">
        <v>2665</v>
      </c>
      <c r="Y518" t="s">
        <v>2054</v>
      </c>
      <c r="Z518" t="s">
        <v>1179</v>
      </c>
      <c r="AA518" t="s">
        <v>2763</v>
      </c>
      <c r="AB518" t="s">
        <v>2763</v>
      </c>
      <c r="AC518" t="s">
        <v>2665</v>
      </c>
      <c r="AD518" t="s">
        <v>2054</v>
      </c>
      <c r="AE518" t="s">
        <v>2054</v>
      </c>
    </row>
    <row r="519" spans="1:31" x14ac:dyDescent="0.25">
      <c r="A519" t="s">
        <v>815</v>
      </c>
      <c r="B519" t="s">
        <v>795</v>
      </c>
      <c r="C519" t="s">
        <v>3735</v>
      </c>
      <c r="D519" t="s">
        <v>805</v>
      </c>
      <c r="E519" t="s">
        <v>2666</v>
      </c>
      <c r="F519" t="s">
        <v>3729</v>
      </c>
      <c r="G519" t="s">
        <v>2666</v>
      </c>
      <c r="H519" t="s">
        <v>2054</v>
      </c>
      <c r="I519" t="s">
        <v>2778</v>
      </c>
      <c r="J519" t="s">
        <v>2054</v>
      </c>
      <c r="K519" t="s">
        <v>2665</v>
      </c>
      <c r="L519" t="s">
        <v>1179</v>
      </c>
      <c r="M519" t="s">
        <v>2878</v>
      </c>
      <c r="N519" t="s">
        <v>2665</v>
      </c>
      <c r="O519" t="s">
        <v>3576</v>
      </c>
      <c r="P519" t="s">
        <v>2898</v>
      </c>
      <c r="Q519" t="s">
        <v>3617</v>
      </c>
      <c r="R519" t="s">
        <v>2665</v>
      </c>
      <c r="S519" t="s">
        <v>2781</v>
      </c>
      <c r="T519" t="s">
        <v>2922</v>
      </c>
      <c r="U519" t="s">
        <v>2665</v>
      </c>
      <c r="V519" t="s">
        <v>3721</v>
      </c>
      <c r="W519" t="s">
        <v>3722</v>
      </c>
      <c r="X519" t="s">
        <v>2665</v>
      </c>
      <c r="Y519" t="s">
        <v>2054</v>
      </c>
      <c r="Z519" t="s">
        <v>1179</v>
      </c>
      <c r="AA519" t="s">
        <v>2763</v>
      </c>
      <c r="AB519" t="s">
        <v>2763</v>
      </c>
      <c r="AC519" t="s">
        <v>2665</v>
      </c>
      <c r="AD519" t="s">
        <v>2054</v>
      </c>
      <c r="AE519" t="s">
        <v>2054</v>
      </c>
    </row>
    <row r="520" spans="1:31" x14ac:dyDescent="0.25">
      <c r="A520" t="s">
        <v>1634</v>
      </c>
      <c r="B520" t="s">
        <v>1633</v>
      </c>
      <c r="C520" t="s">
        <v>3736</v>
      </c>
      <c r="D520" t="s">
        <v>3737</v>
      </c>
      <c r="E520" t="s">
        <v>2666</v>
      </c>
      <c r="F520" t="s">
        <v>3731</v>
      </c>
      <c r="G520" t="s">
        <v>2666</v>
      </c>
      <c r="H520" t="s">
        <v>2054</v>
      </c>
      <c r="I520" t="s">
        <v>2778</v>
      </c>
      <c r="J520" t="s">
        <v>2054</v>
      </c>
      <c r="K520" t="s">
        <v>2665</v>
      </c>
      <c r="L520" t="s">
        <v>1179</v>
      </c>
      <c r="M520" t="s">
        <v>2878</v>
      </c>
      <c r="N520" t="s">
        <v>2665</v>
      </c>
      <c r="O520" t="s">
        <v>3576</v>
      </c>
      <c r="P520" t="s">
        <v>2898</v>
      </c>
      <c r="Q520" t="s">
        <v>3617</v>
      </c>
      <c r="R520" t="s">
        <v>2665</v>
      </c>
      <c r="S520" t="s">
        <v>2781</v>
      </c>
      <c r="T520" t="s">
        <v>2922</v>
      </c>
      <c r="U520" t="s">
        <v>2665</v>
      </c>
      <c r="V520" t="s">
        <v>3721</v>
      </c>
      <c r="W520" t="s">
        <v>3722</v>
      </c>
      <c r="X520" t="s">
        <v>2665</v>
      </c>
      <c r="Y520" t="s">
        <v>2054</v>
      </c>
      <c r="Z520" t="s">
        <v>1179</v>
      </c>
      <c r="AA520" t="s">
        <v>2763</v>
      </c>
      <c r="AB520" t="s">
        <v>2763</v>
      </c>
      <c r="AC520" t="s">
        <v>2665</v>
      </c>
      <c r="AD520" t="s">
        <v>2054</v>
      </c>
      <c r="AE520" t="s">
        <v>2054</v>
      </c>
    </row>
    <row r="521" spans="1:31" x14ac:dyDescent="0.25">
      <c r="A521" t="s">
        <v>816</v>
      </c>
      <c r="B521" t="s">
        <v>796</v>
      </c>
      <c r="C521" t="s">
        <v>3738</v>
      </c>
      <c r="D521" t="s">
        <v>806</v>
      </c>
      <c r="E521" t="s">
        <v>2666</v>
      </c>
      <c r="F521" t="s">
        <v>3720</v>
      </c>
      <c r="G521" t="s">
        <v>2666</v>
      </c>
      <c r="H521" t="s">
        <v>2054</v>
      </c>
      <c r="I521" t="s">
        <v>2778</v>
      </c>
      <c r="J521" t="s">
        <v>2054</v>
      </c>
      <c r="K521" t="s">
        <v>2665</v>
      </c>
      <c r="L521" t="s">
        <v>1179</v>
      </c>
      <c r="M521" t="s">
        <v>2878</v>
      </c>
      <c r="N521" t="s">
        <v>2665</v>
      </c>
      <c r="O521" t="s">
        <v>3576</v>
      </c>
      <c r="P521" t="s">
        <v>2898</v>
      </c>
      <c r="Q521" t="s">
        <v>3617</v>
      </c>
      <c r="R521" t="s">
        <v>2665</v>
      </c>
      <c r="S521" t="s">
        <v>2781</v>
      </c>
      <c r="T521" t="s">
        <v>2922</v>
      </c>
      <c r="U521" t="s">
        <v>2665</v>
      </c>
      <c r="V521" t="s">
        <v>3721</v>
      </c>
      <c r="W521" t="s">
        <v>3722</v>
      </c>
      <c r="X521" t="s">
        <v>2665</v>
      </c>
      <c r="Y521" t="s">
        <v>2054</v>
      </c>
      <c r="Z521" t="s">
        <v>1179</v>
      </c>
      <c r="AA521" t="s">
        <v>2763</v>
      </c>
      <c r="AB521" t="s">
        <v>2763</v>
      </c>
      <c r="AC521" t="s">
        <v>2665</v>
      </c>
      <c r="AD521" t="s">
        <v>2054</v>
      </c>
      <c r="AE521" t="s">
        <v>2054</v>
      </c>
    </row>
    <row r="522" spans="1:31" x14ac:dyDescent="0.25">
      <c r="A522" t="s">
        <v>817</v>
      </c>
      <c r="B522" t="s">
        <v>797</v>
      </c>
      <c r="C522" t="s">
        <v>3739</v>
      </c>
      <c r="D522" t="s">
        <v>807</v>
      </c>
      <c r="E522" t="s">
        <v>2666</v>
      </c>
      <c r="F522" t="s">
        <v>3731</v>
      </c>
      <c r="G522" t="s">
        <v>2666</v>
      </c>
      <c r="H522" t="s">
        <v>2054</v>
      </c>
      <c r="I522" t="s">
        <v>2778</v>
      </c>
      <c r="J522" t="s">
        <v>2054</v>
      </c>
      <c r="K522" t="s">
        <v>2665</v>
      </c>
      <c r="L522" t="s">
        <v>1179</v>
      </c>
      <c r="M522" t="s">
        <v>2878</v>
      </c>
      <c r="N522" t="s">
        <v>2665</v>
      </c>
      <c r="O522" t="s">
        <v>3576</v>
      </c>
      <c r="P522" t="s">
        <v>2898</v>
      </c>
      <c r="Q522" t="s">
        <v>3617</v>
      </c>
      <c r="R522" t="s">
        <v>2665</v>
      </c>
      <c r="S522" t="s">
        <v>2781</v>
      </c>
      <c r="T522" t="s">
        <v>2922</v>
      </c>
      <c r="U522" t="s">
        <v>2665</v>
      </c>
      <c r="V522" t="s">
        <v>3721</v>
      </c>
      <c r="W522" t="s">
        <v>3722</v>
      </c>
      <c r="X522" t="s">
        <v>2665</v>
      </c>
      <c r="Y522" t="s">
        <v>2054</v>
      </c>
      <c r="Z522" t="s">
        <v>1179</v>
      </c>
      <c r="AA522" t="s">
        <v>2763</v>
      </c>
      <c r="AB522" t="s">
        <v>2763</v>
      </c>
      <c r="AC522" t="s">
        <v>2665</v>
      </c>
      <c r="AD522" t="s">
        <v>2054</v>
      </c>
      <c r="AE522" t="s">
        <v>2054</v>
      </c>
    </row>
    <row r="523" spans="1:31" x14ac:dyDescent="0.25">
      <c r="A523" t="s">
        <v>818</v>
      </c>
      <c r="B523" t="s">
        <v>798</v>
      </c>
      <c r="C523" t="s">
        <v>3740</v>
      </c>
      <c r="D523" t="s">
        <v>808</v>
      </c>
      <c r="E523" t="s">
        <v>2666</v>
      </c>
      <c r="F523" t="s">
        <v>3729</v>
      </c>
      <c r="G523" t="s">
        <v>2666</v>
      </c>
      <c r="H523" t="s">
        <v>2054</v>
      </c>
      <c r="I523" t="s">
        <v>2778</v>
      </c>
      <c r="J523" t="s">
        <v>2054</v>
      </c>
      <c r="K523" t="s">
        <v>2665</v>
      </c>
      <c r="L523" t="s">
        <v>1179</v>
      </c>
      <c r="M523" t="s">
        <v>2878</v>
      </c>
      <c r="N523" t="s">
        <v>2665</v>
      </c>
      <c r="O523" t="s">
        <v>3576</v>
      </c>
      <c r="P523" t="s">
        <v>2898</v>
      </c>
      <c r="Q523" t="s">
        <v>3617</v>
      </c>
      <c r="R523" t="s">
        <v>2665</v>
      </c>
      <c r="S523" t="s">
        <v>2781</v>
      </c>
      <c r="T523" t="s">
        <v>2922</v>
      </c>
      <c r="U523" t="s">
        <v>2665</v>
      </c>
      <c r="V523" t="s">
        <v>3721</v>
      </c>
      <c r="W523" t="s">
        <v>3722</v>
      </c>
      <c r="X523" t="s">
        <v>2665</v>
      </c>
      <c r="Y523" t="s">
        <v>2054</v>
      </c>
      <c r="Z523" t="s">
        <v>1179</v>
      </c>
      <c r="AA523" t="s">
        <v>2763</v>
      </c>
      <c r="AB523" t="s">
        <v>2763</v>
      </c>
      <c r="AC523" t="s">
        <v>2665</v>
      </c>
      <c r="AD523" t="s">
        <v>2054</v>
      </c>
      <c r="AE523" t="s">
        <v>2054</v>
      </c>
    </row>
    <row r="524" spans="1:31" x14ac:dyDescent="0.25">
      <c r="A524" t="s">
        <v>1636</v>
      </c>
      <c r="B524" t="s">
        <v>1635</v>
      </c>
      <c r="C524" t="s">
        <v>3741</v>
      </c>
      <c r="D524" t="s">
        <v>1635</v>
      </c>
      <c r="E524" t="s">
        <v>2666</v>
      </c>
      <c r="F524" t="s">
        <v>2825</v>
      </c>
      <c r="G524" t="s">
        <v>2666</v>
      </c>
      <c r="H524" t="s">
        <v>2054</v>
      </c>
      <c r="I524" t="s">
        <v>2741</v>
      </c>
      <c r="J524" t="s">
        <v>2054</v>
      </c>
      <c r="K524" t="s">
        <v>2665</v>
      </c>
      <c r="L524" t="s">
        <v>1136</v>
      </c>
      <c r="M524" t="s">
        <v>2875</v>
      </c>
      <c r="N524" t="s">
        <v>2665</v>
      </c>
      <c r="O524" t="s">
        <v>2876</v>
      </c>
      <c r="P524" t="s">
        <v>3411</v>
      </c>
      <c r="Q524" t="s">
        <v>3412</v>
      </c>
      <c r="R524" t="s">
        <v>2665</v>
      </c>
      <c r="S524" t="s">
        <v>2779</v>
      </c>
      <c r="T524" t="s">
        <v>2780</v>
      </c>
      <c r="U524" t="s">
        <v>2665</v>
      </c>
      <c r="V524" t="s">
        <v>3711</v>
      </c>
      <c r="W524" t="s">
        <v>3712</v>
      </c>
      <c r="X524" t="s">
        <v>2665</v>
      </c>
      <c r="Y524" t="s">
        <v>2054</v>
      </c>
      <c r="Z524" t="s">
        <v>1136</v>
      </c>
      <c r="AA524" t="s">
        <v>2795</v>
      </c>
      <c r="AB524" t="s">
        <v>2795</v>
      </c>
      <c r="AC524" t="s">
        <v>2665</v>
      </c>
      <c r="AD524" t="s">
        <v>2054</v>
      </c>
      <c r="AE524" t="s">
        <v>2054</v>
      </c>
    </row>
    <row r="525" spans="1:31" x14ac:dyDescent="0.25">
      <c r="A525" t="s">
        <v>1638</v>
      </c>
      <c r="B525" t="s">
        <v>1637</v>
      </c>
      <c r="C525" t="s">
        <v>3742</v>
      </c>
      <c r="D525" t="s">
        <v>1637</v>
      </c>
      <c r="E525" t="s">
        <v>2666</v>
      </c>
      <c r="F525" t="s">
        <v>2825</v>
      </c>
      <c r="G525" t="s">
        <v>2666</v>
      </c>
      <c r="H525" t="s">
        <v>2054</v>
      </c>
      <c r="I525" t="s">
        <v>2741</v>
      </c>
      <c r="J525" t="s">
        <v>2054</v>
      </c>
      <c r="K525" t="s">
        <v>2665</v>
      </c>
      <c r="L525" t="s">
        <v>1136</v>
      </c>
      <c r="M525" t="s">
        <v>2875</v>
      </c>
      <c r="N525" t="s">
        <v>2665</v>
      </c>
      <c r="O525" t="s">
        <v>2876</v>
      </c>
      <c r="P525" t="s">
        <v>3411</v>
      </c>
      <c r="Q525" t="s">
        <v>3412</v>
      </c>
      <c r="R525" t="s">
        <v>2665</v>
      </c>
      <c r="S525" t="s">
        <v>2779</v>
      </c>
      <c r="T525" t="s">
        <v>2780</v>
      </c>
      <c r="U525" t="s">
        <v>2665</v>
      </c>
      <c r="V525" t="s">
        <v>3711</v>
      </c>
      <c r="W525" t="s">
        <v>3712</v>
      </c>
      <c r="X525" t="s">
        <v>2665</v>
      </c>
      <c r="Y525" t="s">
        <v>2054</v>
      </c>
      <c r="Z525" t="s">
        <v>1136</v>
      </c>
      <c r="AA525" t="s">
        <v>2795</v>
      </c>
      <c r="AB525" t="s">
        <v>2795</v>
      </c>
      <c r="AC525" t="s">
        <v>2665</v>
      </c>
      <c r="AD525" t="s">
        <v>2054</v>
      </c>
      <c r="AE525" t="s">
        <v>2054</v>
      </c>
    </row>
    <row r="526" spans="1:31" x14ac:dyDescent="0.25">
      <c r="A526" t="s">
        <v>1640</v>
      </c>
      <c r="B526" t="s">
        <v>1639</v>
      </c>
      <c r="C526" t="s">
        <v>3743</v>
      </c>
      <c r="D526" t="s">
        <v>1639</v>
      </c>
      <c r="E526" t="s">
        <v>2666</v>
      </c>
      <c r="F526" t="s">
        <v>3744</v>
      </c>
      <c r="G526" t="s">
        <v>2666</v>
      </c>
      <c r="H526" t="s">
        <v>2054</v>
      </c>
      <c r="I526" t="s">
        <v>2741</v>
      </c>
      <c r="J526" t="s">
        <v>2054</v>
      </c>
      <c r="K526" t="s">
        <v>2665</v>
      </c>
      <c r="L526" t="s">
        <v>1136</v>
      </c>
      <c r="M526" t="s">
        <v>2875</v>
      </c>
      <c r="N526" t="s">
        <v>2665</v>
      </c>
      <c r="O526" t="s">
        <v>2876</v>
      </c>
      <c r="P526" t="s">
        <v>3411</v>
      </c>
      <c r="Q526" t="s">
        <v>3412</v>
      </c>
      <c r="R526" t="s">
        <v>2665</v>
      </c>
      <c r="S526" t="s">
        <v>2779</v>
      </c>
      <c r="T526" t="s">
        <v>2780</v>
      </c>
      <c r="U526" t="s">
        <v>2665</v>
      </c>
      <c r="V526" t="s">
        <v>3711</v>
      </c>
      <c r="W526" t="s">
        <v>3712</v>
      </c>
      <c r="X526" t="s">
        <v>2665</v>
      </c>
      <c r="Y526" t="s">
        <v>2054</v>
      </c>
      <c r="Z526" t="s">
        <v>1136</v>
      </c>
      <c r="AA526" t="s">
        <v>2795</v>
      </c>
      <c r="AB526" t="s">
        <v>2795</v>
      </c>
      <c r="AC526" t="s">
        <v>2665</v>
      </c>
      <c r="AD526" t="s">
        <v>2054</v>
      </c>
      <c r="AE526" t="s">
        <v>2054</v>
      </c>
    </row>
    <row r="527" spans="1:31" x14ac:dyDescent="0.25">
      <c r="A527" t="s">
        <v>1642</v>
      </c>
      <c r="B527" t="s">
        <v>1641</v>
      </c>
      <c r="C527" t="s">
        <v>3745</v>
      </c>
      <c r="D527" t="s">
        <v>1641</v>
      </c>
      <c r="E527" t="s">
        <v>2666</v>
      </c>
      <c r="F527" t="s">
        <v>2889</v>
      </c>
      <c r="G527" t="s">
        <v>2666</v>
      </c>
      <c r="H527" t="s">
        <v>2054</v>
      </c>
      <c r="I527" t="s">
        <v>2741</v>
      </c>
      <c r="J527" t="s">
        <v>2054</v>
      </c>
      <c r="K527" t="s">
        <v>2665</v>
      </c>
      <c r="L527" t="s">
        <v>1136</v>
      </c>
      <c r="M527" t="s">
        <v>2875</v>
      </c>
      <c r="N527" t="s">
        <v>2665</v>
      </c>
      <c r="O527" t="s">
        <v>2876</v>
      </c>
      <c r="P527" t="s">
        <v>3411</v>
      </c>
      <c r="Q527" t="s">
        <v>3412</v>
      </c>
      <c r="R527" t="s">
        <v>2665</v>
      </c>
      <c r="S527" t="s">
        <v>2779</v>
      </c>
      <c r="T527" t="s">
        <v>2780</v>
      </c>
      <c r="U527" t="s">
        <v>2665</v>
      </c>
      <c r="V527" t="s">
        <v>3711</v>
      </c>
      <c r="W527" t="s">
        <v>3712</v>
      </c>
      <c r="X527" t="s">
        <v>2665</v>
      </c>
      <c r="Y527" t="s">
        <v>2054</v>
      </c>
      <c r="Z527" t="s">
        <v>1136</v>
      </c>
      <c r="AA527" t="s">
        <v>2795</v>
      </c>
      <c r="AB527" t="s">
        <v>2795</v>
      </c>
      <c r="AC527" t="s">
        <v>2665</v>
      </c>
      <c r="AD527" t="s">
        <v>2054</v>
      </c>
      <c r="AE527" t="s">
        <v>2054</v>
      </c>
    </row>
    <row r="528" spans="1:31" x14ac:dyDescent="0.25">
      <c r="A528" t="s">
        <v>1644</v>
      </c>
      <c r="B528" t="s">
        <v>1643</v>
      </c>
      <c r="C528" t="s">
        <v>3746</v>
      </c>
      <c r="D528" t="s">
        <v>1643</v>
      </c>
      <c r="E528" t="s">
        <v>2666</v>
      </c>
      <c r="F528" t="s">
        <v>2889</v>
      </c>
      <c r="G528" t="s">
        <v>2666</v>
      </c>
      <c r="H528" t="s">
        <v>2054</v>
      </c>
      <c r="I528" t="s">
        <v>2741</v>
      </c>
      <c r="J528" t="s">
        <v>2054</v>
      </c>
      <c r="K528" t="s">
        <v>2665</v>
      </c>
      <c r="L528" t="s">
        <v>1136</v>
      </c>
      <c r="M528" t="s">
        <v>2875</v>
      </c>
      <c r="N528" t="s">
        <v>2665</v>
      </c>
      <c r="O528" t="s">
        <v>2876</v>
      </c>
      <c r="P528" t="s">
        <v>3411</v>
      </c>
      <c r="Q528" t="s">
        <v>3412</v>
      </c>
      <c r="R528" t="s">
        <v>2665</v>
      </c>
      <c r="S528" t="s">
        <v>2779</v>
      </c>
      <c r="T528" t="s">
        <v>2780</v>
      </c>
      <c r="U528" t="s">
        <v>2665</v>
      </c>
      <c r="V528" t="s">
        <v>3711</v>
      </c>
      <c r="W528" t="s">
        <v>3712</v>
      </c>
      <c r="X528" t="s">
        <v>2665</v>
      </c>
      <c r="Y528" t="s">
        <v>2054</v>
      </c>
      <c r="Z528" t="s">
        <v>1136</v>
      </c>
      <c r="AA528" t="s">
        <v>2795</v>
      </c>
      <c r="AB528" t="s">
        <v>2795</v>
      </c>
      <c r="AC528" t="s">
        <v>2665</v>
      </c>
      <c r="AD528" t="s">
        <v>2054</v>
      </c>
      <c r="AE528" t="s">
        <v>2054</v>
      </c>
    </row>
    <row r="529" spans="1:31" x14ac:dyDescent="0.25">
      <c r="A529" t="s">
        <v>1646</v>
      </c>
      <c r="B529" t="s">
        <v>1645</v>
      </c>
      <c r="C529" t="s">
        <v>3747</v>
      </c>
      <c r="D529" t="s">
        <v>1645</v>
      </c>
      <c r="E529" t="s">
        <v>2666</v>
      </c>
      <c r="F529" t="s">
        <v>2838</v>
      </c>
      <c r="G529" t="s">
        <v>2666</v>
      </c>
      <c r="H529" t="s">
        <v>2054</v>
      </c>
      <c r="I529" t="s">
        <v>2741</v>
      </c>
      <c r="J529" t="s">
        <v>2054</v>
      </c>
      <c r="K529" t="s">
        <v>2665</v>
      </c>
      <c r="L529" t="s">
        <v>1136</v>
      </c>
      <c r="M529" t="s">
        <v>2875</v>
      </c>
      <c r="N529" t="s">
        <v>2665</v>
      </c>
      <c r="O529" t="s">
        <v>2876</v>
      </c>
      <c r="P529" t="s">
        <v>3411</v>
      </c>
      <c r="Q529" t="s">
        <v>3412</v>
      </c>
      <c r="R529" t="s">
        <v>2665</v>
      </c>
      <c r="S529" t="s">
        <v>2779</v>
      </c>
      <c r="T529" t="s">
        <v>2780</v>
      </c>
      <c r="U529" t="s">
        <v>2665</v>
      </c>
      <c r="V529" t="s">
        <v>3711</v>
      </c>
      <c r="W529" t="s">
        <v>3712</v>
      </c>
      <c r="X529" t="s">
        <v>2665</v>
      </c>
      <c r="Y529" t="s">
        <v>2054</v>
      </c>
      <c r="Z529" t="s">
        <v>1136</v>
      </c>
      <c r="AA529" t="s">
        <v>2795</v>
      </c>
      <c r="AB529" t="s">
        <v>2795</v>
      </c>
      <c r="AC529" t="s">
        <v>2665</v>
      </c>
      <c r="AD529" t="s">
        <v>2054</v>
      </c>
      <c r="AE529" t="s">
        <v>2054</v>
      </c>
    </row>
    <row r="530" spans="1:31" x14ac:dyDescent="0.25">
      <c r="A530" t="s">
        <v>1648</v>
      </c>
      <c r="B530" t="s">
        <v>1647</v>
      </c>
      <c r="C530" t="s">
        <v>3748</v>
      </c>
      <c r="D530" t="s">
        <v>1647</v>
      </c>
      <c r="E530" t="s">
        <v>2666</v>
      </c>
      <c r="F530" t="s">
        <v>3001</v>
      </c>
      <c r="G530" t="s">
        <v>2666</v>
      </c>
      <c r="H530" t="s">
        <v>2054</v>
      </c>
      <c r="I530" t="s">
        <v>2741</v>
      </c>
      <c r="J530" t="s">
        <v>2054</v>
      </c>
      <c r="K530" t="s">
        <v>2665</v>
      </c>
      <c r="L530" t="s">
        <v>1136</v>
      </c>
      <c r="M530" t="s">
        <v>2875</v>
      </c>
      <c r="N530" t="s">
        <v>2665</v>
      </c>
      <c r="O530" t="s">
        <v>2876</v>
      </c>
      <c r="P530" t="s">
        <v>3411</v>
      </c>
      <c r="Q530" t="s">
        <v>3412</v>
      </c>
      <c r="R530" t="s">
        <v>2665</v>
      </c>
      <c r="S530" t="s">
        <v>2779</v>
      </c>
      <c r="T530" t="s">
        <v>2780</v>
      </c>
      <c r="U530" t="s">
        <v>2665</v>
      </c>
      <c r="V530" t="s">
        <v>3711</v>
      </c>
      <c r="W530" t="s">
        <v>3712</v>
      </c>
      <c r="X530" t="s">
        <v>2665</v>
      </c>
      <c r="Y530" t="s">
        <v>2054</v>
      </c>
      <c r="Z530" t="s">
        <v>1136</v>
      </c>
      <c r="AA530" t="s">
        <v>2795</v>
      </c>
      <c r="AB530" t="s">
        <v>2795</v>
      </c>
      <c r="AC530" t="s">
        <v>2665</v>
      </c>
      <c r="AD530" t="s">
        <v>2054</v>
      </c>
      <c r="AE530" t="s">
        <v>2726</v>
      </c>
    </row>
    <row r="531" spans="1:31" x14ac:dyDescent="0.25">
      <c r="A531" t="s">
        <v>1650</v>
      </c>
      <c r="B531" t="s">
        <v>1649</v>
      </c>
      <c r="C531" t="s">
        <v>3749</v>
      </c>
      <c r="D531" t="s">
        <v>1649</v>
      </c>
      <c r="E531" t="s">
        <v>2666</v>
      </c>
      <c r="F531" t="s">
        <v>3750</v>
      </c>
      <c r="G531" t="s">
        <v>2666</v>
      </c>
      <c r="H531" t="s">
        <v>2054</v>
      </c>
      <c r="I531" t="s">
        <v>2741</v>
      </c>
      <c r="J531" t="s">
        <v>2054</v>
      </c>
      <c r="K531" t="s">
        <v>2665</v>
      </c>
      <c r="L531" t="s">
        <v>1136</v>
      </c>
      <c r="M531" t="s">
        <v>2875</v>
      </c>
      <c r="N531" t="s">
        <v>2665</v>
      </c>
      <c r="O531" t="s">
        <v>2876</v>
      </c>
      <c r="P531" t="s">
        <v>3411</v>
      </c>
      <c r="Q531" t="s">
        <v>3412</v>
      </c>
      <c r="R531" t="s">
        <v>2665</v>
      </c>
      <c r="S531" t="s">
        <v>2779</v>
      </c>
      <c r="T531" t="s">
        <v>2780</v>
      </c>
      <c r="U531" t="s">
        <v>2665</v>
      </c>
      <c r="V531" t="s">
        <v>3711</v>
      </c>
      <c r="W531" t="s">
        <v>3712</v>
      </c>
      <c r="X531" t="s">
        <v>2665</v>
      </c>
      <c r="Y531" t="s">
        <v>2054</v>
      </c>
      <c r="Z531" t="s">
        <v>1136</v>
      </c>
      <c r="AA531" t="s">
        <v>2795</v>
      </c>
      <c r="AB531" t="s">
        <v>2795</v>
      </c>
      <c r="AC531" t="s">
        <v>2665</v>
      </c>
      <c r="AD531" t="s">
        <v>2054</v>
      </c>
      <c r="AE531" t="s">
        <v>2726</v>
      </c>
    </row>
    <row r="532" spans="1:31" x14ac:dyDescent="0.25">
      <c r="A532" t="s">
        <v>1652</v>
      </c>
      <c r="B532" t="s">
        <v>1651</v>
      </c>
      <c r="C532" t="s">
        <v>3751</v>
      </c>
      <c r="D532" t="s">
        <v>1651</v>
      </c>
      <c r="E532" t="s">
        <v>2666</v>
      </c>
      <c r="F532" t="s">
        <v>3752</v>
      </c>
      <c r="G532" t="s">
        <v>2666</v>
      </c>
      <c r="H532" t="s">
        <v>2054</v>
      </c>
      <c r="I532" t="s">
        <v>2741</v>
      </c>
      <c r="J532" t="s">
        <v>2054</v>
      </c>
      <c r="K532" t="s">
        <v>2665</v>
      </c>
      <c r="L532" t="s">
        <v>1136</v>
      </c>
      <c r="M532" t="s">
        <v>2875</v>
      </c>
      <c r="N532" t="s">
        <v>2665</v>
      </c>
      <c r="O532" t="s">
        <v>2876</v>
      </c>
      <c r="P532" t="s">
        <v>3411</v>
      </c>
      <c r="Q532" t="s">
        <v>3412</v>
      </c>
      <c r="R532" t="s">
        <v>2665</v>
      </c>
      <c r="S532" t="s">
        <v>2779</v>
      </c>
      <c r="T532" t="s">
        <v>2780</v>
      </c>
      <c r="U532" t="s">
        <v>2665</v>
      </c>
      <c r="V532" t="s">
        <v>3711</v>
      </c>
      <c r="W532" t="s">
        <v>3712</v>
      </c>
      <c r="X532" t="s">
        <v>2665</v>
      </c>
      <c r="Y532" t="s">
        <v>2054</v>
      </c>
      <c r="Z532" t="s">
        <v>1136</v>
      </c>
      <c r="AA532" t="s">
        <v>2795</v>
      </c>
      <c r="AB532" t="s">
        <v>2795</v>
      </c>
      <c r="AC532" t="s">
        <v>2665</v>
      </c>
      <c r="AD532" t="s">
        <v>2054</v>
      </c>
      <c r="AE532" t="s">
        <v>2726</v>
      </c>
    </row>
    <row r="533" spans="1:31" x14ac:dyDescent="0.25">
      <c r="A533" t="s">
        <v>1654</v>
      </c>
      <c r="B533" t="s">
        <v>1653</v>
      </c>
      <c r="C533" t="s">
        <v>3753</v>
      </c>
      <c r="D533" t="s">
        <v>1653</v>
      </c>
      <c r="E533" t="s">
        <v>2666</v>
      </c>
      <c r="F533" t="s">
        <v>3754</v>
      </c>
      <c r="G533" t="s">
        <v>2666</v>
      </c>
      <c r="H533" t="s">
        <v>2054</v>
      </c>
      <c r="I533" t="s">
        <v>2741</v>
      </c>
      <c r="J533" t="s">
        <v>2054</v>
      </c>
      <c r="K533" t="s">
        <v>2665</v>
      </c>
      <c r="L533" t="s">
        <v>1136</v>
      </c>
      <c r="M533" t="s">
        <v>2875</v>
      </c>
      <c r="N533" t="s">
        <v>2665</v>
      </c>
      <c r="O533" t="s">
        <v>2876</v>
      </c>
      <c r="P533" t="s">
        <v>3411</v>
      </c>
      <c r="Q533" t="s">
        <v>3412</v>
      </c>
      <c r="R533" t="s">
        <v>2665</v>
      </c>
      <c r="S533" t="s">
        <v>2779</v>
      </c>
      <c r="T533" t="s">
        <v>2780</v>
      </c>
      <c r="U533" t="s">
        <v>2665</v>
      </c>
      <c r="V533" t="s">
        <v>3711</v>
      </c>
      <c r="W533" t="s">
        <v>3712</v>
      </c>
      <c r="X533" t="s">
        <v>2665</v>
      </c>
      <c r="Y533" t="s">
        <v>2054</v>
      </c>
      <c r="Z533" t="s">
        <v>1136</v>
      </c>
      <c r="AA533" t="s">
        <v>2795</v>
      </c>
      <c r="AB533" t="s">
        <v>2795</v>
      </c>
      <c r="AC533" t="s">
        <v>2665</v>
      </c>
      <c r="AD533" t="s">
        <v>2054</v>
      </c>
      <c r="AE533" t="s">
        <v>2726</v>
      </c>
    </row>
    <row r="534" spans="1:31" x14ac:dyDescent="0.25">
      <c r="A534" t="s">
        <v>1656</v>
      </c>
      <c r="B534" t="s">
        <v>1655</v>
      </c>
      <c r="C534" t="s">
        <v>3755</v>
      </c>
      <c r="D534" t="s">
        <v>1655</v>
      </c>
      <c r="E534" t="s">
        <v>2666</v>
      </c>
      <c r="F534" t="s">
        <v>3756</v>
      </c>
      <c r="G534" t="s">
        <v>2666</v>
      </c>
      <c r="H534" t="s">
        <v>2054</v>
      </c>
      <c r="I534" t="s">
        <v>2778</v>
      </c>
      <c r="J534" t="s">
        <v>2054</v>
      </c>
      <c r="K534" t="s">
        <v>2665</v>
      </c>
      <c r="L534" t="s">
        <v>1179</v>
      </c>
      <c r="M534" t="s">
        <v>2875</v>
      </c>
      <c r="N534" t="s">
        <v>2665</v>
      </c>
      <c r="O534" t="s">
        <v>2876</v>
      </c>
      <c r="P534" t="s">
        <v>2898</v>
      </c>
      <c r="Q534" t="s">
        <v>3617</v>
      </c>
      <c r="R534" t="s">
        <v>2665</v>
      </c>
      <c r="S534" t="s">
        <v>2779</v>
      </c>
      <c r="T534" t="s">
        <v>2780</v>
      </c>
      <c r="U534" t="s">
        <v>2665</v>
      </c>
      <c r="V534" t="s">
        <v>3629</v>
      </c>
      <c r="W534" t="s">
        <v>3630</v>
      </c>
      <c r="X534" t="s">
        <v>2665</v>
      </c>
      <c r="Y534" t="s">
        <v>2054</v>
      </c>
      <c r="Z534" t="s">
        <v>1179</v>
      </c>
      <c r="AA534" t="s">
        <v>2763</v>
      </c>
      <c r="AB534" t="s">
        <v>2763</v>
      </c>
      <c r="AC534" t="s">
        <v>2665</v>
      </c>
      <c r="AD534" t="s">
        <v>2054</v>
      </c>
      <c r="AE534" t="s">
        <v>2054</v>
      </c>
    </row>
    <row r="535" spans="1:31" x14ac:dyDescent="0.25">
      <c r="A535" t="s">
        <v>1658</v>
      </c>
      <c r="B535" t="s">
        <v>1657</v>
      </c>
      <c r="C535" t="s">
        <v>3757</v>
      </c>
      <c r="D535" t="s">
        <v>1657</v>
      </c>
      <c r="E535" t="s">
        <v>2666</v>
      </c>
      <c r="F535" t="s">
        <v>2777</v>
      </c>
      <c r="G535" t="s">
        <v>2666</v>
      </c>
      <c r="H535" t="s">
        <v>2054</v>
      </c>
      <c r="I535" t="s">
        <v>2778</v>
      </c>
      <c r="J535" t="s">
        <v>2054</v>
      </c>
      <c r="K535" t="s">
        <v>2665</v>
      </c>
      <c r="L535" t="s">
        <v>1179</v>
      </c>
      <c r="M535" t="s">
        <v>2875</v>
      </c>
      <c r="N535" t="s">
        <v>2665</v>
      </c>
      <c r="O535" t="s">
        <v>2876</v>
      </c>
      <c r="P535" t="s">
        <v>2910</v>
      </c>
      <c r="Q535" t="s">
        <v>3758</v>
      </c>
      <c r="R535" t="s">
        <v>2665</v>
      </c>
      <c r="S535" t="s">
        <v>2779</v>
      </c>
      <c r="T535" t="s">
        <v>2780</v>
      </c>
      <c r="U535" t="s">
        <v>2665</v>
      </c>
      <c r="V535" t="s">
        <v>3629</v>
      </c>
      <c r="W535" t="s">
        <v>3630</v>
      </c>
      <c r="X535" t="s">
        <v>2665</v>
      </c>
      <c r="Y535" t="s">
        <v>2054</v>
      </c>
      <c r="Z535" t="s">
        <v>1179</v>
      </c>
      <c r="AA535" t="s">
        <v>2795</v>
      </c>
      <c r="AB535" t="s">
        <v>2795</v>
      </c>
      <c r="AC535" t="s">
        <v>2665</v>
      </c>
      <c r="AD535" t="s">
        <v>2054</v>
      </c>
      <c r="AE535" t="s">
        <v>2726</v>
      </c>
    </row>
    <row r="536" spans="1:31" x14ac:dyDescent="0.25">
      <c r="A536" t="s">
        <v>1660</v>
      </c>
      <c r="B536" t="s">
        <v>1659</v>
      </c>
      <c r="C536" t="s">
        <v>3759</v>
      </c>
      <c r="D536" t="s">
        <v>1659</v>
      </c>
      <c r="E536" t="s">
        <v>2666</v>
      </c>
      <c r="F536" t="s">
        <v>2712</v>
      </c>
      <c r="G536" t="s">
        <v>2666</v>
      </c>
      <c r="H536" t="s">
        <v>2054</v>
      </c>
      <c r="I536" t="s">
        <v>2778</v>
      </c>
      <c r="J536" t="s">
        <v>2054</v>
      </c>
      <c r="K536" t="s">
        <v>2665</v>
      </c>
      <c r="L536" t="s">
        <v>1179</v>
      </c>
      <c r="M536" t="s">
        <v>2875</v>
      </c>
      <c r="N536" t="s">
        <v>2665</v>
      </c>
      <c r="O536" t="s">
        <v>2876</v>
      </c>
      <c r="P536" t="s">
        <v>3411</v>
      </c>
      <c r="Q536" t="s">
        <v>3412</v>
      </c>
      <c r="R536" t="s">
        <v>2665</v>
      </c>
      <c r="S536" t="s">
        <v>2779</v>
      </c>
      <c r="T536" t="s">
        <v>2780</v>
      </c>
      <c r="U536" t="s">
        <v>2665</v>
      </c>
      <c r="V536" t="s">
        <v>3711</v>
      </c>
      <c r="W536" t="s">
        <v>3712</v>
      </c>
      <c r="X536" t="s">
        <v>2665</v>
      </c>
      <c r="Y536" t="s">
        <v>2054</v>
      </c>
      <c r="Z536" t="s">
        <v>1179</v>
      </c>
      <c r="AA536" t="s">
        <v>2795</v>
      </c>
      <c r="AB536" t="s">
        <v>2795</v>
      </c>
      <c r="AC536" t="s">
        <v>2665</v>
      </c>
      <c r="AD536" t="s">
        <v>2054</v>
      </c>
      <c r="AE536" t="s">
        <v>2054</v>
      </c>
    </row>
    <row r="537" spans="1:31" x14ac:dyDescent="0.25">
      <c r="A537" t="s">
        <v>1661</v>
      </c>
      <c r="B537" t="s">
        <v>113</v>
      </c>
      <c r="C537" t="s">
        <v>3760</v>
      </c>
      <c r="D537" t="s">
        <v>113</v>
      </c>
      <c r="E537" t="s">
        <v>2666</v>
      </c>
      <c r="F537" t="s">
        <v>2895</v>
      </c>
      <c r="G537" t="s">
        <v>2666</v>
      </c>
      <c r="H537" t="s">
        <v>2054</v>
      </c>
      <c r="I537" t="s">
        <v>2778</v>
      </c>
      <c r="J537" t="s">
        <v>2054</v>
      </c>
      <c r="K537" t="s">
        <v>2665</v>
      </c>
      <c r="L537" t="s">
        <v>1179</v>
      </c>
      <c r="M537" t="s">
        <v>2875</v>
      </c>
      <c r="N537" t="s">
        <v>2665</v>
      </c>
      <c r="O537" t="s">
        <v>2876</v>
      </c>
      <c r="P537" t="s">
        <v>3411</v>
      </c>
      <c r="Q537" t="s">
        <v>3412</v>
      </c>
      <c r="R537" t="s">
        <v>2665</v>
      </c>
      <c r="S537" t="s">
        <v>2779</v>
      </c>
      <c r="T537" t="s">
        <v>2780</v>
      </c>
      <c r="U537" t="s">
        <v>2665</v>
      </c>
      <c r="V537" t="s">
        <v>3711</v>
      </c>
      <c r="W537" t="s">
        <v>3712</v>
      </c>
      <c r="X537" t="s">
        <v>2665</v>
      </c>
      <c r="Y537" t="s">
        <v>2054</v>
      </c>
      <c r="Z537" t="s">
        <v>1179</v>
      </c>
      <c r="AA537" t="s">
        <v>3761</v>
      </c>
      <c r="AB537" t="s">
        <v>3761</v>
      </c>
      <c r="AC537" t="s">
        <v>2665</v>
      </c>
      <c r="AD537" t="s">
        <v>2054</v>
      </c>
      <c r="AE537" t="s">
        <v>2054</v>
      </c>
    </row>
    <row r="538" spans="1:31" x14ac:dyDescent="0.25">
      <c r="A538" t="s">
        <v>1662</v>
      </c>
      <c r="B538" t="s">
        <v>114</v>
      </c>
      <c r="C538" t="s">
        <v>3762</v>
      </c>
      <c r="D538" t="s">
        <v>114</v>
      </c>
      <c r="E538" t="s">
        <v>2666</v>
      </c>
      <c r="F538" t="s">
        <v>2979</v>
      </c>
      <c r="G538" t="s">
        <v>2666</v>
      </c>
      <c r="H538" t="s">
        <v>2054</v>
      </c>
      <c r="I538" t="s">
        <v>2778</v>
      </c>
      <c r="J538" t="s">
        <v>2054</v>
      </c>
      <c r="K538" t="s">
        <v>2665</v>
      </c>
      <c r="L538" t="s">
        <v>1179</v>
      </c>
      <c r="M538" t="s">
        <v>2875</v>
      </c>
      <c r="N538" t="s">
        <v>2665</v>
      </c>
      <c r="O538" t="s">
        <v>2876</v>
      </c>
      <c r="P538" t="s">
        <v>3411</v>
      </c>
      <c r="Q538" t="s">
        <v>3412</v>
      </c>
      <c r="R538" t="s">
        <v>2665</v>
      </c>
      <c r="S538" t="s">
        <v>2779</v>
      </c>
      <c r="T538" t="s">
        <v>2780</v>
      </c>
      <c r="U538" t="s">
        <v>2665</v>
      </c>
      <c r="V538" t="s">
        <v>3711</v>
      </c>
      <c r="W538" t="s">
        <v>3712</v>
      </c>
      <c r="X538" t="s">
        <v>2665</v>
      </c>
      <c r="Y538" t="s">
        <v>2054</v>
      </c>
      <c r="Z538" t="s">
        <v>1179</v>
      </c>
      <c r="AA538" t="s">
        <v>3571</v>
      </c>
      <c r="AB538" t="s">
        <v>3571</v>
      </c>
      <c r="AC538" t="s">
        <v>2665</v>
      </c>
      <c r="AD538" t="s">
        <v>2054</v>
      </c>
      <c r="AE538" t="s">
        <v>2054</v>
      </c>
    </row>
    <row r="539" spans="1:31" x14ac:dyDescent="0.25">
      <c r="A539" t="s">
        <v>1663</v>
      </c>
      <c r="B539" t="s">
        <v>115</v>
      </c>
      <c r="C539" t="s">
        <v>3763</v>
      </c>
      <c r="D539" t="s">
        <v>115</v>
      </c>
      <c r="E539" t="s">
        <v>2666</v>
      </c>
      <c r="F539" t="s">
        <v>2712</v>
      </c>
      <c r="G539" t="s">
        <v>2666</v>
      </c>
      <c r="H539" t="s">
        <v>2054</v>
      </c>
      <c r="I539" t="s">
        <v>2778</v>
      </c>
      <c r="J539" t="s">
        <v>2054</v>
      </c>
      <c r="K539" t="s">
        <v>2665</v>
      </c>
      <c r="L539" t="s">
        <v>1179</v>
      </c>
      <c r="M539" t="s">
        <v>2875</v>
      </c>
      <c r="N539" t="s">
        <v>2665</v>
      </c>
      <c r="O539" t="s">
        <v>2876</v>
      </c>
      <c r="P539" t="s">
        <v>3411</v>
      </c>
      <c r="Q539" t="s">
        <v>3412</v>
      </c>
      <c r="R539" t="s">
        <v>2665</v>
      </c>
      <c r="S539" t="s">
        <v>2779</v>
      </c>
      <c r="T539" t="s">
        <v>2780</v>
      </c>
      <c r="U539" t="s">
        <v>2665</v>
      </c>
      <c r="V539" t="s">
        <v>3711</v>
      </c>
      <c r="W539" t="s">
        <v>3712</v>
      </c>
      <c r="X539" t="s">
        <v>2665</v>
      </c>
      <c r="Y539" t="s">
        <v>2054</v>
      </c>
      <c r="Z539" t="s">
        <v>1179</v>
      </c>
      <c r="AA539" t="s">
        <v>3571</v>
      </c>
      <c r="AB539" t="s">
        <v>3571</v>
      </c>
      <c r="AC539" t="s">
        <v>2665</v>
      </c>
      <c r="AD539" t="s">
        <v>2054</v>
      </c>
      <c r="AE539" t="s">
        <v>2054</v>
      </c>
    </row>
    <row r="540" spans="1:31" x14ac:dyDescent="0.25">
      <c r="A540" t="s">
        <v>1664</v>
      </c>
      <c r="B540" t="s">
        <v>116</v>
      </c>
      <c r="C540" t="s">
        <v>3764</v>
      </c>
      <c r="D540" t="s">
        <v>116</v>
      </c>
      <c r="E540" t="s">
        <v>2666</v>
      </c>
      <c r="F540" t="s">
        <v>3033</v>
      </c>
      <c r="G540" t="s">
        <v>2666</v>
      </c>
      <c r="H540" t="s">
        <v>2054</v>
      </c>
      <c r="I540" t="s">
        <v>2778</v>
      </c>
      <c r="J540" t="s">
        <v>2054</v>
      </c>
      <c r="K540" t="s">
        <v>2665</v>
      </c>
      <c r="L540" t="s">
        <v>1179</v>
      </c>
      <c r="M540" t="s">
        <v>2875</v>
      </c>
      <c r="N540" t="s">
        <v>2665</v>
      </c>
      <c r="O540" t="s">
        <v>2876</v>
      </c>
      <c r="P540" t="s">
        <v>3411</v>
      </c>
      <c r="Q540" t="s">
        <v>3412</v>
      </c>
      <c r="R540" t="s">
        <v>2665</v>
      </c>
      <c r="S540" t="s">
        <v>2779</v>
      </c>
      <c r="T540" t="s">
        <v>2780</v>
      </c>
      <c r="U540" t="s">
        <v>2665</v>
      </c>
      <c r="V540" t="s">
        <v>3711</v>
      </c>
      <c r="W540" t="s">
        <v>3712</v>
      </c>
      <c r="X540" t="s">
        <v>2665</v>
      </c>
      <c r="Y540" t="s">
        <v>2054</v>
      </c>
      <c r="Z540" t="s">
        <v>1179</v>
      </c>
      <c r="AA540" t="s">
        <v>3340</v>
      </c>
      <c r="AB540" t="s">
        <v>3340</v>
      </c>
      <c r="AC540" t="s">
        <v>2665</v>
      </c>
      <c r="AD540" t="s">
        <v>2054</v>
      </c>
      <c r="AE540" t="s">
        <v>2054</v>
      </c>
    </row>
    <row r="541" spans="1:31" x14ac:dyDescent="0.25">
      <c r="A541" t="s">
        <v>1665</v>
      </c>
      <c r="B541" t="s">
        <v>117</v>
      </c>
      <c r="C541" t="s">
        <v>3765</v>
      </c>
      <c r="D541" t="s">
        <v>117</v>
      </c>
      <c r="E541" t="s">
        <v>2666</v>
      </c>
      <c r="F541" t="s">
        <v>3766</v>
      </c>
      <c r="G541" t="s">
        <v>2666</v>
      </c>
      <c r="H541" t="s">
        <v>2054</v>
      </c>
      <c r="I541" t="s">
        <v>2778</v>
      </c>
      <c r="J541" t="s">
        <v>2054</v>
      </c>
      <c r="K541" t="s">
        <v>2665</v>
      </c>
      <c r="L541" t="s">
        <v>1179</v>
      </c>
      <c r="M541" t="s">
        <v>2875</v>
      </c>
      <c r="N541" t="s">
        <v>2665</v>
      </c>
      <c r="O541" t="s">
        <v>2876</v>
      </c>
      <c r="P541" t="s">
        <v>3411</v>
      </c>
      <c r="Q541" t="s">
        <v>3412</v>
      </c>
      <c r="R541" t="s">
        <v>2665</v>
      </c>
      <c r="S541" t="s">
        <v>2779</v>
      </c>
      <c r="T541" t="s">
        <v>2780</v>
      </c>
      <c r="U541" t="s">
        <v>2665</v>
      </c>
      <c r="V541" t="s">
        <v>3711</v>
      </c>
      <c r="W541" t="s">
        <v>3712</v>
      </c>
      <c r="X541" t="s">
        <v>2665</v>
      </c>
      <c r="Y541" t="s">
        <v>2054</v>
      </c>
      <c r="Z541" t="s">
        <v>1179</v>
      </c>
      <c r="AA541" t="s">
        <v>3340</v>
      </c>
      <c r="AB541" t="s">
        <v>3340</v>
      </c>
      <c r="AC541" t="s">
        <v>2665</v>
      </c>
      <c r="AD541" t="s">
        <v>2054</v>
      </c>
      <c r="AE541" t="s">
        <v>2054</v>
      </c>
    </row>
    <row r="542" spans="1:31" x14ac:dyDescent="0.25">
      <c r="A542" t="s">
        <v>1666</v>
      </c>
      <c r="B542" t="s">
        <v>118</v>
      </c>
      <c r="C542" t="s">
        <v>3767</v>
      </c>
      <c r="D542" t="s">
        <v>118</v>
      </c>
      <c r="E542" t="s">
        <v>2666</v>
      </c>
      <c r="F542" t="s">
        <v>2979</v>
      </c>
      <c r="G542" t="s">
        <v>2666</v>
      </c>
      <c r="H542" t="s">
        <v>2054</v>
      </c>
      <c r="I542" t="s">
        <v>2778</v>
      </c>
      <c r="J542" t="s">
        <v>2054</v>
      </c>
      <c r="K542" t="s">
        <v>2665</v>
      </c>
      <c r="L542" t="s">
        <v>1179</v>
      </c>
      <c r="M542" t="s">
        <v>2875</v>
      </c>
      <c r="N542" t="s">
        <v>2665</v>
      </c>
      <c r="O542" t="s">
        <v>2876</v>
      </c>
      <c r="P542" t="s">
        <v>3411</v>
      </c>
      <c r="Q542" t="s">
        <v>3412</v>
      </c>
      <c r="R542" t="s">
        <v>2665</v>
      </c>
      <c r="S542" t="s">
        <v>2779</v>
      </c>
      <c r="T542" t="s">
        <v>2780</v>
      </c>
      <c r="U542" t="s">
        <v>2665</v>
      </c>
      <c r="V542" t="s">
        <v>3711</v>
      </c>
      <c r="W542" t="s">
        <v>3712</v>
      </c>
      <c r="X542" t="s">
        <v>2665</v>
      </c>
      <c r="Y542" t="s">
        <v>2054</v>
      </c>
      <c r="Z542" t="s">
        <v>1179</v>
      </c>
      <c r="AA542" t="s">
        <v>2994</v>
      </c>
      <c r="AB542" t="s">
        <v>2994</v>
      </c>
      <c r="AC542" t="s">
        <v>2665</v>
      </c>
      <c r="AD542" t="s">
        <v>2054</v>
      </c>
      <c r="AE542" t="s">
        <v>2054</v>
      </c>
    </row>
    <row r="543" spans="1:31" x14ac:dyDescent="0.25">
      <c r="A543" t="s">
        <v>1667</v>
      </c>
      <c r="B543" t="s">
        <v>119</v>
      </c>
      <c r="C543" t="s">
        <v>3768</v>
      </c>
      <c r="D543" t="s">
        <v>119</v>
      </c>
      <c r="E543" t="s">
        <v>2666</v>
      </c>
      <c r="F543" t="s">
        <v>2712</v>
      </c>
      <c r="G543" t="s">
        <v>2666</v>
      </c>
      <c r="H543" t="s">
        <v>2054</v>
      </c>
      <c r="I543" t="s">
        <v>2778</v>
      </c>
      <c r="J543" t="s">
        <v>2054</v>
      </c>
      <c r="K543" t="s">
        <v>2665</v>
      </c>
      <c r="L543" t="s">
        <v>1179</v>
      </c>
      <c r="M543" t="s">
        <v>2875</v>
      </c>
      <c r="N543" t="s">
        <v>2665</v>
      </c>
      <c r="O543" t="s">
        <v>2876</v>
      </c>
      <c r="P543" t="s">
        <v>3411</v>
      </c>
      <c r="Q543" t="s">
        <v>3412</v>
      </c>
      <c r="R543" t="s">
        <v>2665</v>
      </c>
      <c r="S543" t="s">
        <v>2779</v>
      </c>
      <c r="T543" t="s">
        <v>2780</v>
      </c>
      <c r="U543" t="s">
        <v>2665</v>
      </c>
      <c r="V543" t="s">
        <v>3711</v>
      </c>
      <c r="W543" t="s">
        <v>3712</v>
      </c>
      <c r="X543" t="s">
        <v>2665</v>
      </c>
      <c r="Y543" t="s">
        <v>2054</v>
      </c>
      <c r="Z543" t="s">
        <v>1179</v>
      </c>
      <c r="AA543" t="s">
        <v>2994</v>
      </c>
      <c r="AB543" t="s">
        <v>2994</v>
      </c>
      <c r="AC543" t="s">
        <v>2665</v>
      </c>
      <c r="AD543" t="s">
        <v>2054</v>
      </c>
      <c r="AE543" t="s">
        <v>2054</v>
      </c>
    </row>
    <row r="544" spans="1:31" x14ac:dyDescent="0.25">
      <c r="A544" t="s">
        <v>1668</v>
      </c>
      <c r="B544" t="s">
        <v>120</v>
      </c>
      <c r="C544" t="s">
        <v>3769</v>
      </c>
      <c r="D544" t="s">
        <v>120</v>
      </c>
      <c r="E544" t="s">
        <v>2666</v>
      </c>
      <c r="F544" t="s">
        <v>3770</v>
      </c>
      <c r="G544" t="s">
        <v>2666</v>
      </c>
      <c r="H544" t="s">
        <v>2054</v>
      </c>
      <c r="I544" t="s">
        <v>2778</v>
      </c>
      <c r="J544" t="s">
        <v>2054</v>
      </c>
      <c r="K544" t="s">
        <v>2665</v>
      </c>
      <c r="L544" t="s">
        <v>1179</v>
      </c>
      <c r="M544" t="s">
        <v>2875</v>
      </c>
      <c r="N544" t="s">
        <v>2665</v>
      </c>
      <c r="O544" t="s">
        <v>2876</v>
      </c>
      <c r="P544" t="s">
        <v>3411</v>
      </c>
      <c r="Q544" t="s">
        <v>3412</v>
      </c>
      <c r="R544" t="s">
        <v>2665</v>
      </c>
      <c r="S544" t="s">
        <v>2779</v>
      </c>
      <c r="T544" t="s">
        <v>2780</v>
      </c>
      <c r="U544" t="s">
        <v>2665</v>
      </c>
      <c r="V544" t="s">
        <v>3711</v>
      </c>
      <c r="W544" t="s">
        <v>3712</v>
      </c>
      <c r="X544" t="s">
        <v>2665</v>
      </c>
      <c r="Y544" t="s">
        <v>2054</v>
      </c>
      <c r="Z544" t="s">
        <v>1179</v>
      </c>
      <c r="AA544" t="s">
        <v>2994</v>
      </c>
      <c r="AB544" t="s">
        <v>2994</v>
      </c>
      <c r="AC544" t="s">
        <v>2665</v>
      </c>
      <c r="AD544" t="s">
        <v>2054</v>
      </c>
      <c r="AE544" t="s">
        <v>2054</v>
      </c>
    </row>
    <row r="545" spans="1:31" x14ac:dyDescent="0.25">
      <c r="A545" t="s">
        <v>1669</v>
      </c>
      <c r="B545" t="s">
        <v>121</v>
      </c>
      <c r="C545" t="s">
        <v>3771</v>
      </c>
      <c r="D545" t="s">
        <v>121</v>
      </c>
      <c r="E545" t="s">
        <v>2666</v>
      </c>
      <c r="F545" t="s">
        <v>3155</v>
      </c>
      <c r="G545" t="s">
        <v>2666</v>
      </c>
      <c r="H545" t="s">
        <v>2054</v>
      </c>
      <c r="I545" t="s">
        <v>2778</v>
      </c>
      <c r="J545" t="s">
        <v>2054</v>
      </c>
      <c r="K545" t="s">
        <v>2665</v>
      </c>
      <c r="L545" t="s">
        <v>1179</v>
      </c>
      <c r="M545" t="s">
        <v>2875</v>
      </c>
      <c r="N545" t="s">
        <v>2665</v>
      </c>
      <c r="O545" t="s">
        <v>2876</v>
      </c>
      <c r="P545" t="s">
        <v>3411</v>
      </c>
      <c r="Q545" t="s">
        <v>3412</v>
      </c>
      <c r="R545" t="s">
        <v>2665</v>
      </c>
      <c r="S545" t="s">
        <v>2779</v>
      </c>
      <c r="T545" t="s">
        <v>2780</v>
      </c>
      <c r="U545" t="s">
        <v>2665</v>
      </c>
      <c r="V545" t="s">
        <v>3711</v>
      </c>
      <c r="W545" t="s">
        <v>3712</v>
      </c>
      <c r="X545" t="s">
        <v>2665</v>
      </c>
      <c r="Y545" t="s">
        <v>2054</v>
      </c>
      <c r="Z545" t="s">
        <v>1179</v>
      </c>
      <c r="AA545" t="s">
        <v>2894</v>
      </c>
      <c r="AB545" t="s">
        <v>2894</v>
      </c>
      <c r="AC545" t="s">
        <v>2665</v>
      </c>
      <c r="AD545" t="s">
        <v>2054</v>
      </c>
      <c r="AE545" t="s">
        <v>2054</v>
      </c>
    </row>
    <row r="546" spans="1:31" x14ac:dyDescent="0.25">
      <c r="A546" t="s">
        <v>1670</v>
      </c>
      <c r="B546" t="s">
        <v>122</v>
      </c>
      <c r="C546" t="s">
        <v>3772</v>
      </c>
      <c r="D546" t="s">
        <v>122</v>
      </c>
      <c r="E546" t="s">
        <v>2666</v>
      </c>
      <c r="F546" t="s">
        <v>3155</v>
      </c>
      <c r="G546" t="s">
        <v>2666</v>
      </c>
      <c r="H546" t="s">
        <v>2054</v>
      </c>
      <c r="I546" t="s">
        <v>2778</v>
      </c>
      <c r="J546" t="s">
        <v>2054</v>
      </c>
      <c r="K546" t="s">
        <v>2665</v>
      </c>
      <c r="L546" t="s">
        <v>1179</v>
      </c>
      <c r="M546" t="s">
        <v>2875</v>
      </c>
      <c r="N546" t="s">
        <v>2665</v>
      </c>
      <c r="O546" t="s">
        <v>2876</v>
      </c>
      <c r="P546" t="s">
        <v>3411</v>
      </c>
      <c r="Q546" t="s">
        <v>3412</v>
      </c>
      <c r="R546" t="s">
        <v>2665</v>
      </c>
      <c r="S546" t="s">
        <v>2779</v>
      </c>
      <c r="T546" t="s">
        <v>2780</v>
      </c>
      <c r="U546" t="s">
        <v>2665</v>
      </c>
      <c r="V546" t="s">
        <v>3711</v>
      </c>
      <c r="W546" t="s">
        <v>3712</v>
      </c>
      <c r="X546" t="s">
        <v>2665</v>
      </c>
      <c r="Y546" t="s">
        <v>2054</v>
      </c>
      <c r="Z546" t="s">
        <v>1179</v>
      </c>
      <c r="AA546" t="s">
        <v>2894</v>
      </c>
      <c r="AB546" t="s">
        <v>2894</v>
      </c>
      <c r="AC546" t="s">
        <v>2665</v>
      </c>
      <c r="AD546" t="s">
        <v>2054</v>
      </c>
      <c r="AE546" t="s">
        <v>2054</v>
      </c>
    </row>
    <row r="547" spans="1:31" x14ac:dyDescent="0.25">
      <c r="A547" t="s">
        <v>1671</v>
      </c>
      <c r="B547" t="s">
        <v>123</v>
      </c>
      <c r="C547" t="s">
        <v>3773</v>
      </c>
      <c r="D547" t="s">
        <v>123</v>
      </c>
      <c r="E547" t="s">
        <v>2666</v>
      </c>
      <c r="F547" t="s">
        <v>3774</v>
      </c>
      <c r="G547" t="s">
        <v>2666</v>
      </c>
      <c r="H547" t="s">
        <v>2054</v>
      </c>
      <c r="I547" t="s">
        <v>2778</v>
      </c>
      <c r="J547" t="s">
        <v>2054</v>
      </c>
      <c r="K547" t="s">
        <v>2665</v>
      </c>
      <c r="L547" t="s">
        <v>1179</v>
      </c>
      <c r="M547" t="s">
        <v>2875</v>
      </c>
      <c r="N547" t="s">
        <v>2665</v>
      </c>
      <c r="O547" t="s">
        <v>2876</v>
      </c>
      <c r="P547" t="s">
        <v>3411</v>
      </c>
      <c r="Q547" t="s">
        <v>3412</v>
      </c>
      <c r="R547" t="s">
        <v>2665</v>
      </c>
      <c r="S547" t="s">
        <v>2779</v>
      </c>
      <c r="T547" t="s">
        <v>2780</v>
      </c>
      <c r="U547" t="s">
        <v>2665</v>
      </c>
      <c r="V547" t="s">
        <v>3711</v>
      </c>
      <c r="W547" t="s">
        <v>3712</v>
      </c>
      <c r="X547" t="s">
        <v>2665</v>
      </c>
      <c r="Y547" t="s">
        <v>2054</v>
      </c>
      <c r="Z547" t="s">
        <v>1179</v>
      </c>
      <c r="AA547" t="s">
        <v>2894</v>
      </c>
      <c r="AB547" t="s">
        <v>2894</v>
      </c>
      <c r="AC547" t="s">
        <v>2665</v>
      </c>
      <c r="AD547" t="s">
        <v>2054</v>
      </c>
      <c r="AE547" t="s">
        <v>2054</v>
      </c>
    </row>
    <row r="548" spans="1:31" x14ac:dyDescent="0.25">
      <c r="A548" t="s">
        <v>1673</v>
      </c>
      <c r="B548" t="s">
        <v>1672</v>
      </c>
      <c r="C548" t="s">
        <v>3775</v>
      </c>
      <c r="D548" t="s">
        <v>1672</v>
      </c>
      <c r="E548" t="s">
        <v>2666</v>
      </c>
      <c r="F548" t="s">
        <v>3750</v>
      </c>
      <c r="G548" t="s">
        <v>2666</v>
      </c>
      <c r="H548" t="s">
        <v>2054</v>
      </c>
      <c r="I548" t="s">
        <v>2778</v>
      </c>
      <c r="J548" t="s">
        <v>2054</v>
      </c>
      <c r="K548" t="s">
        <v>2665</v>
      </c>
      <c r="L548" t="s">
        <v>1179</v>
      </c>
      <c r="M548" t="s">
        <v>2875</v>
      </c>
      <c r="N548" t="s">
        <v>2665</v>
      </c>
      <c r="O548" t="s">
        <v>2876</v>
      </c>
      <c r="P548" t="s">
        <v>3411</v>
      </c>
      <c r="Q548" t="s">
        <v>3412</v>
      </c>
      <c r="R548" t="s">
        <v>2665</v>
      </c>
      <c r="S548" t="s">
        <v>2779</v>
      </c>
      <c r="T548" t="s">
        <v>2780</v>
      </c>
      <c r="U548" t="s">
        <v>2665</v>
      </c>
      <c r="V548" t="s">
        <v>3711</v>
      </c>
      <c r="W548" t="s">
        <v>3712</v>
      </c>
      <c r="X548" t="s">
        <v>2665</v>
      </c>
      <c r="Y548" t="s">
        <v>2054</v>
      </c>
      <c r="Z548" t="s">
        <v>1179</v>
      </c>
      <c r="AA548" t="s">
        <v>2795</v>
      </c>
      <c r="AB548" t="s">
        <v>2795</v>
      </c>
      <c r="AC548" t="s">
        <v>2665</v>
      </c>
      <c r="AD548" t="s">
        <v>2054</v>
      </c>
      <c r="AE548" t="s">
        <v>2054</v>
      </c>
    </row>
    <row r="549" spans="1:31" x14ac:dyDescent="0.25">
      <c r="A549" t="s">
        <v>1675</v>
      </c>
      <c r="B549" t="s">
        <v>1674</v>
      </c>
      <c r="C549" t="s">
        <v>3776</v>
      </c>
      <c r="D549" t="s">
        <v>1674</v>
      </c>
      <c r="E549" t="s">
        <v>2666</v>
      </c>
      <c r="F549" t="s">
        <v>2793</v>
      </c>
      <c r="G549" t="s">
        <v>2666</v>
      </c>
      <c r="H549" t="s">
        <v>2054</v>
      </c>
      <c r="I549" t="s">
        <v>2778</v>
      </c>
      <c r="J549" t="s">
        <v>2054</v>
      </c>
      <c r="K549" t="s">
        <v>2665</v>
      </c>
      <c r="L549" t="s">
        <v>1179</v>
      </c>
      <c r="M549" t="s">
        <v>2875</v>
      </c>
      <c r="N549" t="s">
        <v>2665</v>
      </c>
      <c r="O549" t="s">
        <v>2876</v>
      </c>
      <c r="P549" t="s">
        <v>3411</v>
      </c>
      <c r="Q549" t="s">
        <v>3412</v>
      </c>
      <c r="R549" t="s">
        <v>2665</v>
      </c>
      <c r="S549" t="s">
        <v>2779</v>
      </c>
      <c r="T549" t="s">
        <v>2780</v>
      </c>
      <c r="U549" t="s">
        <v>2665</v>
      </c>
      <c r="V549" t="s">
        <v>3711</v>
      </c>
      <c r="W549" t="s">
        <v>3712</v>
      </c>
      <c r="X549" t="s">
        <v>2665</v>
      </c>
      <c r="Y549" t="s">
        <v>2054</v>
      </c>
      <c r="Z549" t="s">
        <v>1179</v>
      </c>
      <c r="AA549" t="s">
        <v>2795</v>
      </c>
      <c r="AB549" t="s">
        <v>2795</v>
      </c>
      <c r="AC549" t="s">
        <v>2665</v>
      </c>
      <c r="AD549" t="s">
        <v>2054</v>
      </c>
      <c r="AE549" t="s">
        <v>2054</v>
      </c>
    </row>
    <row r="550" spans="1:31" x14ac:dyDescent="0.25">
      <c r="A550" t="s">
        <v>1677</v>
      </c>
      <c r="B550" t="s">
        <v>1676</v>
      </c>
      <c r="C550" t="s">
        <v>3777</v>
      </c>
      <c r="D550" t="s">
        <v>1676</v>
      </c>
      <c r="E550" t="s">
        <v>2666</v>
      </c>
      <c r="F550" t="s">
        <v>2667</v>
      </c>
      <c r="G550" t="s">
        <v>2666</v>
      </c>
      <c r="H550" t="s">
        <v>2054</v>
      </c>
      <c r="I550" t="s">
        <v>2778</v>
      </c>
      <c r="J550" t="s">
        <v>2054</v>
      </c>
      <c r="K550" t="s">
        <v>2665</v>
      </c>
      <c r="L550" t="s">
        <v>1179</v>
      </c>
      <c r="M550" t="s">
        <v>2875</v>
      </c>
      <c r="N550" t="s">
        <v>2665</v>
      </c>
      <c r="O550" t="s">
        <v>2876</v>
      </c>
      <c r="P550" t="s">
        <v>2898</v>
      </c>
      <c r="Q550" t="s">
        <v>3617</v>
      </c>
      <c r="R550" t="s">
        <v>2665</v>
      </c>
      <c r="S550" t="s">
        <v>2779</v>
      </c>
      <c r="T550" t="s">
        <v>2780</v>
      </c>
      <c r="U550" t="s">
        <v>2665</v>
      </c>
      <c r="V550" t="s">
        <v>3721</v>
      </c>
      <c r="W550" t="s">
        <v>3722</v>
      </c>
      <c r="X550" t="s">
        <v>2665</v>
      </c>
      <c r="Y550" t="s">
        <v>2054</v>
      </c>
      <c r="Z550" t="s">
        <v>1179</v>
      </c>
      <c r="AA550" t="s">
        <v>2850</v>
      </c>
      <c r="AB550" t="s">
        <v>2850</v>
      </c>
      <c r="AC550" t="s">
        <v>2665</v>
      </c>
      <c r="AD550" t="s">
        <v>2054</v>
      </c>
      <c r="AE550" t="s">
        <v>2726</v>
      </c>
    </row>
    <row r="551" spans="1:31" x14ac:dyDescent="0.25">
      <c r="A551" t="s">
        <v>1679</v>
      </c>
      <c r="B551" t="s">
        <v>1678</v>
      </c>
      <c r="C551" t="s">
        <v>3778</v>
      </c>
      <c r="D551" t="s">
        <v>1678</v>
      </c>
      <c r="E551" t="s">
        <v>2666</v>
      </c>
      <c r="F551" t="s">
        <v>3779</v>
      </c>
      <c r="G551" t="s">
        <v>2666</v>
      </c>
      <c r="H551" t="s">
        <v>2054</v>
      </c>
      <c r="I551" t="s">
        <v>2778</v>
      </c>
      <c r="J551" t="s">
        <v>2054</v>
      </c>
      <c r="K551" t="s">
        <v>2665</v>
      </c>
      <c r="L551" t="s">
        <v>1179</v>
      </c>
      <c r="M551" t="s">
        <v>2875</v>
      </c>
      <c r="N551" t="s">
        <v>2665</v>
      </c>
      <c r="O551" t="s">
        <v>2876</v>
      </c>
      <c r="P551" t="s">
        <v>2898</v>
      </c>
      <c r="Q551" t="s">
        <v>3617</v>
      </c>
      <c r="R551" t="s">
        <v>2665</v>
      </c>
      <c r="S551" t="s">
        <v>2779</v>
      </c>
      <c r="T551" t="s">
        <v>2780</v>
      </c>
      <c r="U551" t="s">
        <v>2665</v>
      </c>
      <c r="V551" t="s">
        <v>3721</v>
      </c>
      <c r="W551" t="s">
        <v>3722</v>
      </c>
      <c r="X551" t="s">
        <v>2665</v>
      </c>
      <c r="Y551" t="s">
        <v>2054</v>
      </c>
      <c r="Z551" t="s">
        <v>1179</v>
      </c>
      <c r="AA551" t="s">
        <v>3742</v>
      </c>
      <c r="AB551" t="s">
        <v>3742</v>
      </c>
      <c r="AC551" t="s">
        <v>2665</v>
      </c>
      <c r="AD551" t="s">
        <v>2054</v>
      </c>
      <c r="AE551" t="s">
        <v>2726</v>
      </c>
    </row>
    <row r="552" spans="1:31" x14ac:dyDescent="0.25">
      <c r="A552" t="s">
        <v>1681</v>
      </c>
      <c r="B552" t="s">
        <v>1680</v>
      </c>
      <c r="C552" t="s">
        <v>3780</v>
      </c>
      <c r="D552" t="s">
        <v>1680</v>
      </c>
      <c r="E552" t="s">
        <v>2666</v>
      </c>
      <c r="F552" t="s">
        <v>2809</v>
      </c>
      <c r="G552" t="s">
        <v>2666</v>
      </c>
      <c r="H552" t="s">
        <v>2054</v>
      </c>
      <c r="I552" t="s">
        <v>2778</v>
      </c>
      <c r="J552" t="s">
        <v>2054</v>
      </c>
      <c r="K552" t="s">
        <v>2665</v>
      </c>
      <c r="L552" t="s">
        <v>1179</v>
      </c>
      <c r="M552" t="s">
        <v>2875</v>
      </c>
      <c r="N552" t="s">
        <v>2665</v>
      </c>
      <c r="O552" t="s">
        <v>2876</v>
      </c>
      <c r="P552" t="s">
        <v>2898</v>
      </c>
      <c r="Q552" t="s">
        <v>3617</v>
      </c>
      <c r="R552" t="s">
        <v>2665</v>
      </c>
      <c r="S552" t="s">
        <v>2779</v>
      </c>
      <c r="T552" t="s">
        <v>2780</v>
      </c>
      <c r="U552" t="s">
        <v>2665</v>
      </c>
      <c r="V552" t="s">
        <v>3721</v>
      </c>
      <c r="W552" t="s">
        <v>3722</v>
      </c>
      <c r="X552" t="s">
        <v>2665</v>
      </c>
      <c r="Y552" t="s">
        <v>2054</v>
      </c>
      <c r="Z552" t="s">
        <v>1179</v>
      </c>
      <c r="AA552" t="s">
        <v>3781</v>
      </c>
      <c r="AB552" t="s">
        <v>3781</v>
      </c>
      <c r="AC552" t="s">
        <v>2665</v>
      </c>
      <c r="AD552" t="s">
        <v>2054</v>
      </c>
      <c r="AE552" t="s">
        <v>2726</v>
      </c>
    </row>
    <row r="553" spans="1:31" x14ac:dyDescent="0.25">
      <c r="A553" t="s">
        <v>3782</v>
      </c>
      <c r="B553" t="s">
        <v>3783</v>
      </c>
      <c r="C553" t="s">
        <v>3784</v>
      </c>
      <c r="D553" t="s">
        <v>3783</v>
      </c>
      <c r="E553" t="s">
        <v>2666</v>
      </c>
      <c r="F553" t="s">
        <v>3785</v>
      </c>
      <c r="G553" t="s">
        <v>2666</v>
      </c>
      <c r="H553" t="s">
        <v>2054</v>
      </c>
      <c r="I553" t="s">
        <v>2778</v>
      </c>
      <c r="J553" t="s">
        <v>2054</v>
      </c>
      <c r="K553" t="s">
        <v>2665</v>
      </c>
      <c r="L553" t="s">
        <v>1179</v>
      </c>
      <c r="M553" t="s">
        <v>2875</v>
      </c>
      <c r="N553" t="s">
        <v>2665</v>
      </c>
      <c r="O553" t="s">
        <v>2876</v>
      </c>
      <c r="P553" t="s">
        <v>3411</v>
      </c>
      <c r="Q553" t="s">
        <v>3412</v>
      </c>
      <c r="R553" t="s">
        <v>2665</v>
      </c>
      <c r="S553" t="s">
        <v>2779</v>
      </c>
      <c r="T553" t="s">
        <v>2780</v>
      </c>
      <c r="U553" t="s">
        <v>2665</v>
      </c>
      <c r="V553" t="s">
        <v>3721</v>
      </c>
      <c r="W553" t="s">
        <v>3722</v>
      </c>
      <c r="X553" t="s">
        <v>2665</v>
      </c>
      <c r="Y553" t="s">
        <v>2054</v>
      </c>
      <c r="Z553" t="s">
        <v>1179</v>
      </c>
      <c r="AA553" t="s">
        <v>2700</v>
      </c>
      <c r="AB553" t="s">
        <v>2700</v>
      </c>
      <c r="AC553" t="s">
        <v>2665</v>
      </c>
      <c r="AD553" t="s">
        <v>2054</v>
      </c>
      <c r="AE553" t="s">
        <v>2726</v>
      </c>
    </row>
    <row r="554" spans="1:31" x14ac:dyDescent="0.25">
      <c r="A554" t="s">
        <v>1683</v>
      </c>
      <c r="B554" t="s">
        <v>1682</v>
      </c>
      <c r="C554" t="s">
        <v>3786</v>
      </c>
      <c r="D554" t="s">
        <v>1682</v>
      </c>
      <c r="E554" t="s">
        <v>2666</v>
      </c>
      <c r="F554" t="s">
        <v>3785</v>
      </c>
      <c r="G554" t="s">
        <v>2666</v>
      </c>
      <c r="H554" t="s">
        <v>2054</v>
      </c>
      <c r="I554" t="s">
        <v>2778</v>
      </c>
      <c r="J554" t="s">
        <v>2054</v>
      </c>
      <c r="K554" t="s">
        <v>2665</v>
      </c>
      <c r="L554" t="s">
        <v>1179</v>
      </c>
      <c r="M554" t="s">
        <v>2875</v>
      </c>
      <c r="N554" t="s">
        <v>2665</v>
      </c>
      <c r="O554" t="s">
        <v>2876</v>
      </c>
      <c r="P554" t="s">
        <v>3411</v>
      </c>
      <c r="Q554" t="s">
        <v>3412</v>
      </c>
      <c r="R554" t="s">
        <v>2665</v>
      </c>
      <c r="S554" t="s">
        <v>2779</v>
      </c>
      <c r="T554" t="s">
        <v>2780</v>
      </c>
      <c r="U554" t="s">
        <v>2665</v>
      </c>
      <c r="V554" t="s">
        <v>3721</v>
      </c>
      <c r="W554" t="s">
        <v>3722</v>
      </c>
      <c r="X554" t="s">
        <v>2665</v>
      </c>
      <c r="Y554" t="s">
        <v>2054</v>
      </c>
      <c r="Z554" t="s">
        <v>1179</v>
      </c>
      <c r="AA554" t="s">
        <v>2700</v>
      </c>
      <c r="AB554" t="s">
        <v>2700</v>
      </c>
      <c r="AC554" t="s">
        <v>2665</v>
      </c>
      <c r="AD554" t="s">
        <v>2054</v>
      </c>
      <c r="AE554" t="s">
        <v>2054</v>
      </c>
    </row>
    <row r="555" spans="1:31" x14ac:dyDescent="0.25">
      <c r="A555" t="s">
        <v>1685</v>
      </c>
      <c r="B555" t="s">
        <v>1684</v>
      </c>
      <c r="C555" t="s">
        <v>3787</v>
      </c>
      <c r="D555" t="s">
        <v>1684</v>
      </c>
      <c r="E555" t="s">
        <v>2666</v>
      </c>
      <c r="F555" t="s">
        <v>3583</v>
      </c>
      <c r="G555" t="s">
        <v>2666</v>
      </c>
      <c r="H555" t="s">
        <v>2054</v>
      </c>
      <c r="I555" t="s">
        <v>2778</v>
      </c>
      <c r="J555" t="s">
        <v>2054</v>
      </c>
      <c r="K555" t="s">
        <v>2665</v>
      </c>
      <c r="L555" t="s">
        <v>1179</v>
      </c>
      <c r="M555" t="s">
        <v>2875</v>
      </c>
      <c r="N555" t="s">
        <v>2665</v>
      </c>
      <c r="O555" t="s">
        <v>2876</v>
      </c>
      <c r="P555" t="s">
        <v>2910</v>
      </c>
      <c r="Q555" t="s">
        <v>3758</v>
      </c>
      <c r="R555" t="s">
        <v>2665</v>
      </c>
      <c r="S555" t="s">
        <v>2779</v>
      </c>
      <c r="T555" t="s">
        <v>2780</v>
      </c>
      <c r="U555" t="s">
        <v>2665</v>
      </c>
      <c r="V555" t="s">
        <v>3629</v>
      </c>
      <c r="W555" t="s">
        <v>3630</v>
      </c>
      <c r="X555" t="s">
        <v>2665</v>
      </c>
      <c r="Y555" t="s">
        <v>2054</v>
      </c>
      <c r="Z555" t="s">
        <v>1179</v>
      </c>
      <c r="AA555" t="s">
        <v>3588</v>
      </c>
      <c r="AB555" t="s">
        <v>3588</v>
      </c>
      <c r="AC555" t="s">
        <v>2665</v>
      </c>
      <c r="AD555" t="s">
        <v>2054</v>
      </c>
      <c r="AE555" t="s">
        <v>2054</v>
      </c>
    </row>
    <row r="556" spans="1:31" x14ac:dyDescent="0.25">
      <c r="A556" t="s">
        <v>1687</v>
      </c>
      <c r="B556" t="s">
        <v>1686</v>
      </c>
      <c r="C556" t="s">
        <v>3788</v>
      </c>
      <c r="D556" t="s">
        <v>1686</v>
      </c>
      <c r="E556" t="s">
        <v>2666</v>
      </c>
      <c r="F556" t="s">
        <v>3789</v>
      </c>
      <c r="G556" t="s">
        <v>2666</v>
      </c>
      <c r="H556" t="s">
        <v>2054</v>
      </c>
      <c r="I556" t="s">
        <v>2778</v>
      </c>
      <c r="J556" t="s">
        <v>2054</v>
      </c>
      <c r="K556" t="s">
        <v>2665</v>
      </c>
      <c r="L556" t="s">
        <v>1179</v>
      </c>
      <c r="M556" t="s">
        <v>2875</v>
      </c>
      <c r="N556" t="s">
        <v>2665</v>
      </c>
      <c r="O556" t="s">
        <v>2876</v>
      </c>
      <c r="P556" t="s">
        <v>2910</v>
      </c>
      <c r="Q556" t="s">
        <v>3758</v>
      </c>
      <c r="R556" t="s">
        <v>2665</v>
      </c>
      <c r="S556" t="s">
        <v>2779</v>
      </c>
      <c r="T556" t="s">
        <v>2780</v>
      </c>
      <c r="U556" t="s">
        <v>2665</v>
      </c>
      <c r="V556" t="s">
        <v>3629</v>
      </c>
      <c r="W556" t="s">
        <v>3630</v>
      </c>
      <c r="X556" t="s">
        <v>2665</v>
      </c>
      <c r="Y556" t="s">
        <v>2054</v>
      </c>
      <c r="Z556" t="s">
        <v>1179</v>
      </c>
      <c r="AA556" t="s">
        <v>3761</v>
      </c>
      <c r="AB556" t="s">
        <v>3761</v>
      </c>
      <c r="AC556" t="s">
        <v>2665</v>
      </c>
      <c r="AD556" t="s">
        <v>2054</v>
      </c>
      <c r="AE556" t="s">
        <v>2726</v>
      </c>
    </row>
    <row r="557" spans="1:31" x14ac:dyDescent="0.25">
      <c r="A557" t="s">
        <v>1689</v>
      </c>
      <c r="B557" t="s">
        <v>1688</v>
      </c>
      <c r="C557" t="s">
        <v>3790</v>
      </c>
      <c r="D557" t="s">
        <v>1688</v>
      </c>
      <c r="E557" t="s">
        <v>2666</v>
      </c>
      <c r="F557" t="s">
        <v>2667</v>
      </c>
      <c r="G557" t="s">
        <v>2666</v>
      </c>
      <c r="H557" t="s">
        <v>2054</v>
      </c>
      <c r="I557" t="s">
        <v>2778</v>
      </c>
      <c r="J557" t="s">
        <v>2054</v>
      </c>
      <c r="K557" t="s">
        <v>2665</v>
      </c>
      <c r="L557" t="s">
        <v>1179</v>
      </c>
      <c r="M557" t="s">
        <v>2875</v>
      </c>
      <c r="N557" t="s">
        <v>2665</v>
      </c>
      <c r="O557" t="s">
        <v>2876</v>
      </c>
      <c r="P557" t="s">
        <v>2898</v>
      </c>
      <c r="Q557" t="s">
        <v>3617</v>
      </c>
      <c r="R557" t="s">
        <v>2665</v>
      </c>
      <c r="S557" t="s">
        <v>2779</v>
      </c>
      <c r="T557" t="s">
        <v>2780</v>
      </c>
      <c r="U557" t="s">
        <v>2665</v>
      </c>
      <c r="V557" t="s">
        <v>3629</v>
      </c>
      <c r="W557" t="s">
        <v>3630</v>
      </c>
      <c r="X557" t="s">
        <v>2665</v>
      </c>
      <c r="Y557" t="s">
        <v>2054</v>
      </c>
      <c r="Z557" t="s">
        <v>1179</v>
      </c>
      <c r="AA557" t="s">
        <v>2797</v>
      </c>
      <c r="AB557" t="s">
        <v>2797</v>
      </c>
      <c r="AC557" t="s">
        <v>2665</v>
      </c>
      <c r="AD557" t="s">
        <v>2054</v>
      </c>
      <c r="AE557" t="s">
        <v>2054</v>
      </c>
    </row>
    <row r="558" spans="1:31" x14ac:dyDescent="0.25">
      <c r="A558" t="s">
        <v>1691</v>
      </c>
      <c r="B558" t="s">
        <v>1690</v>
      </c>
      <c r="C558" t="s">
        <v>3791</v>
      </c>
      <c r="D558" t="s">
        <v>1690</v>
      </c>
      <c r="E558" t="s">
        <v>2666</v>
      </c>
      <c r="F558" t="s">
        <v>3770</v>
      </c>
      <c r="G558" t="s">
        <v>2666</v>
      </c>
      <c r="H558" t="s">
        <v>2054</v>
      </c>
      <c r="I558" t="s">
        <v>2778</v>
      </c>
      <c r="J558" t="s">
        <v>2054</v>
      </c>
      <c r="K558" t="s">
        <v>2665</v>
      </c>
      <c r="L558" t="s">
        <v>1179</v>
      </c>
      <c r="M558" t="s">
        <v>2875</v>
      </c>
      <c r="N558" t="s">
        <v>2665</v>
      </c>
      <c r="O558" t="s">
        <v>2876</v>
      </c>
      <c r="P558" t="s">
        <v>2898</v>
      </c>
      <c r="Q558" t="s">
        <v>3617</v>
      </c>
      <c r="R558" t="s">
        <v>2665</v>
      </c>
      <c r="S558" t="s">
        <v>2779</v>
      </c>
      <c r="T558" t="s">
        <v>2780</v>
      </c>
      <c r="U558" t="s">
        <v>2665</v>
      </c>
      <c r="V558" t="s">
        <v>3629</v>
      </c>
      <c r="W558" t="s">
        <v>3630</v>
      </c>
      <c r="X558" t="s">
        <v>2665</v>
      </c>
      <c r="Y558" t="s">
        <v>2054</v>
      </c>
      <c r="Z558" t="s">
        <v>1179</v>
      </c>
      <c r="AA558" t="s">
        <v>3764</v>
      </c>
      <c r="AB558" t="s">
        <v>3764</v>
      </c>
      <c r="AC558" t="s">
        <v>2665</v>
      </c>
      <c r="AD558" t="s">
        <v>2054</v>
      </c>
      <c r="AE558" t="s">
        <v>2054</v>
      </c>
    </row>
    <row r="559" spans="1:31" x14ac:dyDescent="0.25">
      <c r="A559" t="s">
        <v>3792</v>
      </c>
      <c r="B559" t="s">
        <v>3793</v>
      </c>
      <c r="C559" t="s">
        <v>3794</v>
      </c>
      <c r="D559" t="s">
        <v>3793</v>
      </c>
      <c r="E559" t="s">
        <v>2666</v>
      </c>
      <c r="F559" t="s">
        <v>2819</v>
      </c>
      <c r="G559" t="s">
        <v>2666</v>
      </c>
      <c r="H559" t="s">
        <v>2054</v>
      </c>
      <c r="I559" t="s">
        <v>2778</v>
      </c>
      <c r="J559" t="s">
        <v>2054</v>
      </c>
      <c r="K559" t="s">
        <v>2665</v>
      </c>
      <c r="L559" t="s">
        <v>1179</v>
      </c>
      <c r="M559" t="s">
        <v>2875</v>
      </c>
      <c r="N559" t="s">
        <v>2665</v>
      </c>
      <c r="O559" t="s">
        <v>2876</v>
      </c>
      <c r="P559" t="s">
        <v>2898</v>
      </c>
      <c r="Q559" t="s">
        <v>3617</v>
      </c>
      <c r="R559" t="s">
        <v>2665</v>
      </c>
      <c r="S559" t="s">
        <v>2779</v>
      </c>
      <c r="T559" t="s">
        <v>2780</v>
      </c>
      <c r="U559" t="s">
        <v>2665</v>
      </c>
      <c r="V559" t="s">
        <v>3629</v>
      </c>
      <c r="W559" t="s">
        <v>3630</v>
      </c>
      <c r="X559" t="s">
        <v>2665</v>
      </c>
      <c r="Y559" t="s">
        <v>2054</v>
      </c>
      <c r="Z559" t="s">
        <v>1179</v>
      </c>
      <c r="AA559" t="s">
        <v>2795</v>
      </c>
      <c r="AB559" t="s">
        <v>2795</v>
      </c>
      <c r="AC559" t="s">
        <v>2665</v>
      </c>
      <c r="AD559" t="s">
        <v>2054</v>
      </c>
      <c r="AE559" t="s">
        <v>2054</v>
      </c>
    </row>
    <row r="560" spans="1:31" x14ac:dyDescent="0.25">
      <c r="A560" t="s">
        <v>1693</v>
      </c>
      <c r="B560" t="s">
        <v>1692</v>
      </c>
      <c r="C560" t="s">
        <v>3795</v>
      </c>
      <c r="D560" t="s">
        <v>1692</v>
      </c>
      <c r="E560" t="s">
        <v>2666</v>
      </c>
      <c r="F560" t="s">
        <v>2854</v>
      </c>
      <c r="G560" t="s">
        <v>2666</v>
      </c>
      <c r="H560" t="s">
        <v>2054</v>
      </c>
      <c r="I560" t="s">
        <v>2778</v>
      </c>
      <c r="J560" t="s">
        <v>2054</v>
      </c>
      <c r="K560" t="s">
        <v>2665</v>
      </c>
      <c r="L560" t="s">
        <v>1179</v>
      </c>
      <c r="M560" t="s">
        <v>2875</v>
      </c>
      <c r="N560" t="s">
        <v>2665</v>
      </c>
      <c r="O560" t="s">
        <v>2876</v>
      </c>
      <c r="P560" t="s">
        <v>2910</v>
      </c>
      <c r="Q560" t="s">
        <v>3758</v>
      </c>
      <c r="R560" t="s">
        <v>2665</v>
      </c>
      <c r="S560" t="s">
        <v>2779</v>
      </c>
      <c r="T560" t="s">
        <v>2780</v>
      </c>
      <c r="U560" t="s">
        <v>2665</v>
      </c>
      <c r="V560" t="s">
        <v>3629</v>
      </c>
      <c r="W560" t="s">
        <v>3630</v>
      </c>
      <c r="X560" t="s">
        <v>2665</v>
      </c>
      <c r="Y560" t="s">
        <v>2054</v>
      </c>
      <c r="Z560" t="s">
        <v>1179</v>
      </c>
      <c r="AA560" t="s">
        <v>2763</v>
      </c>
      <c r="AB560" t="s">
        <v>2763</v>
      </c>
      <c r="AC560" t="s">
        <v>2665</v>
      </c>
      <c r="AD560" t="s">
        <v>2054</v>
      </c>
      <c r="AE560" t="s">
        <v>2726</v>
      </c>
    </row>
    <row r="561" spans="1:31" x14ac:dyDescent="0.25">
      <c r="A561" t="s">
        <v>1695</v>
      </c>
      <c r="B561" t="s">
        <v>1694</v>
      </c>
      <c r="C561" t="s">
        <v>3796</v>
      </c>
      <c r="D561" t="s">
        <v>1694</v>
      </c>
      <c r="E561" t="s">
        <v>2666</v>
      </c>
      <c r="F561" t="s">
        <v>2903</v>
      </c>
      <c r="G561" t="s">
        <v>2666</v>
      </c>
      <c r="H561" t="s">
        <v>2054</v>
      </c>
      <c r="I561" t="s">
        <v>2778</v>
      </c>
      <c r="J561" t="s">
        <v>2054</v>
      </c>
      <c r="K561" t="s">
        <v>2665</v>
      </c>
      <c r="L561" t="s">
        <v>1179</v>
      </c>
      <c r="M561" t="s">
        <v>2875</v>
      </c>
      <c r="N561" t="s">
        <v>2665</v>
      </c>
      <c r="O561" t="s">
        <v>2876</v>
      </c>
      <c r="P561" t="s">
        <v>2910</v>
      </c>
      <c r="Q561" t="s">
        <v>3758</v>
      </c>
      <c r="R561" t="s">
        <v>2665</v>
      </c>
      <c r="S561" t="s">
        <v>2779</v>
      </c>
      <c r="T561" t="s">
        <v>2780</v>
      </c>
      <c r="U561" t="s">
        <v>2665</v>
      </c>
      <c r="V561" t="s">
        <v>3629</v>
      </c>
      <c r="W561" t="s">
        <v>3630</v>
      </c>
      <c r="X561" t="s">
        <v>2665</v>
      </c>
      <c r="Y561" t="s">
        <v>2054</v>
      </c>
      <c r="Z561" t="s">
        <v>1179</v>
      </c>
      <c r="AA561" t="s">
        <v>2894</v>
      </c>
      <c r="AB561" t="s">
        <v>2894</v>
      </c>
      <c r="AC561" t="s">
        <v>2665</v>
      </c>
      <c r="AD561" t="s">
        <v>2054</v>
      </c>
      <c r="AE561" t="s">
        <v>2054</v>
      </c>
    </row>
    <row r="562" spans="1:31" x14ac:dyDescent="0.25">
      <c r="A562" t="s">
        <v>1697</v>
      </c>
      <c r="B562" t="s">
        <v>1696</v>
      </c>
      <c r="C562" t="s">
        <v>3797</v>
      </c>
      <c r="D562" t="s">
        <v>1696</v>
      </c>
      <c r="E562" t="s">
        <v>2666</v>
      </c>
      <c r="F562" t="s">
        <v>2805</v>
      </c>
      <c r="G562" t="s">
        <v>2666</v>
      </c>
      <c r="H562" t="s">
        <v>2054</v>
      </c>
      <c r="I562" t="s">
        <v>2778</v>
      </c>
      <c r="J562" t="s">
        <v>2054</v>
      </c>
      <c r="K562" t="s">
        <v>2665</v>
      </c>
      <c r="L562" t="s">
        <v>1179</v>
      </c>
      <c r="M562" t="s">
        <v>2875</v>
      </c>
      <c r="N562" t="s">
        <v>2665</v>
      </c>
      <c r="O562" t="s">
        <v>2876</v>
      </c>
      <c r="P562" t="s">
        <v>2898</v>
      </c>
      <c r="Q562" t="s">
        <v>3617</v>
      </c>
      <c r="R562" t="s">
        <v>2665</v>
      </c>
      <c r="S562" t="s">
        <v>2779</v>
      </c>
      <c r="T562" t="s">
        <v>2780</v>
      </c>
      <c r="U562" t="s">
        <v>2665</v>
      </c>
      <c r="V562" t="s">
        <v>3629</v>
      </c>
      <c r="W562" t="s">
        <v>3630</v>
      </c>
      <c r="X562" t="s">
        <v>2665</v>
      </c>
      <c r="Y562" t="s">
        <v>2054</v>
      </c>
      <c r="Z562" t="s">
        <v>1179</v>
      </c>
      <c r="AA562" t="s">
        <v>2797</v>
      </c>
      <c r="AB562" t="s">
        <v>2797</v>
      </c>
      <c r="AC562" t="s">
        <v>2665</v>
      </c>
      <c r="AD562" t="s">
        <v>2054</v>
      </c>
      <c r="AE562" t="s">
        <v>2054</v>
      </c>
    </row>
    <row r="563" spans="1:31" x14ac:dyDescent="0.25">
      <c r="A563" t="s">
        <v>1699</v>
      </c>
      <c r="B563" t="s">
        <v>1698</v>
      </c>
      <c r="C563" t="s">
        <v>3798</v>
      </c>
      <c r="D563" t="s">
        <v>1698</v>
      </c>
      <c r="E563" t="s">
        <v>2666</v>
      </c>
      <c r="F563" t="s">
        <v>2667</v>
      </c>
      <c r="G563" t="s">
        <v>2666</v>
      </c>
      <c r="H563" t="s">
        <v>2054</v>
      </c>
      <c r="I563" t="s">
        <v>2778</v>
      </c>
      <c r="J563" t="s">
        <v>2054</v>
      </c>
      <c r="K563" t="s">
        <v>2665</v>
      </c>
      <c r="L563" t="s">
        <v>1179</v>
      </c>
      <c r="M563" t="s">
        <v>2898</v>
      </c>
      <c r="N563" t="s">
        <v>2665</v>
      </c>
      <c r="O563" t="s">
        <v>2984</v>
      </c>
      <c r="P563" t="s">
        <v>2878</v>
      </c>
      <c r="Q563" t="s">
        <v>3560</v>
      </c>
      <c r="R563" t="s">
        <v>2665</v>
      </c>
      <c r="S563" t="s">
        <v>2779</v>
      </c>
      <c r="T563" t="s">
        <v>2780</v>
      </c>
      <c r="U563" t="s">
        <v>2665</v>
      </c>
      <c r="V563" t="s">
        <v>3629</v>
      </c>
      <c r="W563" t="s">
        <v>3630</v>
      </c>
      <c r="X563" t="s">
        <v>2665</v>
      </c>
      <c r="Y563" t="s">
        <v>2054</v>
      </c>
      <c r="Z563" t="s">
        <v>1179</v>
      </c>
      <c r="AA563" t="s">
        <v>2850</v>
      </c>
      <c r="AB563" t="s">
        <v>2850</v>
      </c>
      <c r="AC563" t="s">
        <v>2665</v>
      </c>
      <c r="AD563" t="s">
        <v>2054</v>
      </c>
      <c r="AE563" t="s">
        <v>2726</v>
      </c>
    </row>
    <row r="564" spans="1:31" x14ac:dyDescent="0.25">
      <c r="A564" t="s">
        <v>1700</v>
      </c>
      <c r="B564" t="s">
        <v>489</v>
      </c>
      <c r="C564" t="s">
        <v>3799</v>
      </c>
      <c r="D564" t="s">
        <v>489</v>
      </c>
      <c r="E564" t="s">
        <v>2666</v>
      </c>
      <c r="F564" t="s">
        <v>2903</v>
      </c>
      <c r="G564" t="s">
        <v>2666</v>
      </c>
      <c r="H564" t="s">
        <v>2054</v>
      </c>
      <c r="I564" t="s">
        <v>2778</v>
      </c>
      <c r="J564" t="s">
        <v>2054</v>
      </c>
      <c r="K564" t="s">
        <v>2665</v>
      </c>
      <c r="L564" t="s">
        <v>1179</v>
      </c>
      <c r="M564" t="s">
        <v>2898</v>
      </c>
      <c r="N564" t="s">
        <v>2665</v>
      </c>
      <c r="O564" t="s">
        <v>2984</v>
      </c>
      <c r="P564" t="s">
        <v>2878</v>
      </c>
      <c r="Q564" t="s">
        <v>3560</v>
      </c>
      <c r="R564" t="s">
        <v>2665</v>
      </c>
      <c r="S564" t="s">
        <v>2779</v>
      </c>
      <c r="T564" t="s">
        <v>2780</v>
      </c>
      <c r="U564" t="s">
        <v>2665</v>
      </c>
      <c r="V564" t="s">
        <v>3629</v>
      </c>
      <c r="W564" t="s">
        <v>3630</v>
      </c>
      <c r="X564" t="s">
        <v>2665</v>
      </c>
      <c r="Y564" t="s">
        <v>2054</v>
      </c>
      <c r="Z564" t="s">
        <v>1179</v>
      </c>
      <c r="AA564" t="s">
        <v>2847</v>
      </c>
      <c r="AB564" t="s">
        <v>2847</v>
      </c>
      <c r="AC564" t="s">
        <v>2665</v>
      </c>
      <c r="AD564" t="s">
        <v>2054</v>
      </c>
      <c r="AE564" t="s">
        <v>2054</v>
      </c>
    </row>
    <row r="565" spans="1:31" x14ac:dyDescent="0.25">
      <c r="A565" t="s">
        <v>1701</v>
      </c>
      <c r="B565" t="s">
        <v>490</v>
      </c>
      <c r="C565" t="s">
        <v>3800</v>
      </c>
      <c r="D565" t="s">
        <v>490</v>
      </c>
      <c r="E565" t="s">
        <v>2666</v>
      </c>
      <c r="F565" t="s">
        <v>2805</v>
      </c>
      <c r="G565" t="s">
        <v>2666</v>
      </c>
      <c r="H565" t="s">
        <v>2054</v>
      </c>
      <c r="I565" t="s">
        <v>2778</v>
      </c>
      <c r="J565" t="s">
        <v>2054</v>
      </c>
      <c r="K565" t="s">
        <v>2665</v>
      </c>
      <c r="L565" t="s">
        <v>1179</v>
      </c>
      <c r="M565" t="s">
        <v>2898</v>
      </c>
      <c r="N565" t="s">
        <v>2665</v>
      </c>
      <c r="O565" t="s">
        <v>2984</v>
      </c>
      <c r="P565" t="s">
        <v>2878</v>
      </c>
      <c r="Q565" t="s">
        <v>3560</v>
      </c>
      <c r="R565" t="s">
        <v>2665</v>
      </c>
      <c r="S565" t="s">
        <v>2779</v>
      </c>
      <c r="T565" t="s">
        <v>2780</v>
      </c>
      <c r="U565" t="s">
        <v>2665</v>
      </c>
      <c r="V565" t="s">
        <v>3629</v>
      </c>
      <c r="W565" t="s">
        <v>3630</v>
      </c>
      <c r="X565" t="s">
        <v>2665</v>
      </c>
      <c r="Y565" t="s">
        <v>2054</v>
      </c>
      <c r="Z565" t="s">
        <v>1179</v>
      </c>
      <c r="AA565" t="s">
        <v>3561</v>
      </c>
      <c r="AB565" t="s">
        <v>3561</v>
      </c>
      <c r="AC565" t="s">
        <v>2665</v>
      </c>
      <c r="AD565" t="s">
        <v>2054</v>
      </c>
      <c r="AE565" t="s">
        <v>2054</v>
      </c>
    </row>
    <row r="566" spans="1:31" x14ac:dyDescent="0.25">
      <c r="A566" t="s">
        <v>1702</v>
      </c>
      <c r="B566" t="s">
        <v>491</v>
      </c>
      <c r="C566" t="s">
        <v>3801</v>
      </c>
      <c r="D566" t="s">
        <v>491</v>
      </c>
      <c r="E566" t="s">
        <v>2666</v>
      </c>
      <c r="F566" t="s">
        <v>3802</v>
      </c>
      <c r="G566" t="s">
        <v>2666</v>
      </c>
      <c r="H566" t="s">
        <v>2054</v>
      </c>
      <c r="I566" t="s">
        <v>2778</v>
      </c>
      <c r="J566" t="s">
        <v>2054</v>
      </c>
      <c r="K566" t="s">
        <v>2665</v>
      </c>
      <c r="L566" t="s">
        <v>1179</v>
      </c>
      <c r="M566" t="s">
        <v>2898</v>
      </c>
      <c r="N566" t="s">
        <v>2665</v>
      </c>
      <c r="O566" t="s">
        <v>2984</v>
      </c>
      <c r="P566" t="s">
        <v>2878</v>
      </c>
      <c r="Q566" t="s">
        <v>3560</v>
      </c>
      <c r="R566" t="s">
        <v>2665</v>
      </c>
      <c r="S566" t="s">
        <v>2779</v>
      </c>
      <c r="T566" t="s">
        <v>2780</v>
      </c>
      <c r="U566" t="s">
        <v>2665</v>
      </c>
      <c r="V566" t="s">
        <v>3629</v>
      </c>
      <c r="W566" t="s">
        <v>3630</v>
      </c>
      <c r="X566" t="s">
        <v>2665</v>
      </c>
      <c r="Y566" t="s">
        <v>2054</v>
      </c>
      <c r="Z566" t="s">
        <v>1179</v>
      </c>
      <c r="AA566" t="s">
        <v>2791</v>
      </c>
      <c r="AB566" t="s">
        <v>2791</v>
      </c>
      <c r="AC566" t="s">
        <v>2665</v>
      </c>
      <c r="AD566" t="s">
        <v>2054</v>
      </c>
      <c r="AE566" t="s">
        <v>2054</v>
      </c>
    </row>
    <row r="567" spans="1:31" x14ac:dyDescent="0.25">
      <c r="A567" t="s">
        <v>1703</v>
      </c>
      <c r="B567" t="s">
        <v>492</v>
      </c>
      <c r="C567" t="s">
        <v>3561</v>
      </c>
      <c r="D567" t="s">
        <v>492</v>
      </c>
      <c r="E567" t="s">
        <v>2666</v>
      </c>
      <c r="F567" t="s">
        <v>2903</v>
      </c>
      <c r="G567" t="s">
        <v>2666</v>
      </c>
      <c r="H567" t="s">
        <v>2054</v>
      </c>
      <c r="I567" t="s">
        <v>2778</v>
      </c>
      <c r="J567" t="s">
        <v>2054</v>
      </c>
      <c r="K567" t="s">
        <v>2665</v>
      </c>
      <c r="L567" t="s">
        <v>1179</v>
      </c>
      <c r="M567" t="s">
        <v>2898</v>
      </c>
      <c r="N567" t="s">
        <v>2665</v>
      </c>
      <c r="O567" t="s">
        <v>2984</v>
      </c>
      <c r="P567" t="s">
        <v>2878</v>
      </c>
      <c r="Q567" t="s">
        <v>3560</v>
      </c>
      <c r="R567" t="s">
        <v>2665</v>
      </c>
      <c r="S567" t="s">
        <v>2779</v>
      </c>
      <c r="T567" t="s">
        <v>2780</v>
      </c>
      <c r="U567" t="s">
        <v>2665</v>
      </c>
      <c r="V567" t="s">
        <v>3629</v>
      </c>
      <c r="W567" t="s">
        <v>3630</v>
      </c>
      <c r="X567" t="s">
        <v>2665</v>
      </c>
      <c r="Y567" t="s">
        <v>2054</v>
      </c>
      <c r="Z567" t="s">
        <v>1179</v>
      </c>
      <c r="AA567" t="s">
        <v>2847</v>
      </c>
      <c r="AB567" t="s">
        <v>2847</v>
      </c>
      <c r="AC567" t="s">
        <v>2665</v>
      </c>
      <c r="AD567" t="s">
        <v>2054</v>
      </c>
      <c r="AE567" t="s">
        <v>2054</v>
      </c>
    </row>
    <row r="568" spans="1:31" x14ac:dyDescent="0.25">
      <c r="A568" t="s">
        <v>1704</v>
      </c>
      <c r="B568" t="s">
        <v>493</v>
      </c>
      <c r="C568" t="s">
        <v>3803</v>
      </c>
      <c r="D568" t="s">
        <v>493</v>
      </c>
      <c r="E568" t="s">
        <v>2666</v>
      </c>
      <c r="F568" t="s">
        <v>2805</v>
      </c>
      <c r="G568" t="s">
        <v>2666</v>
      </c>
      <c r="H568" t="s">
        <v>2054</v>
      </c>
      <c r="I568" t="s">
        <v>2778</v>
      </c>
      <c r="J568" t="s">
        <v>2054</v>
      </c>
      <c r="K568" t="s">
        <v>2665</v>
      </c>
      <c r="L568" t="s">
        <v>1179</v>
      </c>
      <c r="M568" t="s">
        <v>2898</v>
      </c>
      <c r="N568" t="s">
        <v>2665</v>
      </c>
      <c r="O568" t="s">
        <v>2984</v>
      </c>
      <c r="P568" t="s">
        <v>2878</v>
      </c>
      <c r="Q568" t="s">
        <v>3560</v>
      </c>
      <c r="R568" t="s">
        <v>2665</v>
      </c>
      <c r="S568" t="s">
        <v>2779</v>
      </c>
      <c r="T568" t="s">
        <v>2780</v>
      </c>
      <c r="U568" t="s">
        <v>2665</v>
      </c>
      <c r="V568" t="s">
        <v>3629</v>
      </c>
      <c r="W568" t="s">
        <v>3630</v>
      </c>
      <c r="X568" t="s">
        <v>2665</v>
      </c>
      <c r="Y568" t="s">
        <v>2054</v>
      </c>
      <c r="Z568" t="s">
        <v>1179</v>
      </c>
      <c r="AA568" t="s">
        <v>3561</v>
      </c>
      <c r="AB568" t="s">
        <v>3561</v>
      </c>
      <c r="AC568" t="s">
        <v>2665</v>
      </c>
      <c r="AD568" t="s">
        <v>2054</v>
      </c>
      <c r="AE568" t="s">
        <v>2054</v>
      </c>
    </row>
    <row r="569" spans="1:31" x14ac:dyDescent="0.25">
      <c r="A569" t="s">
        <v>1705</v>
      </c>
      <c r="B569" t="s">
        <v>494</v>
      </c>
      <c r="C569" t="s">
        <v>3804</v>
      </c>
      <c r="D569" t="s">
        <v>494</v>
      </c>
      <c r="E569" t="s">
        <v>2666</v>
      </c>
      <c r="F569" t="s">
        <v>3802</v>
      </c>
      <c r="G569" t="s">
        <v>2666</v>
      </c>
      <c r="H569" t="s">
        <v>2054</v>
      </c>
      <c r="I569" t="s">
        <v>2778</v>
      </c>
      <c r="J569" t="s">
        <v>2054</v>
      </c>
      <c r="K569" t="s">
        <v>2665</v>
      </c>
      <c r="L569" t="s">
        <v>1179</v>
      </c>
      <c r="M569" t="s">
        <v>2898</v>
      </c>
      <c r="N569" t="s">
        <v>2665</v>
      </c>
      <c r="O569" t="s">
        <v>2984</v>
      </c>
      <c r="P569" t="s">
        <v>2878</v>
      </c>
      <c r="Q569" t="s">
        <v>3560</v>
      </c>
      <c r="R569" t="s">
        <v>2665</v>
      </c>
      <c r="S569" t="s">
        <v>2779</v>
      </c>
      <c r="T569" t="s">
        <v>2780</v>
      </c>
      <c r="U569" t="s">
        <v>2665</v>
      </c>
      <c r="V569" t="s">
        <v>3629</v>
      </c>
      <c r="W569" t="s">
        <v>3630</v>
      </c>
      <c r="X569" t="s">
        <v>2665</v>
      </c>
      <c r="Y569" t="s">
        <v>2054</v>
      </c>
      <c r="Z569" t="s">
        <v>1179</v>
      </c>
      <c r="AA569" t="s">
        <v>2791</v>
      </c>
      <c r="AB569" t="s">
        <v>2791</v>
      </c>
      <c r="AC569" t="s">
        <v>2665</v>
      </c>
      <c r="AD569" t="s">
        <v>2054</v>
      </c>
      <c r="AE569" t="s">
        <v>2054</v>
      </c>
    </row>
    <row r="570" spans="1:31" x14ac:dyDescent="0.25">
      <c r="A570" t="s">
        <v>1707</v>
      </c>
      <c r="B570" t="s">
        <v>1706</v>
      </c>
      <c r="C570" t="s">
        <v>3805</v>
      </c>
      <c r="D570" t="s">
        <v>1706</v>
      </c>
      <c r="E570" t="s">
        <v>2666</v>
      </c>
      <c r="F570" t="s">
        <v>3806</v>
      </c>
      <c r="G570" t="s">
        <v>2666</v>
      </c>
      <c r="H570" t="s">
        <v>2054</v>
      </c>
      <c r="I570" t="s">
        <v>2778</v>
      </c>
      <c r="J570" t="s">
        <v>2054</v>
      </c>
      <c r="K570" t="s">
        <v>2665</v>
      </c>
      <c r="L570" t="s">
        <v>1179</v>
      </c>
      <c r="M570" t="s">
        <v>2875</v>
      </c>
      <c r="N570" t="s">
        <v>2665</v>
      </c>
      <c r="O570" t="s">
        <v>2876</v>
      </c>
      <c r="P570" t="s">
        <v>2827</v>
      </c>
      <c r="Q570" t="s">
        <v>3397</v>
      </c>
      <c r="R570" t="s">
        <v>2665</v>
      </c>
      <c r="S570" t="s">
        <v>2779</v>
      </c>
      <c r="T570" t="s">
        <v>2780</v>
      </c>
      <c r="U570" t="s">
        <v>2665</v>
      </c>
      <c r="V570" t="s">
        <v>3629</v>
      </c>
      <c r="W570" t="s">
        <v>3630</v>
      </c>
      <c r="X570" t="s">
        <v>2665</v>
      </c>
      <c r="Y570" t="s">
        <v>2054</v>
      </c>
      <c r="Z570" t="s">
        <v>1179</v>
      </c>
      <c r="AA570" t="s">
        <v>3807</v>
      </c>
      <c r="AB570" t="s">
        <v>3807</v>
      </c>
      <c r="AC570" t="s">
        <v>2665</v>
      </c>
      <c r="AD570" t="s">
        <v>2054</v>
      </c>
      <c r="AE570" t="s">
        <v>2054</v>
      </c>
    </row>
    <row r="571" spans="1:31" x14ac:dyDescent="0.25">
      <c r="A571" t="s">
        <v>3808</v>
      </c>
      <c r="B571" t="s">
        <v>3809</v>
      </c>
      <c r="C571" t="s">
        <v>3810</v>
      </c>
      <c r="D571" t="s">
        <v>3809</v>
      </c>
      <c r="E571" t="s">
        <v>2666</v>
      </c>
      <c r="F571" t="s">
        <v>3811</v>
      </c>
      <c r="G571" t="s">
        <v>2666</v>
      </c>
      <c r="H571" t="s">
        <v>2054</v>
      </c>
      <c r="I571" t="s">
        <v>2778</v>
      </c>
      <c r="J571" t="s">
        <v>2054</v>
      </c>
      <c r="K571" t="s">
        <v>2665</v>
      </c>
      <c r="L571" t="s">
        <v>1179</v>
      </c>
      <c r="M571" t="s">
        <v>2875</v>
      </c>
      <c r="N571" t="s">
        <v>2665</v>
      </c>
      <c r="O571" t="s">
        <v>2876</v>
      </c>
      <c r="P571" t="s">
        <v>2827</v>
      </c>
      <c r="Q571" t="s">
        <v>3397</v>
      </c>
      <c r="R571" t="s">
        <v>2665</v>
      </c>
      <c r="S571" t="s">
        <v>2779</v>
      </c>
      <c r="T571" t="s">
        <v>2780</v>
      </c>
      <c r="U571" t="s">
        <v>2665</v>
      </c>
      <c r="V571" t="s">
        <v>3629</v>
      </c>
      <c r="W571" t="s">
        <v>3630</v>
      </c>
      <c r="X571" t="s">
        <v>2665</v>
      </c>
      <c r="Y571" t="s">
        <v>2054</v>
      </c>
      <c r="Z571" t="s">
        <v>1179</v>
      </c>
      <c r="AA571" t="s">
        <v>3636</v>
      </c>
      <c r="AB571" t="s">
        <v>3636</v>
      </c>
      <c r="AC571" t="s">
        <v>2665</v>
      </c>
      <c r="AD571" t="s">
        <v>2054</v>
      </c>
      <c r="AE571" t="s">
        <v>2054</v>
      </c>
    </row>
    <row r="572" spans="1:31" x14ac:dyDescent="0.25">
      <c r="A572" t="s">
        <v>1709</v>
      </c>
      <c r="B572" t="s">
        <v>1708</v>
      </c>
      <c r="C572" t="s">
        <v>3812</v>
      </c>
      <c r="D572" t="s">
        <v>1708</v>
      </c>
      <c r="E572" t="s">
        <v>2666</v>
      </c>
      <c r="F572" t="s">
        <v>2889</v>
      </c>
      <c r="G572" t="s">
        <v>2666</v>
      </c>
      <c r="H572" t="s">
        <v>2054</v>
      </c>
      <c r="I572" t="s">
        <v>2778</v>
      </c>
      <c r="J572" t="s">
        <v>2054</v>
      </c>
      <c r="K572" t="s">
        <v>2665</v>
      </c>
      <c r="L572" t="s">
        <v>1179</v>
      </c>
      <c r="M572" t="s">
        <v>2875</v>
      </c>
      <c r="N572" t="s">
        <v>2665</v>
      </c>
      <c r="O572" t="s">
        <v>2876</v>
      </c>
      <c r="P572" t="s">
        <v>2827</v>
      </c>
      <c r="Q572" t="s">
        <v>3397</v>
      </c>
      <c r="R572" t="s">
        <v>2665</v>
      </c>
      <c r="S572" t="s">
        <v>2779</v>
      </c>
      <c r="T572" t="s">
        <v>2780</v>
      </c>
      <c r="U572" t="s">
        <v>2665</v>
      </c>
      <c r="V572" t="s">
        <v>3629</v>
      </c>
      <c r="W572" t="s">
        <v>3630</v>
      </c>
      <c r="X572" t="s">
        <v>2665</v>
      </c>
      <c r="Y572" t="s">
        <v>2054</v>
      </c>
      <c r="Z572" t="s">
        <v>1179</v>
      </c>
      <c r="AA572" t="s">
        <v>3813</v>
      </c>
      <c r="AB572" t="s">
        <v>3813</v>
      </c>
      <c r="AC572" t="s">
        <v>2665</v>
      </c>
      <c r="AD572" t="s">
        <v>2054</v>
      </c>
      <c r="AE572" t="s">
        <v>2054</v>
      </c>
    </row>
    <row r="573" spans="1:31" x14ac:dyDescent="0.25">
      <c r="A573" t="s">
        <v>1711</v>
      </c>
      <c r="B573" t="s">
        <v>1710</v>
      </c>
      <c r="C573" t="s">
        <v>3814</v>
      </c>
      <c r="D573" t="s">
        <v>1710</v>
      </c>
      <c r="E573" t="s">
        <v>2666</v>
      </c>
      <c r="F573" t="s">
        <v>3583</v>
      </c>
      <c r="G573" t="s">
        <v>2666</v>
      </c>
      <c r="H573" t="s">
        <v>2054</v>
      </c>
      <c r="I573" t="s">
        <v>2778</v>
      </c>
      <c r="J573" t="s">
        <v>2054</v>
      </c>
      <c r="K573" t="s">
        <v>2665</v>
      </c>
      <c r="L573" t="s">
        <v>1179</v>
      </c>
      <c r="M573" t="s">
        <v>2875</v>
      </c>
      <c r="N573" t="s">
        <v>2665</v>
      </c>
      <c r="O573" t="s">
        <v>2876</v>
      </c>
      <c r="P573" t="s">
        <v>2827</v>
      </c>
      <c r="Q573" t="s">
        <v>3397</v>
      </c>
      <c r="R573" t="s">
        <v>2665</v>
      </c>
      <c r="S573" t="s">
        <v>2779</v>
      </c>
      <c r="T573" t="s">
        <v>2780</v>
      </c>
      <c r="U573" t="s">
        <v>2665</v>
      </c>
      <c r="V573" t="s">
        <v>3629</v>
      </c>
      <c r="W573" t="s">
        <v>3630</v>
      </c>
      <c r="X573" t="s">
        <v>2665</v>
      </c>
      <c r="Y573" t="s">
        <v>2054</v>
      </c>
      <c r="Z573" t="s">
        <v>1179</v>
      </c>
      <c r="AA573" t="s">
        <v>3815</v>
      </c>
      <c r="AB573" t="s">
        <v>3815</v>
      </c>
      <c r="AC573" t="s">
        <v>2665</v>
      </c>
      <c r="AD573" t="s">
        <v>2054</v>
      </c>
      <c r="AE573" t="s">
        <v>2054</v>
      </c>
    </row>
    <row r="574" spans="1:31" x14ac:dyDescent="0.25">
      <c r="A574" t="s">
        <v>3816</v>
      </c>
      <c r="B574" t="s">
        <v>3817</v>
      </c>
      <c r="C574" t="s">
        <v>3818</v>
      </c>
      <c r="D574" t="s">
        <v>3817</v>
      </c>
      <c r="E574" t="s">
        <v>2666</v>
      </c>
      <c r="F574" t="s">
        <v>2819</v>
      </c>
      <c r="G574" t="s">
        <v>2666</v>
      </c>
      <c r="H574" t="s">
        <v>2054</v>
      </c>
      <c r="I574" t="s">
        <v>2741</v>
      </c>
      <c r="J574" t="s">
        <v>2054</v>
      </c>
      <c r="K574" t="s">
        <v>2665</v>
      </c>
      <c r="L574" t="s">
        <v>1136</v>
      </c>
      <c r="M574" t="s">
        <v>2875</v>
      </c>
      <c r="N574" t="s">
        <v>2665</v>
      </c>
      <c r="O574" t="s">
        <v>2876</v>
      </c>
      <c r="P574" t="s">
        <v>2827</v>
      </c>
      <c r="Q574" t="s">
        <v>3397</v>
      </c>
      <c r="R574" t="s">
        <v>2665</v>
      </c>
      <c r="S574" t="s">
        <v>2779</v>
      </c>
      <c r="T574" t="s">
        <v>2780</v>
      </c>
      <c r="U574" t="s">
        <v>2665</v>
      </c>
      <c r="V574" t="s">
        <v>3629</v>
      </c>
      <c r="W574" t="s">
        <v>3630</v>
      </c>
      <c r="X574" t="s">
        <v>2665</v>
      </c>
      <c r="Y574" t="s">
        <v>2054</v>
      </c>
      <c r="Z574" t="s">
        <v>1136</v>
      </c>
      <c r="AA574" t="s">
        <v>2665</v>
      </c>
      <c r="AB574" t="s">
        <v>2665</v>
      </c>
      <c r="AC574" t="s">
        <v>2665</v>
      </c>
      <c r="AD574" t="s">
        <v>2054</v>
      </c>
      <c r="AE574" t="s">
        <v>2718</v>
      </c>
    </row>
    <row r="575" spans="1:31" x14ac:dyDescent="0.25">
      <c r="A575" t="s">
        <v>1713</v>
      </c>
      <c r="B575" t="s">
        <v>1712</v>
      </c>
      <c r="C575" t="s">
        <v>3819</v>
      </c>
      <c r="D575" t="s">
        <v>1712</v>
      </c>
      <c r="E575" t="s">
        <v>2666</v>
      </c>
      <c r="F575" t="s">
        <v>3549</v>
      </c>
      <c r="G575" t="s">
        <v>2666</v>
      </c>
      <c r="H575" t="s">
        <v>2054</v>
      </c>
      <c r="I575" t="s">
        <v>2778</v>
      </c>
      <c r="J575" t="s">
        <v>2054</v>
      </c>
      <c r="K575" t="s">
        <v>2665</v>
      </c>
      <c r="L575" t="s">
        <v>1179</v>
      </c>
      <c r="M575" t="s">
        <v>2875</v>
      </c>
      <c r="N575" t="s">
        <v>2665</v>
      </c>
      <c r="O575" t="s">
        <v>2876</v>
      </c>
      <c r="P575" t="s">
        <v>2827</v>
      </c>
      <c r="Q575" t="s">
        <v>3397</v>
      </c>
      <c r="R575" t="s">
        <v>2665</v>
      </c>
      <c r="S575" t="s">
        <v>2779</v>
      </c>
      <c r="T575" t="s">
        <v>2780</v>
      </c>
      <c r="U575" t="s">
        <v>2665</v>
      </c>
      <c r="V575" t="s">
        <v>3629</v>
      </c>
      <c r="W575" t="s">
        <v>3630</v>
      </c>
      <c r="X575" t="s">
        <v>2665</v>
      </c>
      <c r="Y575" t="s">
        <v>2054</v>
      </c>
      <c r="Z575" t="s">
        <v>1179</v>
      </c>
      <c r="AA575" t="s">
        <v>3820</v>
      </c>
      <c r="AB575" t="s">
        <v>3820</v>
      </c>
      <c r="AC575" t="s">
        <v>2665</v>
      </c>
      <c r="AD575" t="s">
        <v>2054</v>
      </c>
      <c r="AE575" t="s">
        <v>2726</v>
      </c>
    </row>
    <row r="576" spans="1:31" x14ac:dyDescent="0.25">
      <c r="A576" t="s">
        <v>1715</v>
      </c>
      <c r="B576" t="s">
        <v>1714</v>
      </c>
      <c r="C576" t="s">
        <v>2850</v>
      </c>
      <c r="D576" t="s">
        <v>1714</v>
      </c>
      <c r="E576" t="s">
        <v>2666</v>
      </c>
      <c r="F576" t="s">
        <v>2819</v>
      </c>
      <c r="G576" t="s">
        <v>2666</v>
      </c>
      <c r="H576" t="s">
        <v>2054</v>
      </c>
      <c r="I576" t="s">
        <v>2778</v>
      </c>
      <c r="J576" t="s">
        <v>2054</v>
      </c>
      <c r="K576" t="s">
        <v>2665</v>
      </c>
      <c r="L576" t="s">
        <v>1179</v>
      </c>
      <c r="M576" t="s">
        <v>2875</v>
      </c>
      <c r="N576" t="s">
        <v>2665</v>
      </c>
      <c r="O576" t="s">
        <v>2876</v>
      </c>
      <c r="P576" t="s">
        <v>2827</v>
      </c>
      <c r="Q576" t="s">
        <v>3397</v>
      </c>
      <c r="R576" t="s">
        <v>2665</v>
      </c>
      <c r="S576" t="s">
        <v>2779</v>
      </c>
      <c r="T576" t="s">
        <v>2780</v>
      </c>
      <c r="U576" t="s">
        <v>2665</v>
      </c>
      <c r="V576" t="s">
        <v>3629</v>
      </c>
      <c r="W576" t="s">
        <v>3630</v>
      </c>
      <c r="X576" t="s">
        <v>2665</v>
      </c>
      <c r="Y576" t="s">
        <v>2054</v>
      </c>
      <c r="Z576" t="s">
        <v>1179</v>
      </c>
      <c r="AA576" t="s">
        <v>3820</v>
      </c>
      <c r="AB576" t="s">
        <v>3820</v>
      </c>
      <c r="AC576" t="s">
        <v>2665</v>
      </c>
      <c r="AD576" t="s">
        <v>2054</v>
      </c>
      <c r="AE576" t="s">
        <v>2726</v>
      </c>
    </row>
    <row r="577" spans="1:31" x14ac:dyDescent="0.25">
      <c r="A577" t="s">
        <v>1717</v>
      </c>
      <c r="B577" t="s">
        <v>1716</v>
      </c>
      <c r="C577" t="s">
        <v>3821</v>
      </c>
      <c r="D577" t="s">
        <v>1716</v>
      </c>
      <c r="E577" t="s">
        <v>2666</v>
      </c>
      <c r="F577" t="s">
        <v>2752</v>
      </c>
      <c r="G577" t="s">
        <v>2666</v>
      </c>
      <c r="H577" t="s">
        <v>2054</v>
      </c>
      <c r="I577" t="s">
        <v>2778</v>
      </c>
      <c r="J577" t="s">
        <v>2054</v>
      </c>
      <c r="K577" t="s">
        <v>2665</v>
      </c>
      <c r="L577" t="s">
        <v>1179</v>
      </c>
      <c r="M577" t="s">
        <v>2875</v>
      </c>
      <c r="N577" t="s">
        <v>2665</v>
      </c>
      <c r="O577" t="s">
        <v>2876</v>
      </c>
      <c r="P577" t="s">
        <v>2910</v>
      </c>
      <c r="Q577" t="s">
        <v>3758</v>
      </c>
      <c r="R577" t="s">
        <v>2665</v>
      </c>
      <c r="S577" t="s">
        <v>2779</v>
      </c>
      <c r="T577" t="s">
        <v>2780</v>
      </c>
      <c r="U577" t="s">
        <v>2665</v>
      </c>
      <c r="V577" t="s">
        <v>3629</v>
      </c>
      <c r="W577" t="s">
        <v>3630</v>
      </c>
      <c r="X577" t="s">
        <v>2665</v>
      </c>
      <c r="Y577" t="s">
        <v>2054</v>
      </c>
      <c r="Z577" t="s">
        <v>1179</v>
      </c>
      <c r="AA577" t="s">
        <v>3820</v>
      </c>
      <c r="AB577" t="s">
        <v>3820</v>
      </c>
      <c r="AC577" t="s">
        <v>2665</v>
      </c>
      <c r="AD577" t="s">
        <v>2054</v>
      </c>
      <c r="AE577" t="s">
        <v>2726</v>
      </c>
    </row>
    <row r="578" spans="1:31" x14ac:dyDescent="0.25">
      <c r="A578" t="s">
        <v>3822</v>
      </c>
      <c r="B578" t="s">
        <v>3823</v>
      </c>
      <c r="C578" t="s">
        <v>3824</v>
      </c>
      <c r="D578" t="s">
        <v>3823</v>
      </c>
      <c r="E578" t="s">
        <v>2666</v>
      </c>
      <c r="F578" t="s">
        <v>3825</v>
      </c>
      <c r="G578" t="s">
        <v>2666</v>
      </c>
      <c r="H578" t="s">
        <v>2054</v>
      </c>
      <c r="I578" t="s">
        <v>2778</v>
      </c>
      <c r="J578" t="s">
        <v>2054</v>
      </c>
      <c r="K578" t="s">
        <v>2665</v>
      </c>
      <c r="L578" t="s">
        <v>1179</v>
      </c>
      <c r="M578" t="s">
        <v>2875</v>
      </c>
      <c r="N578" t="s">
        <v>2665</v>
      </c>
      <c r="O578" t="s">
        <v>2876</v>
      </c>
      <c r="P578" t="s">
        <v>2827</v>
      </c>
      <c r="Q578" t="s">
        <v>3397</v>
      </c>
      <c r="R578" t="s">
        <v>2665</v>
      </c>
      <c r="S578" t="s">
        <v>2779</v>
      </c>
      <c r="T578" t="s">
        <v>2780</v>
      </c>
      <c r="U578" t="s">
        <v>2665</v>
      </c>
      <c r="V578" t="s">
        <v>3629</v>
      </c>
      <c r="W578" t="s">
        <v>3630</v>
      </c>
      <c r="X578" t="s">
        <v>2665</v>
      </c>
      <c r="Y578" t="s">
        <v>2054</v>
      </c>
      <c r="Z578" t="s">
        <v>1179</v>
      </c>
      <c r="AA578" t="s">
        <v>3820</v>
      </c>
      <c r="AB578" t="s">
        <v>3820</v>
      </c>
      <c r="AC578" t="s">
        <v>2665</v>
      </c>
      <c r="AD578" t="s">
        <v>2054</v>
      </c>
      <c r="AE578" t="s">
        <v>2054</v>
      </c>
    </row>
    <row r="579" spans="1:31" x14ac:dyDescent="0.25">
      <c r="A579" t="s">
        <v>1719</v>
      </c>
      <c r="B579" t="s">
        <v>1718</v>
      </c>
      <c r="C579" t="s">
        <v>3826</v>
      </c>
      <c r="D579" t="s">
        <v>1718</v>
      </c>
      <c r="E579" t="s">
        <v>2666</v>
      </c>
      <c r="F579" t="s">
        <v>3827</v>
      </c>
      <c r="G579" t="s">
        <v>2666</v>
      </c>
      <c r="H579" t="s">
        <v>2054</v>
      </c>
      <c r="I579" t="s">
        <v>2778</v>
      </c>
      <c r="J579" t="s">
        <v>2054</v>
      </c>
      <c r="K579" t="s">
        <v>2665</v>
      </c>
      <c r="L579" t="s">
        <v>1179</v>
      </c>
      <c r="M579" t="s">
        <v>2875</v>
      </c>
      <c r="N579" t="s">
        <v>2665</v>
      </c>
      <c r="O579" t="s">
        <v>2876</v>
      </c>
      <c r="P579" t="s">
        <v>2827</v>
      </c>
      <c r="Q579" t="s">
        <v>3397</v>
      </c>
      <c r="R579" t="s">
        <v>2665</v>
      </c>
      <c r="S579" t="s">
        <v>2779</v>
      </c>
      <c r="T579" t="s">
        <v>2780</v>
      </c>
      <c r="U579" t="s">
        <v>2665</v>
      </c>
      <c r="V579" t="s">
        <v>3629</v>
      </c>
      <c r="W579" t="s">
        <v>3630</v>
      </c>
      <c r="X579" t="s">
        <v>2665</v>
      </c>
      <c r="Y579" t="s">
        <v>2054</v>
      </c>
      <c r="Z579" t="s">
        <v>1179</v>
      </c>
      <c r="AA579" t="s">
        <v>3037</v>
      </c>
      <c r="AB579" t="s">
        <v>3037</v>
      </c>
      <c r="AC579" t="s">
        <v>2665</v>
      </c>
      <c r="AD579" t="s">
        <v>2054</v>
      </c>
      <c r="AE579" t="s">
        <v>2054</v>
      </c>
    </row>
    <row r="580" spans="1:31" x14ac:dyDescent="0.25">
      <c r="A580" t="s">
        <v>1721</v>
      </c>
      <c r="B580" t="s">
        <v>1720</v>
      </c>
      <c r="C580" t="s">
        <v>3828</v>
      </c>
      <c r="D580" t="s">
        <v>1720</v>
      </c>
      <c r="E580" t="s">
        <v>2666</v>
      </c>
      <c r="F580" t="s">
        <v>2916</v>
      </c>
      <c r="G580" t="s">
        <v>2666</v>
      </c>
      <c r="H580" t="s">
        <v>2054</v>
      </c>
      <c r="I580" t="s">
        <v>2778</v>
      </c>
      <c r="J580" t="s">
        <v>2054</v>
      </c>
      <c r="K580" t="s">
        <v>2665</v>
      </c>
      <c r="L580" t="s">
        <v>1179</v>
      </c>
      <c r="M580" t="s">
        <v>2875</v>
      </c>
      <c r="N580" t="s">
        <v>2665</v>
      </c>
      <c r="O580" t="s">
        <v>2876</v>
      </c>
      <c r="P580" t="s">
        <v>2898</v>
      </c>
      <c r="Q580" t="s">
        <v>3617</v>
      </c>
      <c r="R580" t="s">
        <v>2665</v>
      </c>
      <c r="S580" t="s">
        <v>2779</v>
      </c>
      <c r="T580" t="s">
        <v>2780</v>
      </c>
      <c r="U580" t="s">
        <v>2665</v>
      </c>
      <c r="V580" t="s">
        <v>3629</v>
      </c>
      <c r="W580" t="s">
        <v>3630</v>
      </c>
      <c r="X580" t="s">
        <v>2665</v>
      </c>
      <c r="Y580" t="s">
        <v>2054</v>
      </c>
      <c r="Z580" t="s">
        <v>1179</v>
      </c>
      <c r="AA580" t="s">
        <v>2791</v>
      </c>
      <c r="AB580" t="s">
        <v>2791</v>
      </c>
      <c r="AC580" t="s">
        <v>2665</v>
      </c>
      <c r="AD580" t="s">
        <v>2054</v>
      </c>
      <c r="AE580" t="s">
        <v>2054</v>
      </c>
    </row>
    <row r="581" spans="1:31" x14ac:dyDescent="0.25">
      <c r="A581" t="s">
        <v>1723</v>
      </c>
      <c r="B581" t="s">
        <v>1722</v>
      </c>
      <c r="C581" t="s">
        <v>3829</v>
      </c>
      <c r="D581" t="s">
        <v>1722</v>
      </c>
      <c r="E581" t="s">
        <v>2666</v>
      </c>
      <c r="F581" t="s">
        <v>3830</v>
      </c>
      <c r="G581" t="s">
        <v>2666</v>
      </c>
      <c r="H581" t="s">
        <v>2054</v>
      </c>
      <c r="I581" t="s">
        <v>2778</v>
      </c>
      <c r="J581" t="s">
        <v>2054</v>
      </c>
      <c r="K581" t="s">
        <v>2665</v>
      </c>
      <c r="L581" t="s">
        <v>1179</v>
      </c>
      <c r="M581" t="s">
        <v>2875</v>
      </c>
      <c r="N581" t="s">
        <v>2665</v>
      </c>
      <c r="O581" t="s">
        <v>2876</v>
      </c>
      <c r="P581" t="s">
        <v>2898</v>
      </c>
      <c r="Q581" t="s">
        <v>3617</v>
      </c>
      <c r="R581" t="s">
        <v>2665</v>
      </c>
      <c r="S581" t="s">
        <v>2779</v>
      </c>
      <c r="T581" t="s">
        <v>2780</v>
      </c>
      <c r="U581" t="s">
        <v>2665</v>
      </c>
      <c r="V581" t="s">
        <v>3629</v>
      </c>
      <c r="W581" t="s">
        <v>3630</v>
      </c>
      <c r="X581" t="s">
        <v>2665</v>
      </c>
      <c r="Y581" t="s">
        <v>2054</v>
      </c>
      <c r="Z581" t="s">
        <v>1179</v>
      </c>
      <c r="AA581" t="s">
        <v>2791</v>
      </c>
      <c r="AB581" t="s">
        <v>2791</v>
      </c>
      <c r="AC581" t="s">
        <v>2665</v>
      </c>
      <c r="AD581" t="s">
        <v>2054</v>
      </c>
      <c r="AE581" t="s">
        <v>2054</v>
      </c>
    </row>
    <row r="582" spans="1:31" x14ac:dyDescent="0.25">
      <c r="A582" t="s">
        <v>1725</v>
      </c>
      <c r="B582" t="s">
        <v>1724</v>
      </c>
      <c r="C582" t="s">
        <v>3831</v>
      </c>
      <c r="D582" t="s">
        <v>1724</v>
      </c>
      <c r="E582" t="s">
        <v>2666</v>
      </c>
      <c r="F582" t="s">
        <v>2805</v>
      </c>
      <c r="G582" t="s">
        <v>2666</v>
      </c>
      <c r="H582" t="s">
        <v>2054</v>
      </c>
      <c r="I582" t="s">
        <v>2778</v>
      </c>
      <c r="J582" t="s">
        <v>2054</v>
      </c>
      <c r="K582" t="s">
        <v>2665</v>
      </c>
      <c r="L582" t="s">
        <v>1179</v>
      </c>
      <c r="M582" t="s">
        <v>2875</v>
      </c>
      <c r="N582" t="s">
        <v>2665</v>
      </c>
      <c r="O582" t="s">
        <v>2876</v>
      </c>
      <c r="P582" t="s">
        <v>2898</v>
      </c>
      <c r="Q582" t="s">
        <v>3617</v>
      </c>
      <c r="R582" t="s">
        <v>2665</v>
      </c>
      <c r="S582" t="s">
        <v>2779</v>
      </c>
      <c r="T582" t="s">
        <v>2780</v>
      </c>
      <c r="U582" t="s">
        <v>2665</v>
      </c>
      <c r="V582" t="s">
        <v>3629</v>
      </c>
      <c r="W582" t="s">
        <v>3630</v>
      </c>
      <c r="X582" t="s">
        <v>2665</v>
      </c>
      <c r="Y582" t="s">
        <v>2054</v>
      </c>
      <c r="Z582" t="s">
        <v>1179</v>
      </c>
      <c r="AA582" t="s">
        <v>2791</v>
      </c>
      <c r="AB582" t="s">
        <v>2791</v>
      </c>
      <c r="AC582" t="s">
        <v>2665</v>
      </c>
      <c r="AD582" t="s">
        <v>2054</v>
      </c>
      <c r="AE582" t="s">
        <v>2054</v>
      </c>
    </row>
    <row r="583" spans="1:31" x14ac:dyDescent="0.25">
      <c r="A583" t="s">
        <v>1727</v>
      </c>
      <c r="B583" t="s">
        <v>1726</v>
      </c>
      <c r="C583" t="s">
        <v>3832</v>
      </c>
      <c r="D583" t="s">
        <v>1726</v>
      </c>
      <c r="E583" t="s">
        <v>2666</v>
      </c>
      <c r="F583" t="s">
        <v>3833</v>
      </c>
      <c r="G583" t="s">
        <v>2666</v>
      </c>
      <c r="H583" t="s">
        <v>2054</v>
      </c>
      <c r="I583" t="s">
        <v>2778</v>
      </c>
      <c r="J583" t="s">
        <v>2054</v>
      </c>
      <c r="K583" t="s">
        <v>2665</v>
      </c>
      <c r="L583" t="s">
        <v>1179</v>
      </c>
      <c r="M583" t="s">
        <v>2875</v>
      </c>
      <c r="N583" t="s">
        <v>2665</v>
      </c>
      <c r="O583" t="s">
        <v>2876</v>
      </c>
      <c r="P583" t="s">
        <v>2827</v>
      </c>
      <c r="Q583" t="s">
        <v>3397</v>
      </c>
      <c r="R583" t="s">
        <v>2665</v>
      </c>
      <c r="S583" t="s">
        <v>2779</v>
      </c>
      <c r="T583" t="s">
        <v>2780</v>
      </c>
      <c r="U583" t="s">
        <v>2665</v>
      </c>
      <c r="V583" t="s">
        <v>3834</v>
      </c>
      <c r="W583" t="s">
        <v>3835</v>
      </c>
      <c r="X583" t="s">
        <v>2665</v>
      </c>
      <c r="Y583" t="s">
        <v>2054</v>
      </c>
      <c r="Z583" t="s">
        <v>1179</v>
      </c>
      <c r="AA583" t="s">
        <v>2783</v>
      </c>
      <c r="AB583" t="s">
        <v>2783</v>
      </c>
      <c r="AC583" t="s">
        <v>2665</v>
      </c>
      <c r="AD583" t="s">
        <v>2054</v>
      </c>
      <c r="AE583" t="s">
        <v>2054</v>
      </c>
    </row>
    <row r="584" spans="1:31" x14ac:dyDescent="0.25">
      <c r="A584" t="s">
        <v>1729</v>
      </c>
      <c r="B584" t="s">
        <v>1728</v>
      </c>
      <c r="C584" t="s">
        <v>3836</v>
      </c>
      <c r="D584" t="s">
        <v>1728</v>
      </c>
      <c r="E584" t="s">
        <v>2666</v>
      </c>
      <c r="F584" t="s">
        <v>2787</v>
      </c>
      <c r="G584" t="s">
        <v>2666</v>
      </c>
      <c r="H584" t="s">
        <v>2054</v>
      </c>
      <c r="I584" t="s">
        <v>2778</v>
      </c>
      <c r="J584" t="s">
        <v>2054</v>
      </c>
      <c r="K584" t="s">
        <v>2665</v>
      </c>
      <c r="L584" t="s">
        <v>1179</v>
      </c>
      <c r="M584" t="s">
        <v>2875</v>
      </c>
      <c r="N584" t="s">
        <v>2665</v>
      </c>
      <c r="O584" t="s">
        <v>2876</v>
      </c>
      <c r="P584" t="s">
        <v>2827</v>
      </c>
      <c r="Q584" t="s">
        <v>3397</v>
      </c>
      <c r="R584" t="s">
        <v>2665</v>
      </c>
      <c r="S584" t="s">
        <v>2779</v>
      </c>
      <c r="T584" t="s">
        <v>2780</v>
      </c>
      <c r="U584" t="s">
        <v>2665</v>
      </c>
      <c r="V584" t="s">
        <v>3834</v>
      </c>
      <c r="W584" t="s">
        <v>3835</v>
      </c>
      <c r="X584" t="s">
        <v>2665</v>
      </c>
      <c r="Y584" t="s">
        <v>2054</v>
      </c>
      <c r="Z584" t="s">
        <v>1179</v>
      </c>
      <c r="AA584" t="s">
        <v>3837</v>
      </c>
      <c r="AB584" t="s">
        <v>3837</v>
      </c>
      <c r="AC584" t="s">
        <v>2665</v>
      </c>
      <c r="AD584" t="s">
        <v>2054</v>
      </c>
      <c r="AE584" t="s">
        <v>2726</v>
      </c>
    </row>
    <row r="585" spans="1:31" x14ac:dyDescent="0.25">
      <c r="A585" t="s">
        <v>1731</v>
      </c>
      <c r="B585" t="s">
        <v>1730</v>
      </c>
      <c r="C585" t="s">
        <v>3838</v>
      </c>
      <c r="D585" t="s">
        <v>1730</v>
      </c>
      <c r="E585" t="s">
        <v>2666</v>
      </c>
      <c r="F585" t="s">
        <v>2765</v>
      </c>
      <c r="G585" t="s">
        <v>2666</v>
      </c>
      <c r="H585" t="s">
        <v>2054</v>
      </c>
      <c r="I585" t="s">
        <v>2778</v>
      </c>
      <c r="J585" t="s">
        <v>2054</v>
      </c>
      <c r="K585" t="s">
        <v>2665</v>
      </c>
      <c r="L585" t="s">
        <v>1179</v>
      </c>
      <c r="M585" t="s">
        <v>2875</v>
      </c>
      <c r="N585" t="s">
        <v>2665</v>
      </c>
      <c r="O585" t="s">
        <v>2876</v>
      </c>
      <c r="P585" t="s">
        <v>2827</v>
      </c>
      <c r="Q585" t="s">
        <v>3397</v>
      </c>
      <c r="R585" t="s">
        <v>2665</v>
      </c>
      <c r="S585" t="s">
        <v>2779</v>
      </c>
      <c r="T585" t="s">
        <v>2780</v>
      </c>
      <c r="U585" t="s">
        <v>2665</v>
      </c>
      <c r="V585" t="s">
        <v>3834</v>
      </c>
      <c r="W585" t="s">
        <v>3835</v>
      </c>
      <c r="X585" t="s">
        <v>2665</v>
      </c>
      <c r="Y585" t="s">
        <v>2054</v>
      </c>
      <c r="Z585" t="s">
        <v>1179</v>
      </c>
      <c r="AA585" t="s">
        <v>3837</v>
      </c>
      <c r="AB585" t="s">
        <v>3837</v>
      </c>
      <c r="AC585" t="s">
        <v>2665</v>
      </c>
      <c r="AD585" t="s">
        <v>2054</v>
      </c>
      <c r="AE585" t="s">
        <v>2054</v>
      </c>
    </row>
    <row r="586" spans="1:31" x14ac:dyDescent="0.25">
      <c r="A586" t="s">
        <v>3839</v>
      </c>
      <c r="B586" t="s">
        <v>3840</v>
      </c>
      <c r="C586" t="s">
        <v>3841</v>
      </c>
      <c r="D586" t="s">
        <v>3840</v>
      </c>
      <c r="E586" t="s">
        <v>2666</v>
      </c>
      <c r="F586" t="s">
        <v>3314</v>
      </c>
      <c r="G586" t="s">
        <v>2666</v>
      </c>
      <c r="H586" t="s">
        <v>2054</v>
      </c>
      <c r="I586" t="s">
        <v>2778</v>
      </c>
      <c r="J586" t="s">
        <v>2054</v>
      </c>
      <c r="K586" t="s">
        <v>2665</v>
      </c>
      <c r="L586" t="s">
        <v>1179</v>
      </c>
      <c r="M586" t="s">
        <v>2875</v>
      </c>
      <c r="N586" t="s">
        <v>2665</v>
      </c>
      <c r="O586" t="s">
        <v>2876</v>
      </c>
      <c r="P586" t="s">
        <v>2827</v>
      </c>
      <c r="Q586" t="s">
        <v>3397</v>
      </c>
      <c r="R586" t="s">
        <v>2665</v>
      </c>
      <c r="S586" t="s">
        <v>2779</v>
      </c>
      <c r="T586" t="s">
        <v>2780</v>
      </c>
      <c r="U586" t="s">
        <v>2665</v>
      </c>
      <c r="V586" t="s">
        <v>3834</v>
      </c>
      <c r="W586" t="s">
        <v>3835</v>
      </c>
      <c r="X586" t="s">
        <v>2665</v>
      </c>
      <c r="Y586" t="s">
        <v>2054</v>
      </c>
      <c r="Z586" t="s">
        <v>1179</v>
      </c>
      <c r="AA586" t="s">
        <v>3837</v>
      </c>
      <c r="AB586" t="s">
        <v>3837</v>
      </c>
      <c r="AC586" t="s">
        <v>2665</v>
      </c>
      <c r="AD586" t="s">
        <v>2054</v>
      </c>
      <c r="AE586" t="s">
        <v>2054</v>
      </c>
    </row>
    <row r="587" spans="1:31" x14ac:dyDescent="0.25">
      <c r="A587" t="s">
        <v>1733</v>
      </c>
      <c r="B587" t="s">
        <v>1732</v>
      </c>
      <c r="C587" t="s">
        <v>3842</v>
      </c>
      <c r="D587" t="s">
        <v>1732</v>
      </c>
      <c r="E587" t="s">
        <v>2666</v>
      </c>
      <c r="F587" t="s">
        <v>2777</v>
      </c>
      <c r="G587" t="s">
        <v>2666</v>
      </c>
      <c r="H587" t="s">
        <v>2054</v>
      </c>
      <c r="I587" t="s">
        <v>2778</v>
      </c>
      <c r="J587" t="s">
        <v>2054</v>
      </c>
      <c r="K587" t="s">
        <v>2665</v>
      </c>
      <c r="L587" t="s">
        <v>1179</v>
      </c>
      <c r="M587" t="s">
        <v>2875</v>
      </c>
      <c r="N587" t="s">
        <v>2665</v>
      </c>
      <c r="O587" t="s">
        <v>2876</v>
      </c>
      <c r="P587" t="s">
        <v>2827</v>
      </c>
      <c r="Q587" t="s">
        <v>3397</v>
      </c>
      <c r="R587" t="s">
        <v>2665</v>
      </c>
      <c r="S587" t="s">
        <v>2779</v>
      </c>
      <c r="T587" t="s">
        <v>2780</v>
      </c>
      <c r="U587" t="s">
        <v>2665</v>
      </c>
      <c r="V587" t="s">
        <v>3834</v>
      </c>
      <c r="W587" t="s">
        <v>3835</v>
      </c>
      <c r="X587" t="s">
        <v>2665</v>
      </c>
      <c r="Y587" t="s">
        <v>2054</v>
      </c>
      <c r="Z587" t="s">
        <v>1179</v>
      </c>
      <c r="AA587" t="s">
        <v>2783</v>
      </c>
      <c r="AB587" t="s">
        <v>2783</v>
      </c>
      <c r="AC587" t="s">
        <v>2665</v>
      </c>
      <c r="AD587" t="s">
        <v>2054</v>
      </c>
      <c r="AE587" t="s">
        <v>2054</v>
      </c>
    </row>
    <row r="588" spans="1:31" x14ac:dyDescent="0.25">
      <c r="A588" t="s">
        <v>1735</v>
      </c>
      <c r="B588" t="s">
        <v>1734</v>
      </c>
      <c r="C588" t="s">
        <v>3843</v>
      </c>
      <c r="D588" t="s">
        <v>1734</v>
      </c>
      <c r="E588" t="s">
        <v>2666</v>
      </c>
      <c r="F588" t="s">
        <v>3361</v>
      </c>
      <c r="G588" t="s">
        <v>2666</v>
      </c>
      <c r="H588" t="s">
        <v>2054</v>
      </c>
      <c r="I588" t="s">
        <v>2778</v>
      </c>
      <c r="J588" t="s">
        <v>2054</v>
      </c>
      <c r="K588" t="s">
        <v>2665</v>
      </c>
      <c r="L588" t="s">
        <v>1179</v>
      </c>
      <c r="M588" t="s">
        <v>2875</v>
      </c>
      <c r="N588" t="s">
        <v>2665</v>
      </c>
      <c r="O588" t="s">
        <v>2876</v>
      </c>
      <c r="P588" t="s">
        <v>2827</v>
      </c>
      <c r="Q588" t="s">
        <v>3397</v>
      </c>
      <c r="R588" t="s">
        <v>2665</v>
      </c>
      <c r="S588" t="s">
        <v>2779</v>
      </c>
      <c r="T588" t="s">
        <v>2780</v>
      </c>
      <c r="U588" t="s">
        <v>2665</v>
      </c>
      <c r="V588" t="s">
        <v>3834</v>
      </c>
      <c r="W588" t="s">
        <v>3835</v>
      </c>
      <c r="X588" t="s">
        <v>2665</v>
      </c>
      <c r="Y588" t="s">
        <v>2054</v>
      </c>
      <c r="Z588" t="s">
        <v>1179</v>
      </c>
      <c r="AA588" t="s">
        <v>3837</v>
      </c>
      <c r="AB588" t="s">
        <v>3837</v>
      </c>
      <c r="AC588" t="s">
        <v>2665</v>
      </c>
      <c r="AD588" t="s">
        <v>2054</v>
      </c>
      <c r="AE588" t="s">
        <v>2054</v>
      </c>
    </row>
    <row r="589" spans="1:31" x14ac:dyDescent="0.25">
      <c r="A589" t="s">
        <v>125</v>
      </c>
      <c r="B589" t="s">
        <v>124</v>
      </c>
      <c r="C589" t="s">
        <v>3844</v>
      </c>
      <c r="D589" t="s">
        <v>335</v>
      </c>
      <c r="E589" t="s">
        <v>2666</v>
      </c>
      <c r="F589" t="s">
        <v>3138</v>
      </c>
      <c r="G589" t="s">
        <v>2666</v>
      </c>
      <c r="H589" t="s">
        <v>2054</v>
      </c>
      <c r="I589" t="s">
        <v>2778</v>
      </c>
      <c r="J589" t="s">
        <v>2054</v>
      </c>
      <c r="K589" t="s">
        <v>2665</v>
      </c>
      <c r="L589" t="s">
        <v>1179</v>
      </c>
      <c r="M589" t="s">
        <v>2878</v>
      </c>
      <c r="N589" t="s">
        <v>2665</v>
      </c>
      <c r="O589" t="s">
        <v>3576</v>
      </c>
      <c r="P589" t="s">
        <v>2898</v>
      </c>
      <c r="Q589" t="s">
        <v>3617</v>
      </c>
      <c r="R589" t="s">
        <v>2665</v>
      </c>
      <c r="S589" t="s">
        <v>2781</v>
      </c>
      <c r="T589" t="s">
        <v>2922</v>
      </c>
      <c r="U589" t="s">
        <v>2665</v>
      </c>
      <c r="V589" t="s">
        <v>3845</v>
      </c>
      <c r="W589" t="s">
        <v>3846</v>
      </c>
      <c r="X589" t="s">
        <v>2665</v>
      </c>
      <c r="Y589" t="s">
        <v>2054</v>
      </c>
      <c r="Z589" t="s">
        <v>1179</v>
      </c>
      <c r="AA589" t="s">
        <v>2959</v>
      </c>
      <c r="AB589" t="s">
        <v>2959</v>
      </c>
      <c r="AC589" t="s">
        <v>2665</v>
      </c>
      <c r="AD589" t="s">
        <v>2054</v>
      </c>
      <c r="AE589" t="s">
        <v>2054</v>
      </c>
    </row>
    <row r="590" spans="1:31" x14ac:dyDescent="0.25">
      <c r="A590" t="s">
        <v>337</v>
      </c>
      <c r="B590" t="s">
        <v>126</v>
      </c>
      <c r="C590" t="s">
        <v>3847</v>
      </c>
      <c r="D590" t="s">
        <v>336</v>
      </c>
      <c r="E590" t="s">
        <v>2666</v>
      </c>
      <c r="F590" t="s">
        <v>3848</v>
      </c>
      <c r="G590" t="s">
        <v>2666</v>
      </c>
      <c r="H590" t="s">
        <v>2054</v>
      </c>
      <c r="I590" t="s">
        <v>2778</v>
      </c>
      <c r="J590" t="s">
        <v>2054</v>
      </c>
      <c r="K590" t="s">
        <v>2665</v>
      </c>
      <c r="L590" t="s">
        <v>1179</v>
      </c>
      <c r="M590" t="s">
        <v>2878</v>
      </c>
      <c r="N590" t="s">
        <v>2665</v>
      </c>
      <c r="O590" t="s">
        <v>3576</v>
      </c>
      <c r="P590" t="s">
        <v>2898</v>
      </c>
      <c r="Q590" t="s">
        <v>3617</v>
      </c>
      <c r="R590" t="s">
        <v>2665</v>
      </c>
      <c r="S590" t="s">
        <v>2781</v>
      </c>
      <c r="T590" t="s">
        <v>2922</v>
      </c>
      <c r="U590" t="s">
        <v>2665</v>
      </c>
      <c r="V590" t="s">
        <v>3849</v>
      </c>
      <c r="W590" t="s">
        <v>3850</v>
      </c>
      <c r="X590" t="s">
        <v>2665</v>
      </c>
      <c r="Y590" t="s">
        <v>2054</v>
      </c>
      <c r="Z590" t="s">
        <v>1179</v>
      </c>
      <c r="AA590" t="s">
        <v>2797</v>
      </c>
      <c r="AB590" t="s">
        <v>2797</v>
      </c>
      <c r="AC590" t="s">
        <v>2665</v>
      </c>
      <c r="AD590" t="s">
        <v>2054</v>
      </c>
      <c r="AE590" t="s">
        <v>2054</v>
      </c>
    </row>
    <row r="591" spans="1:31" x14ac:dyDescent="0.25">
      <c r="A591" t="s">
        <v>339</v>
      </c>
      <c r="B591" t="s">
        <v>127</v>
      </c>
      <c r="C591" t="s">
        <v>3851</v>
      </c>
      <c r="D591" t="s">
        <v>338</v>
      </c>
      <c r="E591" t="s">
        <v>2666</v>
      </c>
      <c r="F591" t="s">
        <v>2765</v>
      </c>
      <c r="G591" t="s">
        <v>2666</v>
      </c>
      <c r="H591" t="s">
        <v>2054</v>
      </c>
      <c r="I591" t="s">
        <v>2778</v>
      </c>
      <c r="J591" t="s">
        <v>2054</v>
      </c>
      <c r="K591" t="s">
        <v>2665</v>
      </c>
      <c r="L591" t="s">
        <v>1179</v>
      </c>
      <c r="M591" t="s">
        <v>2878</v>
      </c>
      <c r="N591" t="s">
        <v>2665</v>
      </c>
      <c r="O591" t="s">
        <v>3576</v>
      </c>
      <c r="P591" t="s">
        <v>2898</v>
      </c>
      <c r="Q591" t="s">
        <v>3617</v>
      </c>
      <c r="R591" t="s">
        <v>2665</v>
      </c>
      <c r="S591" t="s">
        <v>2781</v>
      </c>
      <c r="T591" t="s">
        <v>2922</v>
      </c>
      <c r="U591" t="s">
        <v>2665</v>
      </c>
      <c r="V591" t="s">
        <v>3849</v>
      </c>
      <c r="W591" t="s">
        <v>3850</v>
      </c>
      <c r="X591" t="s">
        <v>2665</v>
      </c>
      <c r="Y591" t="s">
        <v>2054</v>
      </c>
      <c r="Z591" t="s">
        <v>1179</v>
      </c>
      <c r="AA591" t="s">
        <v>2797</v>
      </c>
      <c r="AB591" t="s">
        <v>2797</v>
      </c>
      <c r="AC591" t="s">
        <v>2665</v>
      </c>
      <c r="AD591" t="s">
        <v>2054</v>
      </c>
      <c r="AE591" t="s">
        <v>2054</v>
      </c>
    </row>
    <row r="592" spans="1:31" x14ac:dyDescent="0.25">
      <c r="A592" t="s">
        <v>129</v>
      </c>
      <c r="B592" t="s">
        <v>128</v>
      </c>
      <c r="C592" t="s">
        <v>3852</v>
      </c>
      <c r="D592" t="s">
        <v>340</v>
      </c>
      <c r="E592" t="s">
        <v>2666</v>
      </c>
      <c r="F592" t="s">
        <v>3551</v>
      </c>
      <c r="G592" t="s">
        <v>2666</v>
      </c>
      <c r="H592" t="s">
        <v>2054</v>
      </c>
      <c r="I592" t="s">
        <v>2778</v>
      </c>
      <c r="J592" t="s">
        <v>2054</v>
      </c>
      <c r="K592" t="s">
        <v>2665</v>
      </c>
      <c r="L592" t="s">
        <v>1179</v>
      </c>
      <c r="M592" t="s">
        <v>2878</v>
      </c>
      <c r="N592" t="s">
        <v>2665</v>
      </c>
      <c r="O592" t="s">
        <v>3576</v>
      </c>
      <c r="P592" t="s">
        <v>2898</v>
      </c>
      <c r="Q592" t="s">
        <v>3617</v>
      </c>
      <c r="R592" t="s">
        <v>2665</v>
      </c>
      <c r="S592" t="s">
        <v>2781</v>
      </c>
      <c r="T592" t="s">
        <v>2922</v>
      </c>
      <c r="U592" t="s">
        <v>2665</v>
      </c>
      <c r="V592" t="s">
        <v>3849</v>
      </c>
      <c r="W592" t="s">
        <v>3850</v>
      </c>
      <c r="X592" t="s">
        <v>2665</v>
      </c>
      <c r="Y592" t="s">
        <v>2054</v>
      </c>
      <c r="Z592" t="s">
        <v>1179</v>
      </c>
      <c r="AA592" t="s">
        <v>2797</v>
      </c>
      <c r="AB592" t="s">
        <v>2797</v>
      </c>
      <c r="AC592" t="s">
        <v>2665</v>
      </c>
      <c r="AD592" t="s">
        <v>2054</v>
      </c>
      <c r="AE592" t="s">
        <v>2054</v>
      </c>
    </row>
    <row r="593" spans="1:31" x14ac:dyDescent="0.25">
      <c r="A593" t="s">
        <v>1736</v>
      </c>
      <c r="B593" t="s">
        <v>130</v>
      </c>
      <c r="C593" t="s">
        <v>3853</v>
      </c>
      <c r="D593" t="s">
        <v>341</v>
      </c>
      <c r="E593" t="s">
        <v>2666</v>
      </c>
      <c r="F593" t="s">
        <v>2975</v>
      </c>
      <c r="G593" t="s">
        <v>2666</v>
      </c>
      <c r="H593" t="s">
        <v>2054</v>
      </c>
      <c r="I593" t="s">
        <v>2778</v>
      </c>
      <c r="J593" t="s">
        <v>2054</v>
      </c>
      <c r="K593" t="s">
        <v>2665</v>
      </c>
      <c r="L593" t="s">
        <v>1179</v>
      </c>
      <c r="M593" t="s">
        <v>2878</v>
      </c>
      <c r="N593" t="s">
        <v>2665</v>
      </c>
      <c r="O593" t="s">
        <v>3576</v>
      </c>
      <c r="P593" t="s">
        <v>2898</v>
      </c>
      <c r="Q593" t="s">
        <v>3617</v>
      </c>
      <c r="R593" t="s">
        <v>2665</v>
      </c>
      <c r="S593" t="s">
        <v>2781</v>
      </c>
      <c r="T593" t="s">
        <v>2922</v>
      </c>
      <c r="U593" t="s">
        <v>2665</v>
      </c>
      <c r="V593" t="s">
        <v>3845</v>
      </c>
      <c r="W593" t="s">
        <v>3846</v>
      </c>
      <c r="X593" t="s">
        <v>2665</v>
      </c>
      <c r="Y593" t="s">
        <v>2054</v>
      </c>
      <c r="Z593" t="s">
        <v>1179</v>
      </c>
      <c r="AA593" t="s">
        <v>2795</v>
      </c>
      <c r="AB593" t="s">
        <v>2795</v>
      </c>
      <c r="AC593" t="s">
        <v>2665</v>
      </c>
      <c r="AD593" t="s">
        <v>2054</v>
      </c>
      <c r="AE593" t="s">
        <v>2054</v>
      </c>
    </row>
    <row r="594" spans="1:31" x14ac:dyDescent="0.25">
      <c r="A594" t="s">
        <v>1738</v>
      </c>
      <c r="B594" t="s">
        <v>1737</v>
      </c>
      <c r="C594" t="s">
        <v>3854</v>
      </c>
      <c r="D594" t="s">
        <v>3855</v>
      </c>
      <c r="E594" t="s">
        <v>2666</v>
      </c>
      <c r="F594" t="s">
        <v>2785</v>
      </c>
      <c r="G594" t="s">
        <v>2666</v>
      </c>
      <c r="H594" t="s">
        <v>2054</v>
      </c>
      <c r="I594" t="s">
        <v>2778</v>
      </c>
      <c r="J594" t="s">
        <v>2054</v>
      </c>
      <c r="K594" t="s">
        <v>2665</v>
      </c>
      <c r="L594" t="s">
        <v>1179</v>
      </c>
      <c r="M594" t="s">
        <v>2878</v>
      </c>
      <c r="N594" t="s">
        <v>2665</v>
      </c>
      <c r="O594" t="s">
        <v>3576</v>
      </c>
      <c r="P594" t="s">
        <v>2898</v>
      </c>
      <c r="Q594" t="s">
        <v>3617</v>
      </c>
      <c r="R594" t="s">
        <v>2665</v>
      </c>
      <c r="S594" t="s">
        <v>2781</v>
      </c>
      <c r="T594" t="s">
        <v>2922</v>
      </c>
      <c r="U594" t="s">
        <v>2665</v>
      </c>
      <c r="V594" t="s">
        <v>3834</v>
      </c>
      <c r="W594" t="s">
        <v>3835</v>
      </c>
      <c r="X594" t="s">
        <v>2665</v>
      </c>
      <c r="Y594" t="s">
        <v>2054</v>
      </c>
      <c r="Z594" t="s">
        <v>1179</v>
      </c>
      <c r="AA594" t="s">
        <v>3856</v>
      </c>
      <c r="AB594" t="s">
        <v>3856</v>
      </c>
      <c r="AC594" t="s">
        <v>2665</v>
      </c>
      <c r="AD594" t="s">
        <v>2054</v>
      </c>
      <c r="AE594" t="s">
        <v>2054</v>
      </c>
    </row>
    <row r="595" spans="1:31" x14ac:dyDescent="0.25">
      <c r="A595" t="s">
        <v>298</v>
      </c>
      <c r="B595" t="s">
        <v>131</v>
      </c>
      <c r="C595" t="s">
        <v>3857</v>
      </c>
      <c r="D595" t="s">
        <v>297</v>
      </c>
      <c r="E595" t="s">
        <v>2666</v>
      </c>
      <c r="F595" t="s">
        <v>3551</v>
      </c>
      <c r="G595" t="s">
        <v>2666</v>
      </c>
      <c r="H595" t="s">
        <v>2054</v>
      </c>
      <c r="I595" t="s">
        <v>2778</v>
      </c>
      <c r="J595" t="s">
        <v>2054</v>
      </c>
      <c r="K595" t="s">
        <v>2665</v>
      </c>
      <c r="L595" t="s">
        <v>1179</v>
      </c>
      <c r="M595" t="s">
        <v>2878</v>
      </c>
      <c r="N595" t="s">
        <v>2665</v>
      </c>
      <c r="O595" t="s">
        <v>3576</v>
      </c>
      <c r="P595" t="s">
        <v>2898</v>
      </c>
      <c r="Q595" t="s">
        <v>3617</v>
      </c>
      <c r="R595" t="s">
        <v>2665</v>
      </c>
      <c r="S595" t="s">
        <v>2781</v>
      </c>
      <c r="T595" t="s">
        <v>2922</v>
      </c>
      <c r="U595" t="s">
        <v>2665</v>
      </c>
      <c r="V595" t="s">
        <v>3858</v>
      </c>
      <c r="W595" t="s">
        <v>3859</v>
      </c>
      <c r="X595" t="s">
        <v>2665</v>
      </c>
      <c r="Y595" t="s">
        <v>2054</v>
      </c>
      <c r="Z595" t="s">
        <v>1179</v>
      </c>
      <c r="AA595" t="s">
        <v>3856</v>
      </c>
      <c r="AB595" t="s">
        <v>3856</v>
      </c>
      <c r="AC595" t="s">
        <v>2665</v>
      </c>
      <c r="AD595" t="s">
        <v>2054</v>
      </c>
      <c r="AE595" t="s">
        <v>2054</v>
      </c>
    </row>
    <row r="596" spans="1:31" x14ac:dyDescent="0.25">
      <c r="A596" t="s">
        <v>300</v>
      </c>
      <c r="B596" t="s">
        <v>132</v>
      </c>
      <c r="C596" t="s">
        <v>3860</v>
      </c>
      <c r="D596" t="s">
        <v>299</v>
      </c>
      <c r="E596" t="s">
        <v>2666</v>
      </c>
      <c r="F596" t="s">
        <v>2854</v>
      </c>
      <c r="G596" t="s">
        <v>2666</v>
      </c>
      <c r="H596" t="s">
        <v>2054</v>
      </c>
      <c r="I596" t="s">
        <v>2778</v>
      </c>
      <c r="J596" t="s">
        <v>2054</v>
      </c>
      <c r="K596" t="s">
        <v>2665</v>
      </c>
      <c r="L596" t="s">
        <v>1179</v>
      </c>
      <c r="M596" t="s">
        <v>2878</v>
      </c>
      <c r="N596" t="s">
        <v>2665</v>
      </c>
      <c r="O596" t="s">
        <v>3576</v>
      </c>
      <c r="P596" t="s">
        <v>2827</v>
      </c>
      <c r="Q596" t="s">
        <v>3397</v>
      </c>
      <c r="R596" t="s">
        <v>2665</v>
      </c>
      <c r="S596" t="s">
        <v>2781</v>
      </c>
      <c r="T596" t="s">
        <v>2922</v>
      </c>
      <c r="U596" t="s">
        <v>2665</v>
      </c>
      <c r="V596" t="s">
        <v>3834</v>
      </c>
      <c r="W596" t="s">
        <v>3835</v>
      </c>
      <c r="X596" t="s">
        <v>2665</v>
      </c>
      <c r="Y596" t="s">
        <v>2054</v>
      </c>
      <c r="Z596" t="s">
        <v>1179</v>
      </c>
      <c r="AA596" t="s">
        <v>3856</v>
      </c>
      <c r="AB596" t="s">
        <v>3856</v>
      </c>
      <c r="AC596" t="s">
        <v>2665</v>
      </c>
      <c r="AD596" t="s">
        <v>2054</v>
      </c>
      <c r="AE596" t="s">
        <v>2054</v>
      </c>
    </row>
    <row r="597" spans="1:31" x14ac:dyDescent="0.25">
      <c r="A597" t="s">
        <v>302</v>
      </c>
      <c r="B597" t="s">
        <v>133</v>
      </c>
      <c r="C597" t="s">
        <v>3861</v>
      </c>
      <c r="D597" t="s">
        <v>301</v>
      </c>
      <c r="E597" t="s">
        <v>2666</v>
      </c>
      <c r="F597" t="s">
        <v>2866</v>
      </c>
      <c r="G597" t="s">
        <v>2666</v>
      </c>
      <c r="H597" t="s">
        <v>2054</v>
      </c>
      <c r="I597" t="s">
        <v>2778</v>
      </c>
      <c r="J597" t="s">
        <v>2054</v>
      </c>
      <c r="K597" t="s">
        <v>2665</v>
      </c>
      <c r="L597" t="s">
        <v>1179</v>
      </c>
      <c r="M597" t="s">
        <v>2878</v>
      </c>
      <c r="N597" t="s">
        <v>2665</v>
      </c>
      <c r="O597" t="s">
        <v>3576</v>
      </c>
      <c r="P597" t="s">
        <v>2827</v>
      </c>
      <c r="Q597" t="s">
        <v>3397</v>
      </c>
      <c r="R597" t="s">
        <v>2665</v>
      </c>
      <c r="S597" t="s">
        <v>2781</v>
      </c>
      <c r="T597" t="s">
        <v>2922</v>
      </c>
      <c r="U597" t="s">
        <v>2665</v>
      </c>
      <c r="V597" t="s">
        <v>3834</v>
      </c>
      <c r="W597" t="s">
        <v>3835</v>
      </c>
      <c r="X597" t="s">
        <v>2665</v>
      </c>
      <c r="Y597" t="s">
        <v>2054</v>
      </c>
      <c r="Z597" t="s">
        <v>1179</v>
      </c>
      <c r="AA597" t="s">
        <v>3856</v>
      </c>
      <c r="AB597" t="s">
        <v>3856</v>
      </c>
      <c r="AC597" t="s">
        <v>2665</v>
      </c>
      <c r="AD597" t="s">
        <v>2054</v>
      </c>
      <c r="AE597" t="s">
        <v>2054</v>
      </c>
    </row>
    <row r="598" spans="1:31" x14ac:dyDescent="0.25">
      <c r="A598" t="s">
        <v>304</v>
      </c>
      <c r="B598" t="s">
        <v>134</v>
      </c>
      <c r="C598" t="s">
        <v>3862</v>
      </c>
      <c r="D598" t="s">
        <v>303</v>
      </c>
      <c r="E598" t="s">
        <v>2666</v>
      </c>
      <c r="F598" t="s">
        <v>2895</v>
      </c>
      <c r="G598" t="s">
        <v>2666</v>
      </c>
      <c r="H598" t="s">
        <v>2054</v>
      </c>
      <c r="I598" t="s">
        <v>2778</v>
      </c>
      <c r="J598" t="s">
        <v>2054</v>
      </c>
      <c r="K598" t="s">
        <v>2665</v>
      </c>
      <c r="L598" t="s">
        <v>1179</v>
      </c>
      <c r="M598" t="s">
        <v>2878</v>
      </c>
      <c r="N598" t="s">
        <v>2665</v>
      </c>
      <c r="O598" t="s">
        <v>3576</v>
      </c>
      <c r="P598" t="s">
        <v>2827</v>
      </c>
      <c r="Q598" t="s">
        <v>3397</v>
      </c>
      <c r="R598" t="s">
        <v>2665</v>
      </c>
      <c r="S598" t="s">
        <v>2781</v>
      </c>
      <c r="T598" t="s">
        <v>2922</v>
      </c>
      <c r="U598" t="s">
        <v>2665</v>
      </c>
      <c r="V598" t="s">
        <v>3834</v>
      </c>
      <c r="W598" t="s">
        <v>3835</v>
      </c>
      <c r="X598" t="s">
        <v>2665</v>
      </c>
      <c r="Y598" t="s">
        <v>2054</v>
      </c>
      <c r="Z598" t="s">
        <v>1179</v>
      </c>
      <c r="AA598" t="s">
        <v>3856</v>
      </c>
      <c r="AB598" t="s">
        <v>3856</v>
      </c>
      <c r="AC598" t="s">
        <v>2665</v>
      </c>
      <c r="AD598" t="s">
        <v>2054</v>
      </c>
      <c r="AE598" t="s">
        <v>2054</v>
      </c>
    </row>
    <row r="599" spans="1:31" x14ac:dyDescent="0.25">
      <c r="A599" t="s">
        <v>136</v>
      </c>
      <c r="B599" t="s">
        <v>135</v>
      </c>
      <c r="C599" t="s">
        <v>3863</v>
      </c>
      <c r="D599" t="s">
        <v>3864</v>
      </c>
      <c r="E599" t="s">
        <v>2666</v>
      </c>
      <c r="F599" t="s">
        <v>2785</v>
      </c>
      <c r="G599" t="s">
        <v>2666</v>
      </c>
      <c r="H599" t="s">
        <v>2054</v>
      </c>
      <c r="I599" t="s">
        <v>2778</v>
      </c>
      <c r="J599" t="s">
        <v>2054</v>
      </c>
      <c r="K599" t="s">
        <v>2665</v>
      </c>
      <c r="L599" t="s">
        <v>1179</v>
      </c>
      <c r="M599" t="s">
        <v>2878</v>
      </c>
      <c r="N599" t="s">
        <v>2665</v>
      </c>
      <c r="O599" t="s">
        <v>3576</v>
      </c>
      <c r="P599" t="s">
        <v>2827</v>
      </c>
      <c r="Q599" t="s">
        <v>3397</v>
      </c>
      <c r="R599" t="s">
        <v>2665</v>
      </c>
      <c r="S599" t="s">
        <v>2781</v>
      </c>
      <c r="T599" t="s">
        <v>2922</v>
      </c>
      <c r="U599" t="s">
        <v>2665</v>
      </c>
      <c r="V599" t="s">
        <v>3834</v>
      </c>
      <c r="W599" t="s">
        <v>3835</v>
      </c>
      <c r="X599" t="s">
        <v>2665</v>
      </c>
      <c r="Y599" t="s">
        <v>2054</v>
      </c>
      <c r="Z599" t="s">
        <v>1179</v>
      </c>
      <c r="AA599" t="s">
        <v>3856</v>
      </c>
      <c r="AB599" t="s">
        <v>3856</v>
      </c>
      <c r="AC599" t="s">
        <v>2665</v>
      </c>
      <c r="AD599" t="s">
        <v>2054</v>
      </c>
      <c r="AE599" t="s">
        <v>2054</v>
      </c>
    </row>
    <row r="600" spans="1:31" x14ac:dyDescent="0.25">
      <c r="A600" t="s">
        <v>138</v>
      </c>
      <c r="B600" t="s">
        <v>137</v>
      </c>
      <c r="C600" t="s">
        <v>3865</v>
      </c>
      <c r="D600" t="s">
        <v>3866</v>
      </c>
      <c r="E600" t="s">
        <v>2666</v>
      </c>
      <c r="F600" t="s">
        <v>2777</v>
      </c>
      <c r="G600" t="s">
        <v>2666</v>
      </c>
      <c r="H600" t="s">
        <v>2054</v>
      </c>
      <c r="I600" t="s">
        <v>2778</v>
      </c>
      <c r="J600" t="s">
        <v>2054</v>
      </c>
      <c r="K600" t="s">
        <v>2665</v>
      </c>
      <c r="L600" t="s">
        <v>1179</v>
      </c>
      <c r="M600" t="s">
        <v>2878</v>
      </c>
      <c r="N600" t="s">
        <v>2665</v>
      </c>
      <c r="O600" t="s">
        <v>3576</v>
      </c>
      <c r="P600" t="s">
        <v>2898</v>
      </c>
      <c r="Q600" t="s">
        <v>3617</v>
      </c>
      <c r="R600" t="s">
        <v>2665</v>
      </c>
      <c r="S600" t="s">
        <v>2781</v>
      </c>
      <c r="T600" t="s">
        <v>2922</v>
      </c>
      <c r="U600" t="s">
        <v>2665</v>
      </c>
      <c r="V600" t="s">
        <v>3858</v>
      </c>
      <c r="W600" t="s">
        <v>3859</v>
      </c>
      <c r="X600" t="s">
        <v>2665</v>
      </c>
      <c r="Y600" t="s">
        <v>2054</v>
      </c>
      <c r="Z600" t="s">
        <v>1179</v>
      </c>
      <c r="AA600" t="s">
        <v>3856</v>
      </c>
      <c r="AB600" t="s">
        <v>3856</v>
      </c>
      <c r="AC600" t="s">
        <v>2665</v>
      </c>
      <c r="AD600" t="s">
        <v>2054</v>
      </c>
      <c r="AE600" t="s">
        <v>2054</v>
      </c>
    </row>
    <row r="601" spans="1:31" x14ac:dyDescent="0.25">
      <c r="A601" t="s">
        <v>1739</v>
      </c>
      <c r="B601" t="s">
        <v>139</v>
      </c>
      <c r="C601" t="s">
        <v>3867</v>
      </c>
      <c r="D601" t="s">
        <v>307</v>
      </c>
      <c r="E601" t="s">
        <v>2666</v>
      </c>
      <c r="F601" t="s">
        <v>3868</v>
      </c>
      <c r="G601" t="s">
        <v>2666</v>
      </c>
      <c r="H601" t="s">
        <v>2054</v>
      </c>
      <c r="I601" t="s">
        <v>2778</v>
      </c>
      <c r="J601" t="s">
        <v>2054</v>
      </c>
      <c r="K601" t="s">
        <v>2665</v>
      </c>
      <c r="L601" t="s">
        <v>1179</v>
      </c>
      <c r="M601" t="s">
        <v>2878</v>
      </c>
      <c r="N601" t="s">
        <v>2665</v>
      </c>
      <c r="O601" t="s">
        <v>3576</v>
      </c>
      <c r="P601" t="s">
        <v>2827</v>
      </c>
      <c r="Q601" t="s">
        <v>3397</v>
      </c>
      <c r="R601" t="s">
        <v>2665</v>
      </c>
      <c r="S601" t="s">
        <v>2781</v>
      </c>
      <c r="T601" t="s">
        <v>2922</v>
      </c>
      <c r="U601" t="s">
        <v>2665</v>
      </c>
      <c r="V601" t="s">
        <v>3834</v>
      </c>
      <c r="W601" t="s">
        <v>3835</v>
      </c>
      <c r="X601" t="s">
        <v>2665</v>
      </c>
      <c r="Y601" t="s">
        <v>2054</v>
      </c>
      <c r="Z601" t="s">
        <v>1179</v>
      </c>
      <c r="AA601" t="s">
        <v>3856</v>
      </c>
      <c r="AB601" t="s">
        <v>3856</v>
      </c>
      <c r="AC601" t="s">
        <v>2665</v>
      </c>
      <c r="AD601" t="s">
        <v>2054</v>
      </c>
      <c r="AE601" t="s">
        <v>2054</v>
      </c>
    </row>
    <row r="602" spans="1:31" x14ac:dyDescent="0.25">
      <c r="A602" t="s">
        <v>1740</v>
      </c>
      <c r="B602" t="s">
        <v>140</v>
      </c>
      <c r="C602" t="s">
        <v>3869</v>
      </c>
      <c r="D602" t="s">
        <v>309</v>
      </c>
      <c r="E602" t="s">
        <v>2666</v>
      </c>
      <c r="F602" t="s">
        <v>2667</v>
      </c>
      <c r="G602" t="s">
        <v>2666</v>
      </c>
      <c r="H602" t="s">
        <v>2054</v>
      </c>
      <c r="I602" t="s">
        <v>2778</v>
      </c>
      <c r="J602" t="s">
        <v>2054</v>
      </c>
      <c r="K602" t="s">
        <v>2665</v>
      </c>
      <c r="L602" t="s">
        <v>1179</v>
      </c>
      <c r="M602" t="s">
        <v>2878</v>
      </c>
      <c r="N602" t="s">
        <v>2665</v>
      </c>
      <c r="O602" t="s">
        <v>3576</v>
      </c>
      <c r="P602" t="s">
        <v>2827</v>
      </c>
      <c r="Q602" t="s">
        <v>3397</v>
      </c>
      <c r="R602" t="s">
        <v>2665</v>
      </c>
      <c r="S602" t="s">
        <v>2781</v>
      </c>
      <c r="T602" t="s">
        <v>2922</v>
      </c>
      <c r="U602" t="s">
        <v>2665</v>
      </c>
      <c r="V602" t="s">
        <v>3834</v>
      </c>
      <c r="W602" t="s">
        <v>3835</v>
      </c>
      <c r="X602" t="s">
        <v>2665</v>
      </c>
      <c r="Y602" t="s">
        <v>2054</v>
      </c>
      <c r="Z602" t="s">
        <v>1179</v>
      </c>
      <c r="AA602" t="s">
        <v>3856</v>
      </c>
      <c r="AB602" t="s">
        <v>3856</v>
      </c>
      <c r="AC602" t="s">
        <v>2665</v>
      </c>
      <c r="AD602" t="s">
        <v>2054</v>
      </c>
      <c r="AE602" t="s">
        <v>2054</v>
      </c>
    </row>
    <row r="603" spans="1:31" x14ac:dyDescent="0.25">
      <c r="A603" t="s">
        <v>1741</v>
      </c>
      <c r="B603" t="s">
        <v>141</v>
      </c>
      <c r="C603" t="s">
        <v>3870</v>
      </c>
      <c r="D603" t="s">
        <v>311</v>
      </c>
      <c r="E603" t="s">
        <v>2666</v>
      </c>
      <c r="F603" t="s">
        <v>3033</v>
      </c>
      <c r="G603" t="s">
        <v>2666</v>
      </c>
      <c r="H603" t="s">
        <v>2054</v>
      </c>
      <c r="I603" t="s">
        <v>2778</v>
      </c>
      <c r="J603" t="s">
        <v>2054</v>
      </c>
      <c r="K603" t="s">
        <v>2665</v>
      </c>
      <c r="L603" t="s">
        <v>1179</v>
      </c>
      <c r="M603" t="s">
        <v>2878</v>
      </c>
      <c r="N603" t="s">
        <v>2665</v>
      </c>
      <c r="O603" t="s">
        <v>3576</v>
      </c>
      <c r="P603" t="s">
        <v>2898</v>
      </c>
      <c r="Q603" t="s">
        <v>3617</v>
      </c>
      <c r="R603" t="s">
        <v>2665</v>
      </c>
      <c r="S603" t="s">
        <v>2781</v>
      </c>
      <c r="T603" t="s">
        <v>2922</v>
      </c>
      <c r="U603" t="s">
        <v>2665</v>
      </c>
      <c r="V603" t="s">
        <v>3858</v>
      </c>
      <c r="W603" t="s">
        <v>3859</v>
      </c>
      <c r="X603" t="s">
        <v>2665</v>
      </c>
      <c r="Y603" t="s">
        <v>2054</v>
      </c>
      <c r="Z603" t="s">
        <v>1179</v>
      </c>
      <c r="AA603" t="s">
        <v>3856</v>
      </c>
      <c r="AB603" t="s">
        <v>3856</v>
      </c>
      <c r="AC603" t="s">
        <v>2665</v>
      </c>
      <c r="AD603" t="s">
        <v>2054</v>
      </c>
      <c r="AE603" t="s">
        <v>2054</v>
      </c>
    </row>
    <row r="604" spans="1:31" x14ac:dyDescent="0.25">
      <c r="A604" t="s">
        <v>1743</v>
      </c>
      <c r="B604" t="s">
        <v>1742</v>
      </c>
      <c r="C604" t="s">
        <v>3871</v>
      </c>
      <c r="D604" t="s">
        <v>1742</v>
      </c>
      <c r="E604" t="s">
        <v>2666</v>
      </c>
      <c r="F604" t="s">
        <v>2866</v>
      </c>
      <c r="G604" t="s">
        <v>2666</v>
      </c>
      <c r="H604" t="s">
        <v>2054</v>
      </c>
      <c r="I604" t="s">
        <v>2778</v>
      </c>
      <c r="J604" t="s">
        <v>2054</v>
      </c>
      <c r="K604" t="s">
        <v>2665</v>
      </c>
      <c r="L604" t="s">
        <v>1179</v>
      </c>
      <c r="M604" t="s">
        <v>2878</v>
      </c>
      <c r="N604" t="s">
        <v>2665</v>
      </c>
      <c r="O604" t="s">
        <v>3576</v>
      </c>
      <c r="P604" t="s">
        <v>2827</v>
      </c>
      <c r="Q604" t="s">
        <v>3397</v>
      </c>
      <c r="R604" t="s">
        <v>2665</v>
      </c>
      <c r="S604" t="s">
        <v>2671</v>
      </c>
      <c r="T604" t="s">
        <v>2673</v>
      </c>
      <c r="U604" t="s">
        <v>2665</v>
      </c>
      <c r="V604" t="s">
        <v>3834</v>
      </c>
      <c r="W604" t="s">
        <v>3835</v>
      </c>
      <c r="X604" t="s">
        <v>2665</v>
      </c>
      <c r="Y604" t="s">
        <v>2054</v>
      </c>
      <c r="Z604" t="s">
        <v>1179</v>
      </c>
      <c r="AA604" t="s">
        <v>3856</v>
      </c>
      <c r="AB604" t="s">
        <v>3856</v>
      </c>
      <c r="AC604" t="s">
        <v>2665</v>
      </c>
      <c r="AD604" t="s">
        <v>2054</v>
      </c>
      <c r="AE604" t="s">
        <v>2054</v>
      </c>
    </row>
    <row r="605" spans="1:31" x14ac:dyDescent="0.25">
      <c r="A605" t="s">
        <v>1745</v>
      </c>
      <c r="B605" t="s">
        <v>1744</v>
      </c>
      <c r="C605" t="s">
        <v>3872</v>
      </c>
      <c r="D605" t="s">
        <v>1744</v>
      </c>
      <c r="E605" t="s">
        <v>2666</v>
      </c>
      <c r="F605" t="s">
        <v>2908</v>
      </c>
      <c r="G605" t="s">
        <v>2666</v>
      </c>
      <c r="H605" t="s">
        <v>2054</v>
      </c>
      <c r="I605" t="s">
        <v>2778</v>
      </c>
      <c r="J605" t="s">
        <v>2054</v>
      </c>
      <c r="K605" t="s">
        <v>2665</v>
      </c>
      <c r="L605" t="s">
        <v>1179</v>
      </c>
      <c r="M605" t="s">
        <v>2878</v>
      </c>
      <c r="N605" t="s">
        <v>2665</v>
      </c>
      <c r="O605" t="s">
        <v>3576</v>
      </c>
      <c r="P605" t="s">
        <v>3411</v>
      </c>
      <c r="Q605" t="s">
        <v>3412</v>
      </c>
      <c r="R605" t="s">
        <v>2665</v>
      </c>
      <c r="S605" t="s">
        <v>2671</v>
      </c>
      <c r="T605" t="s">
        <v>2673</v>
      </c>
      <c r="U605" t="s">
        <v>2665</v>
      </c>
      <c r="V605" t="s">
        <v>3834</v>
      </c>
      <c r="W605" t="s">
        <v>3835</v>
      </c>
      <c r="X605" t="s">
        <v>2665</v>
      </c>
      <c r="Y605" t="s">
        <v>2054</v>
      </c>
      <c r="Z605" t="s">
        <v>1179</v>
      </c>
      <c r="AA605" t="s">
        <v>3856</v>
      </c>
      <c r="AB605" t="s">
        <v>3856</v>
      </c>
      <c r="AC605" t="s">
        <v>2665</v>
      </c>
      <c r="AD605" t="s">
        <v>2054</v>
      </c>
      <c r="AE605" t="s">
        <v>2054</v>
      </c>
    </row>
    <row r="606" spans="1:31" x14ac:dyDescent="0.25">
      <c r="A606" t="s">
        <v>775</v>
      </c>
      <c r="B606" t="s">
        <v>769</v>
      </c>
      <c r="C606" t="s">
        <v>3873</v>
      </c>
      <c r="D606" t="s">
        <v>772</v>
      </c>
      <c r="E606" t="s">
        <v>2666</v>
      </c>
      <c r="F606" t="s">
        <v>3874</v>
      </c>
      <c r="G606" t="s">
        <v>2666</v>
      </c>
      <c r="H606" t="s">
        <v>2054</v>
      </c>
      <c r="I606" t="s">
        <v>2778</v>
      </c>
      <c r="J606" t="s">
        <v>2054</v>
      </c>
      <c r="K606" t="s">
        <v>2665</v>
      </c>
      <c r="L606" t="s">
        <v>1179</v>
      </c>
      <c r="M606" t="s">
        <v>2878</v>
      </c>
      <c r="N606" t="s">
        <v>2665</v>
      </c>
      <c r="O606" t="s">
        <v>3576</v>
      </c>
      <c r="P606" t="s">
        <v>2898</v>
      </c>
      <c r="Q606" t="s">
        <v>3617</v>
      </c>
      <c r="R606" t="s">
        <v>2665</v>
      </c>
      <c r="S606" t="s">
        <v>2781</v>
      </c>
      <c r="T606" t="s">
        <v>2922</v>
      </c>
      <c r="U606" t="s">
        <v>2665</v>
      </c>
      <c r="V606" t="s">
        <v>3875</v>
      </c>
      <c r="W606" t="s">
        <v>3876</v>
      </c>
      <c r="X606" t="s">
        <v>2665</v>
      </c>
      <c r="Y606" t="s">
        <v>2054</v>
      </c>
      <c r="Z606" t="s">
        <v>1179</v>
      </c>
      <c r="AA606" t="s">
        <v>2791</v>
      </c>
      <c r="AB606" t="s">
        <v>2791</v>
      </c>
      <c r="AC606" t="s">
        <v>2665</v>
      </c>
      <c r="AD606" t="s">
        <v>2054</v>
      </c>
      <c r="AE606" t="s">
        <v>2054</v>
      </c>
    </row>
    <row r="607" spans="1:31" x14ac:dyDescent="0.25">
      <c r="A607" t="s">
        <v>776</v>
      </c>
      <c r="B607" t="s">
        <v>770</v>
      </c>
      <c r="C607" t="s">
        <v>3877</v>
      </c>
      <c r="D607" t="s">
        <v>773</v>
      </c>
      <c r="E607" t="s">
        <v>2666</v>
      </c>
      <c r="F607" t="s">
        <v>3878</v>
      </c>
      <c r="G607" t="s">
        <v>2666</v>
      </c>
      <c r="H607" t="s">
        <v>2054</v>
      </c>
      <c r="I607" t="s">
        <v>2778</v>
      </c>
      <c r="J607" t="s">
        <v>2054</v>
      </c>
      <c r="K607" t="s">
        <v>2665</v>
      </c>
      <c r="L607" t="s">
        <v>1179</v>
      </c>
      <c r="M607" t="s">
        <v>2878</v>
      </c>
      <c r="N607" t="s">
        <v>2665</v>
      </c>
      <c r="O607" t="s">
        <v>3576</v>
      </c>
      <c r="P607" t="s">
        <v>2898</v>
      </c>
      <c r="Q607" t="s">
        <v>3617</v>
      </c>
      <c r="R607" t="s">
        <v>2665</v>
      </c>
      <c r="S607" t="s">
        <v>2781</v>
      </c>
      <c r="T607" t="s">
        <v>2922</v>
      </c>
      <c r="U607" t="s">
        <v>2665</v>
      </c>
      <c r="V607" t="s">
        <v>3875</v>
      </c>
      <c r="W607" t="s">
        <v>3876</v>
      </c>
      <c r="X607" t="s">
        <v>2665</v>
      </c>
      <c r="Y607" t="s">
        <v>2054</v>
      </c>
      <c r="Z607" t="s">
        <v>1179</v>
      </c>
      <c r="AA607" t="s">
        <v>2797</v>
      </c>
      <c r="AB607" t="s">
        <v>2797</v>
      </c>
      <c r="AC607" t="s">
        <v>2665</v>
      </c>
      <c r="AD607" t="s">
        <v>2054</v>
      </c>
      <c r="AE607" t="s">
        <v>2054</v>
      </c>
    </row>
    <row r="608" spans="1:31" x14ac:dyDescent="0.25">
      <c r="A608" t="s">
        <v>777</v>
      </c>
      <c r="B608" t="s">
        <v>771</v>
      </c>
      <c r="C608" t="s">
        <v>3879</v>
      </c>
      <c r="D608" t="s">
        <v>774</v>
      </c>
      <c r="E608" t="s">
        <v>2666</v>
      </c>
      <c r="F608" t="s">
        <v>3880</v>
      </c>
      <c r="G608" t="s">
        <v>2666</v>
      </c>
      <c r="H608" t="s">
        <v>2054</v>
      </c>
      <c r="I608" t="s">
        <v>2778</v>
      </c>
      <c r="J608" t="s">
        <v>2054</v>
      </c>
      <c r="K608" t="s">
        <v>2665</v>
      </c>
      <c r="L608" t="s">
        <v>1179</v>
      </c>
      <c r="M608" t="s">
        <v>2878</v>
      </c>
      <c r="N608" t="s">
        <v>2665</v>
      </c>
      <c r="O608" t="s">
        <v>3576</v>
      </c>
      <c r="P608" t="s">
        <v>2898</v>
      </c>
      <c r="Q608" t="s">
        <v>3617</v>
      </c>
      <c r="R608" t="s">
        <v>2665</v>
      </c>
      <c r="S608" t="s">
        <v>2781</v>
      </c>
      <c r="T608" t="s">
        <v>2922</v>
      </c>
      <c r="U608" t="s">
        <v>2665</v>
      </c>
      <c r="V608" t="s">
        <v>3875</v>
      </c>
      <c r="W608" t="s">
        <v>3876</v>
      </c>
      <c r="X608" t="s">
        <v>2665</v>
      </c>
      <c r="Y608" t="s">
        <v>2054</v>
      </c>
      <c r="Z608" t="s">
        <v>1179</v>
      </c>
      <c r="AA608" t="s">
        <v>2791</v>
      </c>
      <c r="AB608" t="s">
        <v>2791</v>
      </c>
      <c r="AC608" t="s">
        <v>2665</v>
      </c>
      <c r="AD608" t="s">
        <v>2054</v>
      </c>
      <c r="AE608" t="s">
        <v>2726</v>
      </c>
    </row>
    <row r="609" spans="1:31" x14ac:dyDescent="0.25">
      <c r="A609" t="s">
        <v>1746</v>
      </c>
      <c r="B609" t="s">
        <v>142</v>
      </c>
      <c r="C609" t="s">
        <v>3881</v>
      </c>
      <c r="D609" t="s">
        <v>3882</v>
      </c>
      <c r="E609" t="s">
        <v>2666</v>
      </c>
      <c r="F609" t="s">
        <v>3827</v>
      </c>
      <c r="G609" t="s">
        <v>2666</v>
      </c>
      <c r="H609" t="s">
        <v>2054</v>
      </c>
      <c r="I609" t="s">
        <v>2778</v>
      </c>
      <c r="J609" t="s">
        <v>2054</v>
      </c>
      <c r="K609" t="s">
        <v>2665</v>
      </c>
      <c r="L609" t="s">
        <v>1179</v>
      </c>
      <c r="M609" t="s">
        <v>2875</v>
      </c>
      <c r="N609" t="s">
        <v>2665</v>
      </c>
      <c r="O609" t="s">
        <v>2876</v>
      </c>
      <c r="P609" t="s">
        <v>2898</v>
      </c>
      <c r="Q609" t="s">
        <v>3617</v>
      </c>
      <c r="R609" t="s">
        <v>2665</v>
      </c>
      <c r="S609" t="s">
        <v>2671</v>
      </c>
      <c r="T609" t="s">
        <v>2673</v>
      </c>
      <c r="U609" t="s">
        <v>2665</v>
      </c>
      <c r="V609" t="s">
        <v>3883</v>
      </c>
      <c r="W609" t="s">
        <v>3884</v>
      </c>
      <c r="X609" t="s">
        <v>2665</v>
      </c>
      <c r="Y609" t="s">
        <v>2054</v>
      </c>
      <c r="Z609" t="s">
        <v>1179</v>
      </c>
      <c r="AA609" t="s">
        <v>2791</v>
      </c>
      <c r="AB609" t="s">
        <v>2791</v>
      </c>
      <c r="AC609" t="s">
        <v>2665</v>
      </c>
      <c r="AD609" t="s">
        <v>2054</v>
      </c>
      <c r="AE609" t="s">
        <v>2054</v>
      </c>
    </row>
    <row r="610" spans="1:31" x14ac:dyDescent="0.25">
      <c r="A610" t="s">
        <v>1747</v>
      </c>
      <c r="B610" t="s">
        <v>143</v>
      </c>
      <c r="C610" t="s">
        <v>3885</v>
      </c>
      <c r="D610" t="s">
        <v>3886</v>
      </c>
      <c r="E610" t="s">
        <v>2666</v>
      </c>
      <c r="F610" t="s">
        <v>2748</v>
      </c>
      <c r="G610" t="s">
        <v>2666</v>
      </c>
      <c r="H610" t="s">
        <v>2054</v>
      </c>
      <c r="I610" t="s">
        <v>2778</v>
      </c>
      <c r="J610" t="s">
        <v>2054</v>
      </c>
      <c r="K610" t="s">
        <v>2665</v>
      </c>
      <c r="L610" t="s">
        <v>1179</v>
      </c>
      <c r="M610" t="s">
        <v>2875</v>
      </c>
      <c r="N610" t="s">
        <v>2665</v>
      </c>
      <c r="O610" t="s">
        <v>2876</v>
      </c>
      <c r="P610" t="s">
        <v>2898</v>
      </c>
      <c r="Q610" t="s">
        <v>3617</v>
      </c>
      <c r="R610" t="s">
        <v>2665</v>
      </c>
      <c r="S610" t="s">
        <v>2671</v>
      </c>
      <c r="T610" t="s">
        <v>2673</v>
      </c>
      <c r="U610" t="s">
        <v>2665</v>
      </c>
      <c r="V610" t="s">
        <v>3883</v>
      </c>
      <c r="W610" t="s">
        <v>3884</v>
      </c>
      <c r="X610" t="s">
        <v>2665</v>
      </c>
      <c r="Y610" t="s">
        <v>2054</v>
      </c>
      <c r="Z610" t="s">
        <v>1179</v>
      </c>
      <c r="AA610" t="s">
        <v>2791</v>
      </c>
      <c r="AB610" t="s">
        <v>2791</v>
      </c>
      <c r="AC610" t="s">
        <v>2665</v>
      </c>
      <c r="AD610" t="s">
        <v>2054</v>
      </c>
      <c r="AE610" t="s">
        <v>2054</v>
      </c>
    </row>
    <row r="611" spans="1:31" x14ac:dyDescent="0.25">
      <c r="A611" t="s">
        <v>1748</v>
      </c>
      <c r="B611" t="s">
        <v>144</v>
      </c>
      <c r="C611" t="s">
        <v>3887</v>
      </c>
      <c r="D611" t="s">
        <v>3888</v>
      </c>
      <c r="E611" t="s">
        <v>2666</v>
      </c>
      <c r="F611" t="s">
        <v>2805</v>
      </c>
      <c r="G611" t="s">
        <v>2666</v>
      </c>
      <c r="H611" t="s">
        <v>2054</v>
      </c>
      <c r="I611" t="s">
        <v>2778</v>
      </c>
      <c r="J611" t="s">
        <v>2054</v>
      </c>
      <c r="K611" t="s">
        <v>2665</v>
      </c>
      <c r="L611" t="s">
        <v>1179</v>
      </c>
      <c r="M611" t="s">
        <v>2875</v>
      </c>
      <c r="N611" t="s">
        <v>2665</v>
      </c>
      <c r="O611" t="s">
        <v>2876</v>
      </c>
      <c r="P611" t="s">
        <v>2898</v>
      </c>
      <c r="Q611" t="s">
        <v>3617</v>
      </c>
      <c r="R611" t="s">
        <v>2665</v>
      </c>
      <c r="S611" t="s">
        <v>2671</v>
      </c>
      <c r="T611" t="s">
        <v>2673</v>
      </c>
      <c r="U611" t="s">
        <v>2665</v>
      </c>
      <c r="V611" t="s">
        <v>3883</v>
      </c>
      <c r="W611" t="s">
        <v>3884</v>
      </c>
      <c r="X611" t="s">
        <v>2665</v>
      </c>
      <c r="Y611" t="s">
        <v>2054</v>
      </c>
      <c r="Z611" t="s">
        <v>1179</v>
      </c>
      <c r="AA611" t="s">
        <v>2791</v>
      </c>
      <c r="AB611" t="s">
        <v>2791</v>
      </c>
      <c r="AC611" t="s">
        <v>2665</v>
      </c>
      <c r="AD611" t="s">
        <v>2054</v>
      </c>
      <c r="AE611" t="s">
        <v>2054</v>
      </c>
    </row>
    <row r="612" spans="1:31" x14ac:dyDescent="0.25">
      <c r="A612" t="s">
        <v>1749</v>
      </c>
      <c r="B612" t="s">
        <v>145</v>
      </c>
      <c r="C612" t="s">
        <v>3889</v>
      </c>
      <c r="D612" t="s">
        <v>3890</v>
      </c>
      <c r="E612" t="s">
        <v>2666</v>
      </c>
      <c r="F612" t="s">
        <v>2758</v>
      </c>
      <c r="G612" t="s">
        <v>2666</v>
      </c>
      <c r="H612" t="s">
        <v>2054</v>
      </c>
      <c r="I612" t="s">
        <v>2778</v>
      </c>
      <c r="J612" t="s">
        <v>2054</v>
      </c>
      <c r="K612" t="s">
        <v>2665</v>
      </c>
      <c r="L612" t="s">
        <v>1179</v>
      </c>
      <c r="M612" t="s">
        <v>2875</v>
      </c>
      <c r="N612" t="s">
        <v>2665</v>
      </c>
      <c r="O612" t="s">
        <v>2876</v>
      </c>
      <c r="P612" t="s">
        <v>2898</v>
      </c>
      <c r="Q612" t="s">
        <v>3617</v>
      </c>
      <c r="R612" t="s">
        <v>2665</v>
      </c>
      <c r="S612" t="s">
        <v>2779</v>
      </c>
      <c r="T612" t="s">
        <v>2780</v>
      </c>
      <c r="U612" t="s">
        <v>2665</v>
      </c>
      <c r="V612" t="s">
        <v>3883</v>
      </c>
      <c r="W612" t="s">
        <v>3884</v>
      </c>
      <c r="X612" t="s">
        <v>2665</v>
      </c>
      <c r="Y612" t="s">
        <v>2054</v>
      </c>
      <c r="Z612" t="s">
        <v>1179</v>
      </c>
      <c r="AA612" t="s">
        <v>2791</v>
      </c>
      <c r="AB612" t="s">
        <v>2791</v>
      </c>
      <c r="AC612" t="s">
        <v>2665</v>
      </c>
      <c r="AD612" t="s">
        <v>2054</v>
      </c>
      <c r="AE612" t="s">
        <v>2054</v>
      </c>
    </row>
    <row r="613" spans="1:31" x14ac:dyDescent="0.25">
      <c r="A613" t="s">
        <v>1750</v>
      </c>
      <c r="B613" t="s">
        <v>146</v>
      </c>
      <c r="C613" t="s">
        <v>3891</v>
      </c>
      <c r="D613" t="s">
        <v>3892</v>
      </c>
      <c r="E613" t="s">
        <v>2666</v>
      </c>
      <c r="F613" t="s">
        <v>2854</v>
      </c>
      <c r="G613" t="s">
        <v>2666</v>
      </c>
      <c r="H613" t="s">
        <v>2054</v>
      </c>
      <c r="I613" t="s">
        <v>2778</v>
      </c>
      <c r="J613" t="s">
        <v>2054</v>
      </c>
      <c r="K613" t="s">
        <v>2665</v>
      </c>
      <c r="L613" t="s">
        <v>1179</v>
      </c>
      <c r="M613" t="s">
        <v>2878</v>
      </c>
      <c r="N613" t="s">
        <v>2665</v>
      </c>
      <c r="O613" t="s">
        <v>3576</v>
      </c>
      <c r="P613" t="s">
        <v>2898</v>
      </c>
      <c r="Q613" t="s">
        <v>3617</v>
      </c>
      <c r="R613" t="s">
        <v>2665</v>
      </c>
      <c r="S613" t="s">
        <v>2779</v>
      </c>
      <c r="T613" t="s">
        <v>2780</v>
      </c>
      <c r="U613" t="s">
        <v>2665</v>
      </c>
      <c r="V613" t="s">
        <v>3883</v>
      </c>
      <c r="W613" t="s">
        <v>3884</v>
      </c>
      <c r="X613" t="s">
        <v>2665</v>
      </c>
      <c r="Y613" t="s">
        <v>2054</v>
      </c>
      <c r="Z613" t="s">
        <v>1179</v>
      </c>
      <c r="AA613" t="s">
        <v>2791</v>
      </c>
      <c r="AB613" t="s">
        <v>2791</v>
      </c>
      <c r="AC613" t="s">
        <v>2665</v>
      </c>
      <c r="AD613" t="s">
        <v>2054</v>
      </c>
      <c r="AE613" t="s">
        <v>2054</v>
      </c>
    </row>
    <row r="614" spans="1:31" x14ac:dyDescent="0.25">
      <c r="A614" t="s">
        <v>1751</v>
      </c>
      <c r="B614" t="s">
        <v>730</v>
      </c>
      <c r="C614" t="s">
        <v>3893</v>
      </c>
      <c r="D614" t="s">
        <v>734</v>
      </c>
      <c r="E614" t="s">
        <v>2666</v>
      </c>
      <c r="F614" t="s">
        <v>3878</v>
      </c>
      <c r="G614" t="s">
        <v>2666</v>
      </c>
      <c r="H614" t="s">
        <v>2054</v>
      </c>
      <c r="I614" t="s">
        <v>2778</v>
      </c>
      <c r="J614" t="s">
        <v>2054</v>
      </c>
      <c r="K614" t="s">
        <v>2665</v>
      </c>
      <c r="L614" t="s">
        <v>1179</v>
      </c>
      <c r="M614" t="s">
        <v>2878</v>
      </c>
      <c r="N614" t="s">
        <v>2665</v>
      </c>
      <c r="O614" t="s">
        <v>3576</v>
      </c>
      <c r="P614" t="s">
        <v>2898</v>
      </c>
      <c r="Q614" t="s">
        <v>3617</v>
      </c>
      <c r="R614" t="s">
        <v>2665</v>
      </c>
      <c r="S614" t="s">
        <v>2781</v>
      </c>
      <c r="T614" t="s">
        <v>2922</v>
      </c>
      <c r="U614" t="s">
        <v>2665</v>
      </c>
      <c r="V614" t="s">
        <v>3875</v>
      </c>
      <c r="W614" t="s">
        <v>3876</v>
      </c>
      <c r="X614" t="s">
        <v>2665</v>
      </c>
      <c r="Y614" t="s">
        <v>2054</v>
      </c>
      <c r="Z614" t="s">
        <v>1179</v>
      </c>
      <c r="AA614" t="s">
        <v>2795</v>
      </c>
      <c r="AB614" t="s">
        <v>2795</v>
      </c>
      <c r="AC614" t="s">
        <v>2665</v>
      </c>
      <c r="AD614" t="s">
        <v>2054</v>
      </c>
      <c r="AE614" t="s">
        <v>2054</v>
      </c>
    </row>
    <row r="615" spans="1:31" x14ac:dyDescent="0.25">
      <c r="A615" t="s">
        <v>733</v>
      </c>
      <c r="B615" t="s">
        <v>731</v>
      </c>
      <c r="C615" t="s">
        <v>3894</v>
      </c>
      <c r="D615" t="s">
        <v>735</v>
      </c>
      <c r="E615" t="s">
        <v>2666</v>
      </c>
      <c r="F615" t="s">
        <v>3895</v>
      </c>
      <c r="G615" t="s">
        <v>2666</v>
      </c>
      <c r="H615" t="s">
        <v>2054</v>
      </c>
      <c r="I615" t="s">
        <v>2778</v>
      </c>
      <c r="J615" t="s">
        <v>2054</v>
      </c>
      <c r="K615" t="s">
        <v>2665</v>
      </c>
      <c r="L615" t="s">
        <v>1179</v>
      </c>
      <c r="M615" t="s">
        <v>2878</v>
      </c>
      <c r="N615" t="s">
        <v>2665</v>
      </c>
      <c r="O615" t="s">
        <v>3576</v>
      </c>
      <c r="P615" t="s">
        <v>2898</v>
      </c>
      <c r="Q615" t="s">
        <v>3617</v>
      </c>
      <c r="R615" t="s">
        <v>2665</v>
      </c>
      <c r="S615" t="s">
        <v>2781</v>
      </c>
      <c r="T615" t="s">
        <v>2922</v>
      </c>
      <c r="U615" t="s">
        <v>2665</v>
      </c>
      <c r="V615" t="s">
        <v>3875</v>
      </c>
      <c r="W615" t="s">
        <v>3876</v>
      </c>
      <c r="X615" t="s">
        <v>2665</v>
      </c>
      <c r="Y615" t="s">
        <v>2054</v>
      </c>
      <c r="Z615" t="s">
        <v>1179</v>
      </c>
      <c r="AA615" t="s">
        <v>2791</v>
      </c>
      <c r="AB615" t="s">
        <v>2791</v>
      </c>
      <c r="AC615" t="s">
        <v>2665</v>
      </c>
      <c r="AD615" t="s">
        <v>2054</v>
      </c>
      <c r="AE615" t="s">
        <v>2054</v>
      </c>
    </row>
    <row r="616" spans="1:31" x14ac:dyDescent="0.25">
      <c r="A616" t="s">
        <v>1753</v>
      </c>
      <c r="B616" t="s">
        <v>1752</v>
      </c>
      <c r="C616" t="s">
        <v>3896</v>
      </c>
      <c r="D616" t="s">
        <v>3897</v>
      </c>
      <c r="E616" t="s">
        <v>2666</v>
      </c>
      <c r="F616" t="s">
        <v>3898</v>
      </c>
      <c r="G616" t="s">
        <v>2666</v>
      </c>
      <c r="H616" t="s">
        <v>2054</v>
      </c>
      <c r="I616" t="s">
        <v>2778</v>
      </c>
      <c r="J616" t="s">
        <v>2054</v>
      </c>
      <c r="K616" t="s">
        <v>2665</v>
      </c>
      <c r="L616" t="s">
        <v>1179</v>
      </c>
      <c r="M616" t="s">
        <v>2878</v>
      </c>
      <c r="N616" t="s">
        <v>2665</v>
      </c>
      <c r="O616" t="s">
        <v>3576</v>
      </c>
      <c r="P616" t="s">
        <v>2898</v>
      </c>
      <c r="Q616" t="s">
        <v>3617</v>
      </c>
      <c r="R616" t="s">
        <v>2665</v>
      </c>
      <c r="S616" t="s">
        <v>2781</v>
      </c>
      <c r="T616" t="s">
        <v>2922</v>
      </c>
      <c r="U616" t="s">
        <v>2665</v>
      </c>
      <c r="V616" t="s">
        <v>3875</v>
      </c>
      <c r="W616" t="s">
        <v>3876</v>
      </c>
      <c r="X616" t="s">
        <v>2665</v>
      </c>
      <c r="Y616" t="s">
        <v>2054</v>
      </c>
      <c r="Z616" t="s">
        <v>1179</v>
      </c>
      <c r="AA616" t="s">
        <v>2795</v>
      </c>
      <c r="AB616" t="s">
        <v>2795</v>
      </c>
      <c r="AC616" t="s">
        <v>2665</v>
      </c>
      <c r="AD616" t="s">
        <v>2054</v>
      </c>
      <c r="AE616" t="s">
        <v>2054</v>
      </c>
    </row>
    <row r="617" spans="1:31" x14ac:dyDescent="0.25">
      <c r="A617" t="s">
        <v>740</v>
      </c>
      <c r="B617" t="s">
        <v>736</v>
      </c>
      <c r="C617" t="s">
        <v>3899</v>
      </c>
      <c r="D617" t="s">
        <v>738</v>
      </c>
      <c r="E617" t="s">
        <v>2666</v>
      </c>
      <c r="F617" t="s">
        <v>3900</v>
      </c>
      <c r="G617" t="s">
        <v>2666</v>
      </c>
      <c r="H617" t="s">
        <v>2054</v>
      </c>
      <c r="I617" t="s">
        <v>2778</v>
      </c>
      <c r="J617" t="s">
        <v>2054</v>
      </c>
      <c r="K617" t="s">
        <v>2665</v>
      </c>
      <c r="L617" t="s">
        <v>1179</v>
      </c>
      <c r="M617" t="s">
        <v>2878</v>
      </c>
      <c r="N617" t="s">
        <v>2665</v>
      </c>
      <c r="O617" t="s">
        <v>3576</v>
      </c>
      <c r="P617" t="s">
        <v>2898</v>
      </c>
      <c r="Q617" t="s">
        <v>3617</v>
      </c>
      <c r="R617" t="s">
        <v>2665</v>
      </c>
      <c r="S617" t="s">
        <v>2781</v>
      </c>
      <c r="T617" t="s">
        <v>2922</v>
      </c>
      <c r="U617" t="s">
        <v>2665</v>
      </c>
      <c r="V617" t="s">
        <v>3629</v>
      </c>
      <c r="W617" t="s">
        <v>3630</v>
      </c>
      <c r="X617" t="s">
        <v>2665</v>
      </c>
      <c r="Y617" t="s">
        <v>2054</v>
      </c>
      <c r="Z617" t="s">
        <v>1179</v>
      </c>
      <c r="AA617" t="s">
        <v>2959</v>
      </c>
      <c r="AB617" t="s">
        <v>2959</v>
      </c>
      <c r="AC617" t="s">
        <v>2665</v>
      </c>
      <c r="AD617" t="s">
        <v>2054</v>
      </c>
      <c r="AE617" t="s">
        <v>2054</v>
      </c>
    </row>
    <row r="618" spans="1:31" x14ac:dyDescent="0.25">
      <c r="A618" t="s">
        <v>741</v>
      </c>
      <c r="B618" t="s">
        <v>737</v>
      </c>
      <c r="C618" t="s">
        <v>3901</v>
      </c>
      <c r="D618" t="s">
        <v>739</v>
      </c>
      <c r="E618" t="s">
        <v>2666</v>
      </c>
      <c r="F618" t="s">
        <v>3902</v>
      </c>
      <c r="G618" t="s">
        <v>2666</v>
      </c>
      <c r="H618" t="s">
        <v>2054</v>
      </c>
      <c r="I618" t="s">
        <v>2778</v>
      </c>
      <c r="J618" t="s">
        <v>2054</v>
      </c>
      <c r="K618" t="s">
        <v>2665</v>
      </c>
      <c r="L618" t="s">
        <v>1179</v>
      </c>
      <c r="M618" t="s">
        <v>2878</v>
      </c>
      <c r="N618" t="s">
        <v>2665</v>
      </c>
      <c r="O618" t="s">
        <v>3576</v>
      </c>
      <c r="P618" t="s">
        <v>2898</v>
      </c>
      <c r="Q618" t="s">
        <v>3617</v>
      </c>
      <c r="R618" t="s">
        <v>2665</v>
      </c>
      <c r="S618" t="s">
        <v>2781</v>
      </c>
      <c r="T618" t="s">
        <v>2922</v>
      </c>
      <c r="U618" t="s">
        <v>2665</v>
      </c>
      <c r="V618" t="s">
        <v>3629</v>
      </c>
      <c r="W618" t="s">
        <v>3630</v>
      </c>
      <c r="X618" t="s">
        <v>2665</v>
      </c>
      <c r="Y618" t="s">
        <v>2054</v>
      </c>
      <c r="Z618" t="s">
        <v>1179</v>
      </c>
      <c r="AA618" t="s">
        <v>2797</v>
      </c>
      <c r="AB618" t="s">
        <v>2797</v>
      </c>
      <c r="AC618" t="s">
        <v>2665</v>
      </c>
      <c r="AD618" t="s">
        <v>2054</v>
      </c>
      <c r="AE618" t="s">
        <v>2054</v>
      </c>
    </row>
    <row r="619" spans="1:31" x14ac:dyDescent="0.25">
      <c r="A619" t="s">
        <v>997</v>
      </c>
      <c r="B619" t="s">
        <v>995</v>
      </c>
      <c r="C619" t="s">
        <v>3903</v>
      </c>
      <c r="D619" t="s">
        <v>996</v>
      </c>
      <c r="E619" t="s">
        <v>2666</v>
      </c>
      <c r="F619" t="s">
        <v>3904</v>
      </c>
      <c r="G619" t="s">
        <v>2666</v>
      </c>
      <c r="H619" t="s">
        <v>2054</v>
      </c>
      <c r="I619" t="s">
        <v>2778</v>
      </c>
      <c r="J619" t="s">
        <v>2054</v>
      </c>
      <c r="K619" t="s">
        <v>2665</v>
      </c>
      <c r="L619" t="s">
        <v>1179</v>
      </c>
      <c r="M619" t="s">
        <v>2878</v>
      </c>
      <c r="N619" t="s">
        <v>2665</v>
      </c>
      <c r="O619" t="s">
        <v>3576</v>
      </c>
      <c r="P619" t="s">
        <v>2898</v>
      </c>
      <c r="Q619" t="s">
        <v>3617</v>
      </c>
      <c r="R619" t="s">
        <v>2665</v>
      </c>
      <c r="S619" t="s">
        <v>2781</v>
      </c>
      <c r="T619" t="s">
        <v>2922</v>
      </c>
      <c r="U619" t="s">
        <v>2665</v>
      </c>
      <c r="V619" t="s">
        <v>3629</v>
      </c>
      <c r="W619" t="s">
        <v>3630</v>
      </c>
      <c r="X619" t="s">
        <v>2665</v>
      </c>
      <c r="Y619" t="s">
        <v>2054</v>
      </c>
      <c r="Z619" t="s">
        <v>1179</v>
      </c>
      <c r="AA619" t="s">
        <v>2745</v>
      </c>
      <c r="AB619" t="s">
        <v>2745</v>
      </c>
      <c r="AC619" t="s">
        <v>2665</v>
      </c>
      <c r="AD619" t="s">
        <v>2054</v>
      </c>
      <c r="AE619" t="s">
        <v>2054</v>
      </c>
    </row>
    <row r="620" spans="1:31" x14ac:dyDescent="0.25">
      <c r="A620" t="s">
        <v>993</v>
      </c>
      <c r="B620" t="s">
        <v>989</v>
      </c>
      <c r="C620" t="s">
        <v>3905</v>
      </c>
      <c r="D620" t="s">
        <v>991</v>
      </c>
      <c r="E620" t="s">
        <v>2666</v>
      </c>
      <c r="F620" t="s">
        <v>3906</v>
      </c>
      <c r="G620" t="s">
        <v>2666</v>
      </c>
      <c r="H620" t="s">
        <v>2054</v>
      </c>
      <c r="I620" t="s">
        <v>2778</v>
      </c>
      <c r="J620" t="s">
        <v>2054</v>
      </c>
      <c r="K620" t="s">
        <v>2665</v>
      </c>
      <c r="L620" t="s">
        <v>1179</v>
      </c>
      <c r="M620" t="s">
        <v>2875</v>
      </c>
      <c r="N620" t="s">
        <v>2665</v>
      </c>
      <c r="O620" t="s">
        <v>2876</v>
      </c>
      <c r="P620" t="s">
        <v>2898</v>
      </c>
      <c r="Q620" t="s">
        <v>3617</v>
      </c>
      <c r="R620" t="s">
        <v>2665</v>
      </c>
      <c r="S620" t="s">
        <v>2671</v>
      </c>
      <c r="T620" t="s">
        <v>2673</v>
      </c>
      <c r="U620" t="s">
        <v>2665</v>
      </c>
      <c r="V620" t="s">
        <v>3883</v>
      </c>
      <c r="W620" t="s">
        <v>3884</v>
      </c>
      <c r="X620" t="s">
        <v>2665</v>
      </c>
      <c r="Y620" t="s">
        <v>2054</v>
      </c>
      <c r="Z620" t="s">
        <v>1179</v>
      </c>
      <c r="AA620" t="s">
        <v>2797</v>
      </c>
      <c r="AB620" t="s">
        <v>2797</v>
      </c>
      <c r="AC620" t="s">
        <v>2665</v>
      </c>
      <c r="AD620" t="s">
        <v>2054</v>
      </c>
      <c r="AE620" t="s">
        <v>2054</v>
      </c>
    </row>
    <row r="621" spans="1:31" x14ac:dyDescent="0.25">
      <c r="A621" t="s">
        <v>2231</v>
      </c>
      <c r="B621" t="s">
        <v>2230</v>
      </c>
      <c r="C621" t="s">
        <v>3907</v>
      </c>
      <c r="D621" t="s">
        <v>2506</v>
      </c>
      <c r="E621" t="s">
        <v>2666</v>
      </c>
      <c r="F621" t="s">
        <v>3610</v>
      </c>
      <c r="G621" t="s">
        <v>2666</v>
      </c>
      <c r="H621" t="s">
        <v>2054</v>
      </c>
      <c r="I621" t="s">
        <v>2778</v>
      </c>
      <c r="J621" t="s">
        <v>2054</v>
      </c>
      <c r="K621" t="s">
        <v>2665</v>
      </c>
      <c r="L621" t="s">
        <v>1179</v>
      </c>
      <c r="M621" t="s">
        <v>2875</v>
      </c>
      <c r="N621" t="s">
        <v>2665</v>
      </c>
      <c r="O621" t="s">
        <v>2876</v>
      </c>
      <c r="P621" t="s">
        <v>2898</v>
      </c>
      <c r="Q621" t="s">
        <v>3617</v>
      </c>
      <c r="R621" t="s">
        <v>2665</v>
      </c>
      <c r="S621" t="s">
        <v>2671</v>
      </c>
      <c r="T621" t="s">
        <v>2673</v>
      </c>
      <c r="U621" t="s">
        <v>2665</v>
      </c>
      <c r="V621" t="s">
        <v>3883</v>
      </c>
      <c r="W621" t="s">
        <v>3884</v>
      </c>
      <c r="X621" t="s">
        <v>2665</v>
      </c>
      <c r="Y621" t="s">
        <v>2054</v>
      </c>
      <c r="Z621" t="s">
        <v>1179</v>
      </c>
      <c r="AA621" t="s">
        <v>2797</v>
      </c>
      <c r="AB621" t="s">
        <v>2797</v>
      </c>
      <c r="AC621" t="s">
        <v>2665</v>
      </c>
      <c r="AD621" t="s">
        <v>2054</v>
      </c>
      <c r="AE621" t="s">
        <v>2054</v>
      </c>
    </row>
    <row r="622" spans="1:31" x14ac:dyDescent="0.25">
      <c r="A622" t="s">
        <v>994</v>
      </c>
      <c r="B622" t="s">
        <v>990</v>
      </c>
      <c r="C622" t="s">
        <v>3908</v>
      </c>
      <c r="D622" t="s">
        <v>992</v>
      </c>
      <c r="E622" t="s">
        <v>2666</v>
      </c>
      <c r="F622" t="s">
        <v>3236</v>
      </c>
      <c r="G622" t="s">
        <v>2666</v>
      </c>
      <c r="H622" t="s">
        <v>2054</v>
      </c>
      <c r="I622" t="s">
        <v>2778</v>
      </c>
      <c r="J622" t="s">
        <v>2054</v>
      </c>
      <c r="K622" t="s">
        <v>2665</v>
      </c>
      <c r="L622" t="s">
        <v>1179</v>
      </c>
      <c r="M622" t="s">
        <v>2875</v>
      </c>
      <c r="N622" t="s">
        <v>2665</v>
      </c>
      <c r="O622" t="s">
        <v>2876</v>
      </c>
      <c r="P622" t="s">
        <v>2898</v>
      </c>
      <c r="Q622" t="s">
        <v>3617</v>
      </c>
      <c r="R622" t="s">
        <v>2665</v>
      </c>
      <c r="S622" t="s">
        <v>2671</v>
      </c>
      <c r="T622" t="s">
        <v>2673</v>
      </c>
      <c r="U622" t="s">
        <v>2665</v>
      </c>
      <c r="V622" t="s">
        <v>3883</v>
      </c>
      <c r="W622" t="s">
        <v>3884</v>
      </c>
      <c r="X622" t="s">
        <v>2665</v>
      </c>
      <c r="Y622" t="s">
        <v>2054</v>
      </c>
      <c r="Z622" t="s">
        <v>1179</v>
      </c>
      <c r="AA622" t="s">
        <v>2791</v>
      </c>
      <c r="AB622" t="s">
        <v>2791</v>
      </c>
      <c r="AC622" t="s">
        <v>2665</v>
      </c>
      <c r="AD622" t="s">
        <v>2054</v>
      </c>
      <c r="AE622" t="s">
        <v>2054</v>
      </c>
    </row>
    <row r="623" spans="1:31" x14ac:dyDescent="0.25">
      <c r="A623" t="s">
        <v>2233</v>
      </c>
      <c r="B623" t="s">
        <v>2232</v>
      </c>
      <c r="C623" t="s">
        <v>3909</v>
      </c>
      <c r="D623" t="s">
        <v>2330</v>
      </c>
      <c r="E623" t="s">
        <v>2666</v>
      </c>
      <c r="F623" t="s">
        <v>3910</v>
      </c>
      <c r="G623" t="s">
        <v>2666</v>
      </c>
      <c r="H623" t="s">
        <v>2054</v>
      </c>
      <c r="I623" t="s">
        <v>2778</v>
      </c>
      <c r="J623" t="s">
        <v>2054</v>
      </c>
      <c r="K623" t="s">
        <v>2665</v>
      </c>
      <c r="L623" t="s">
        <v>1179</v>
      </c>
      <c r="M623" t="s">
        <v>2878</v>
      </c>
      <c r="N623" t="s">
        <v>2665</v>
      </c>
      <c r="O623" t="s">
        <v>3576</v>
      </c>
      <c r="P623" t="s">
        <v>2898</v>
      </c>
      <c r="Q623" t="s">
        <v>3617</v>
      </c>
      <c r="R623" t="s">
        <v>2665</v>
      </c>
      <c r="S623" t="s">
        <v>2781</v>
      </c>
      <c r="T623" t="s">
        <v>2922</v>
      </c>
      <c r="U623" t="s">
        <v>2665</v>
      </c>
      <c r="V623" t="s">
        <v>3629</v>
      </c>
      <c r="W623" t="s">
        <v>3630</v>
      </c>
      <c r="X623" t="s">
        <v>2665</v>
      </c>
      <c r="Y623" t="s">
        <v>2054</v>
      </c>
      <c r="Z623" t="s">
        <v>1179</v>
      </c>
      <c r="AA623" t="s">
        <v>2742</v>
      </c>
      <c r="AB623" t="s">
        <v>2742</v>
      </c>
      <c r="AC623" t="s">
        <v>2665</v>
      </c>
      <c r="AD623" t="s">
        <v>2054</v>
      </c>
      <c r="AE623" t="s">
        <v>2054</v>
      </c>
    </row>
    <row r="624" spans="1:31" x14ac:dyDescent="0.25">
      <c r="A624" t="s">
        <v>2235</v>
      </c>
      <c r="B624" t="s">
        <v>2234</v>
      </c>
      <c r="C624" t="s">
        <v>3911</v>
      </c>
      <c r="D624" t="s">
        <v>2331</v>
      </c>
      <c r="E624" t="s">
        <v>2666</v>
      </c>
      <c r="F624" t="s">
        <v>3912</v>
      </c>
      <c r="G624" t="s">
        <v>2666</v>
      </c>
      <c r="H624" t="s">
        <v>2054</v>
      </c>
      <c r="I624" t="s">
        <v>2778</v>
      </c>
      <c r="J624" t="s">
        <v>2054</v>
      </c>
      <c r="K624" t="s">
        <v>2665</v>
      </c>
      <c r="L624" t="s">
        <v>1179</v>
      </c>
      <c r="M624" t="s">
        <v>2878</v>
      </c>
      <c r="N624" t="s">
        <v>2665</v>
      </c>
      <c r="O624" t="s">
        <v>3576</v>
      </c>
      <c r="P624" t="s">
        <v>2898</v>
      </c>
      <c r="Q624" t="s">
        <v>3617</v>
      </c>
      <c r="R624" t="s">
        <v>2665</v>
      </c>
      <c r="S624" t="s">
        <v>2781</v>
      </c>
      <c r="T624" t="s">
        <v>2922</v>
      </c>
      <c r="U624" t="s">
        <v>2665</v>
      </c>
      <c r="V624" t="s">
        <v>3629</v>
      </c>
      <c r="W624" t="s">
        <v>3630</v>
      </c>
      <c r="X624" t="s">
        <v>2665</v>
      </c>
      <c r="Y624" t="s">
        <v>2054</v>
      </c>
      <c r="Z624" t="s">
        <v>1179</v>
      </c>
      <c r="AA624" t="s">
        <v>3913</v>
      </c>
      <c r="AB624" t="s">
        <v>3913</v>
      </c>
      <c r="AC624" t="s">
        <v>2665</v>
      </c>
      <c r="AD624" t="s">
        <v>2054</v>
      </c>
      <c r="AE624" t="s">
        <v>2054</v>
      </c>
    </row>
    <row r="625" spans="1:31" x14ac:dyDescent="0.25">
      <c r="A625" t="s">
        <v>988</v>
      </c>
      <c r="B625" t="s">
        <v>986</v>
      </c>
      <c r="C625" t="s">
        <v>3914</v>
      </c>
      <c r="D625" t="s">
        <v>987</v>
      </c>
      <c r="E625" t="s">
        <v>2666</v>
      </c>
      <c r="F625" t="s">
        <v>3915</v>
      </c>
      <c r="G625" t="s">
        <v>2666</v>
      </c>
      <c r="H625" t="s">
        <v>2054</v>
      </c>
      <c r="I625" t="s">
        <v>2778</v>
      </c>
      <c r="J625" t="s">
        <v>2054</v>
      </c>
      <c r="K625" t="s">
        <v>2665</v>
      </c>
      <c r="L625" t="s">
        <v>1179</v>
      </c>
      <c r="M625" t="s">
        <v>2875</v>
      </c>
      <c r="N625" t="s">
        <v>2665</v>
      </c>
      <c r="O625" t="s">
        <v>2876</v>
      </c>
      <c r="P625" t="s">
        <v>2898</v>
      </c>
      <c r="Q625" t="s">
        <v>3617</v>
      </c>
      <c r="R625" t="s">
        <v>2665</v>
      </c>
      <c r="S625" t="s">
        <v>2781</v>
      </c>
      <c r="T625" t="s">
        <v>2922</v>
      </c>
      <c r="U625" t="s">
        <v>2665</v>
      </c>
      <c r="V625" t="s">
        <v>3629</v>
      </c>
      <c r="W625" t="s">
        <v>3630</v>
      </c>
      <c r="X625" t="s">
        <v>2665</v>
      </c>
      <c r="Y625" t="s">
        <v>2054</v>
      </c>
      <c r="Z625" t="s">
        <v>1179</v>
      </c>
      <c r="AA625" t="s">
        <v>2795</v>
      </c>
      <c r="AB625" t="s">
        <v>2795</v>
      </c>
      <c r="AC625" t="s">
        <v>2665</v>
      </c>
      <c r="AD625" t="s">
        <v>2054</v>
      </c>
      <c r="AE625" t="s">
        <v>2054</v>
      </c>
    </row>
    <row r="626" spans="1:31" x14ac:dyDescent="0.25">
      <c r="A626" t="s">
        <v>2238</v>
      </c>
      <c r="B626" t="s">
        <v>2237</v>
      </c>
      <c r="C626" t="s">
        <v>3916</v>
      </c>
      <c r="D626" t="s">
        <v>2326</v>
      </c>
      <c r="E626" t="s">
        <v>2666</v>
      </c>
      <c r="F626" t="s">
        <v>3917</v>
      </c>
      <c r="G626" t="s">
        <v>2666</v>
      </c>
      <c r="H626" t="s">
        <v>2054</v>
      </c>
      <c r="I626" t="s">
        <v>2778</v>
      </c>
      <c r="J626" t="s">
        <v>2054</v>
      </c>
      <c r="K626" t="s">
        <v>2665</v>
      </c>
      <c r="L626" t="s">
        <v>1179</v>
      </c>
      <c r="M626" t="s">
        <v>2875</v>
      </c>
      <c r="N626" t="s">
        <v>2665</v>
      </c>
      <c r="O626" t="s">
        <v>2876</v>
      </c>
      <c r="P626" t="s">
        <v>2898</v>
      </c>
      <c r="Q626" t="s">
        <v>3617</v>
      </c>
      <c r="R626" t="s">
        <v>2665</v>
      </c>
      <c r="S626" t="s">
        <v>2781</v>
      </c>
      <c r="T626" t="s">
        <v>2922</v>
      </c>
      <c r="U626" t="s">
        <v>2665</v>
      </c>
      <c r="V626" t="s">
        <v>3629</v>
      </c>
      <c r="W626" t="s">
        <v>3630</v>
      </c>
      <c r="X626" t="s">
        <v>2665</v>
      </c>
      <c r="Y626" t="s">
        <v>2054</v>
      </c>
      <c r="Z626" t="s">
        <v>1179</v>
      </c>
      <c r="AA626" t="s">
        <v>2795</v>
      </c>
      <c r="AB626" t="s">
        <v>2795</v>
      </c>
      <c r="AC626" t="s">
        <v>2665</v>
      </c>
      <c r="AD626" t="s">
        <v>2054</v>
      </c>
      <c r="AE626" t="s">
        <v>2054</v>
      </c>
    </row>
    <row r="627" spans="1:31" x14ac:dyDescent="0.25">
      <c r="A627" t="s">
        <v>2240</v>
      </c>
      <c r="B627" t="s">
        <v>2239</v>
      </c>
      <c r="C627" t="s">
        <v>3918</v>
      </c>
      <c r="D627" t="s">
        <v>2327</v>
      </c>
      <c r="E627" t="s">
        <v>2666</v>
      </c>
      <c r="F627" t="s">
        <v>3919</v>
      </c>
      <c r="G627" t="s">
        <v>2666</v>
      </c>
      <c r="H627" t="s">
        <v>2054</v>
      </c>
      <c r="I627" t="s">
        <v>2778</v>
      </c>
      <c r="J627" t="s">
        <v>2054</v>
      </c>
      <c r="K627" t="s">
        <v>2665</v>
      </c>
      <c r="L627" t="s">
        <v>1179</v>
      </c>
      <c r="M627" t="s">
        <v>2875</v>
      </c>
      <c r="N627" t="s">
        <v>2665</v>
      </c>
      <c r="O627" t="s">
        <v>2876</v>
      </c>
      <c r="P627" t="s">
        <v>2898</v>
      </c>
      <c r="Q627" t="s">
        <v>3617</v>
      </c>
      <c r="R627" t="s">
        <v>2665</v>
      </c>
      <c r="S627" t="s">
        <v>2781</v>
      </c>
      <c r="T627" t="s">
        <v>2922</v>
      </c>
      <c r="U627" t="s">
        <v>2665</v>
      </c>
      <c r="V627" t="s">
        <v>3629</v>
      </c>
      <c r="W627" t="s">
        <v>3630</v>
      </c>
      <c r="X627" t="s">
        <v>2665</v>
      </c>
      <c r="Y627" t="s">
        <v>2054</v>
      </c>
      <c r="Z627" t="s">
        <v>1179</v>
      </c>
      <c r="AA627" t="s">
        <v>2795</v>
      </c>
      <c r="AB627" t="s">
        <v>2795</v>
      </c>
      <c r="AC627" t="s">
        <v>2665</v>
      </c>
      <c r="AD627" t="s">
        <v>2054</v>
      </c>
      <c r="AE627" t="s">
        <v>2054</v>
      </c>
    </row>
    <row r="628" spans="1:31" x14ac:dyDescent="0.25">
      <c r="A628" t="s">
        <v>2242</v>
      </c>
      <c r="B628" t="s">
        <v>2241</v>
      </c>
      <c r="C628" t="s">
        <v>3920</v>
      </c>
      <c r="D628" t="s">
        <v>2321</v>
      </c>
      <c r="E628" t="s">
        <v>2666</v>
      </c>
      <c r="F628" t="s">
        <v>3921</v>
      </c>
      <c r="G628" t="s">
        <v>2666</v>
      </c>
      <c r="H628" t="s">
        <v>2054</v>
      </c>
      <c r="I628" t="s">
        <v>2778</v>
      </c>
      <c r="J628" t="s">
        <v>2054</v>
      </c>
      <c r="K628" t="s">
        <v>2665</v>
      </c>
      <c r="L628" t="s">
        <v>1179</v>
      </c>
      <c r="M628" t="s">
        <v>2875</v>
      </c>
      <c r="N628" t="s">
        <v>2665</v>
      </c>
      <c r="O628" t="s">
        <v>2876</v>
      </c>
      <c r="P628" t="s">
        <v>2898</v>
      </c>
      <c r="Q628" t="s">
        <v>3617</v>
      </c>
      <c r="R628" t="s">
        <v>2665</v>
      </c>
      <c r="S628" t="s">
        <v>2781</v>
      </c>
      <c r="T628" t="s">
        <v>2922</v>
      </c>
      <c r="U628" t="s">
        <v>2665</v>
      </c>
      <c r="V628" t="s">
        <v>3629</v>
      </c>
      <c r="W628" t="s">
        <v>3630</v>
      </c>
      <c r="X628" t="s">
        <v>2665</v>
      </c>
      <c r="Y628" t="s">
        <v>2054</v>
      </c>
      <c r="Z628" t="s">
        <v>1179</v>
      </c>
      <c r="AA628" t="s">
        <v>2795</v>
      </c>
      <c r="AB628" t="s">
        <v>2795</v>
      </c>
      <c r="AC628" t="s">
        <v>2665</v>
      </c>
      <c r="AD628" t="s">
        <v>2054</v>
      </c>
      <c r="AE628" t="s">
        <v>2054</v>
      </c>
    </row>
    <row r="629" spans="1:31" x14ac:dyDescent="0.25">
      <c r="A629" t="s">
        <v>2244</v>
      </c>
      <c r="B629" t="s">
        <v>2243</v>
      </c>
      <c r="C629" t="s">
        <v>3922</v>
      </c>
      <c r="D629" t="s">
        <v>2322</v>
      </c>
      <c r="E629" t="s">
        <v>2666</v>
      </c>
      <c r="F629" t="s">
        <v>3368</v>
      </c>
      <c r="G629" t="s">
        <v>2666</v>
      </c>
      <c r="H629" t="s">
        <v>2054</v>
      </c>
      <c r="I629" t="s">
        <v>2778</v>
      </c>
      <c r="J629" t="s">
        <v>2054</v>
      </c>
      <c r="K629" t="s">
        <v>2665</v>
      </c>
      <c r="L629" t="s">
        <v>1179</v>
      </c>
      <c r="M629" t="s">
        <v>2875</v>
      </c>
      <c r="N629" t="s">
        <v>2665</v>
      </c>
      <c r="O629" t="s">
        <v>2876</v>
      </c>
      <c r="P629" t="s">
        <v>2898</v>
      </c>
      <c r="Q629" t="s">
        <v>3617</v>
      </c>
      <c r="R629" t="s">
        <v>2665</v>
      </c>
      <c r="S629" t="s">
        <v>2781</v>
      </c>
      <c r="T629" t="s">
        <v>2922</v>
      </c>
      <c r="U629" t="s">
        <v>2665</v>
      </c>
      <c r="V629" t="s">
        <v>3629</v>
      </c>
      <c r="W629" t="s">
        <v>3630</v>
      </c>
      <c r="X629" t="s">
        <v>2665</v>
      </c>
      <c r="Y629" t="s">
        <v>2054</v>
      </c>
      <c r="Z629" t="s">
        <v>1179</v>
      </c>
      <c r="AA629" t="s">
        <v>2795</v>
      </c>
      <c r="AB629" t="s">
        <v>2795</v>
      </c>
      <c r="AC629" t="s">
        <v>2665</v>
      </c>
      <c r="AD629" t="s">
        <v>2054</v>
      </c>
      <c r="AE629" t="s">
        <v>2054</v>
      </c>
    </row>
    <row r="630" spans="1:31" x14ac:dyDescent="0.25">
      <c r="A630" t="s">
        <v>2246</v>
      </c>
      <c r="B630" t="s">
        <v>2245</v>
      </c>
      <c r="C630" t="s">
        <v>3923</v>
      </c>
      <c r="D630" t="s">
        <v>2323</v>
      </c>
      <c r="E630" t="s">
        <v>2666</v>
      </c>
      <c r="F630" t="s">
        <v>3924</v>
      </c>
      <c r="G630" t="s">
        <v>2666</v>
      </c>
      <c r="H630" t="s">
        <v>2054</v>
      </c>
      <c r="I630" t="s">
        <v>2778</v>
      </c>
      <c r="J630" t="s">
        <v>2054</v>
      </c>
      <c r="K630" t="s">
        <v>2665</v>
      </c>
      <c r="L630" t="s">
        <v>1179</v>
      </c>
      <c r="M630" t="s">
        <v>2875</v>
      </c>
      <c r="N630" t="s">
        <v>2665</v>
      </c>
      <c r="O630" t="s">
        <v>2876</v>
      </c>
      <c r="P630" t="s">
        <v>2898</v>
      </c>
      <c r="Q630" t="s">
        <v>3617</v>
      </c>
      <c r="R630" t="s">
        <v>2665</v>
      </c>
      <c r="S630" t="s">
        <v>2781</v>
      </c>
      <c r="T630" t="s">
        <v>2922</v>
      </c>
      <c r="U630" t="s">
        <v>2665</v>
      </c>
      <c r="V630" t="s">
        <v>3629</v>
      </c>
      <c r="W630" t="s">
        <v>3630</v>
      </c>
      <c r="X630" t="s">
        <v>2665</v>
      </c>
      <c r="Y630" t="s">
        <v>2054</v>
      </c>
      <c r="Z630" t="s">
        <v>1179</v>
      </c>
      <c r="AA630" t="s">
        <v>2795</v>
      </c>
      <c r="AB630" t="s">
        <v>2795</v>
      </c>
      <c r="AC630" t="s">
        <v>2665</v>
      </c>
      <c r="AD630" t="s">
        <v>2054</v>
      </c>
      <c r="AE630" t="s">
        <v>2054</v>
      </c>
    </row>
    <row r="631" spans="1:31" x14ac:dyDescent="0.25">
      <c r="A631" t="s">
        <v>2248</v>
      </c>
      <c r="B631" t="s">
        <v>2247</v>
      </c>
      <c r="C631" t="s">
        <v>3925</v>
      </c>
      <c r="D631" t="s">
        <v>2325</v>
      </c>
      <c r="E631" t="s">
        <v>2666</v>
      </c>
      <c r="F631" t="s">
        <v>3926</v>
      </c>
      <c r="G631" t="s">
        <v>2666</v>
      </c>
      <c r="H631" t="s">
        <v>2054</v>
      </c>
      <c r="I631" t="s">
        <v>2778</v>
      </c>
      <c r="J631" t="s">
        <v>2054</v>
      </c>
      <c r="K631" t="s">
        <v>2665</v>
      </c>
      <c r="L631" t="s">
        <v>1179</v>
      </c>
      <c r="M631" t="s">
        <v>2875</v>
      </c>
      <c r="N631" t="s">
        <v>2665</v>
      </c>
      <c r="O631" t="s">
        <v>2876</v>
      </c>
      <c r="P631" t="s">
        <v>2898</v>
      </c>
      <c r="Q631" t="s">
        <v>3617</v>
      </c>
      <c r="R631" t="s">
        <v>2665</v>
      </c>
      <c r="S631" t="s">
        <v>2781</v>
      </c>
      <c r="T631" t="s">
        <v>2922</v>
      </c>
      <c r="U631" t="s">
        <v>2665</v>
      </c>
      <c r="V631" t="s">
        <v>3629</v>
      </c>
      <c r="W631" t="s">
        <v>3630</v>
      </c>
      <c r="X631" t="s">
        <v>2665</v>
      </c>
      <c r="Y631" t="s">
        <v>2054</v>
      </c>
      <c r="Z631" t="s">
        <v>1179</v>
      </c>
      <c r="AA631" t="s">
        <v>2745</v>
      </c>
      <c r="AB631" t="s">
        <v>2745</v>
      </c>
      <c r="AC631" t="s">
        <v>2665</v>
      </c>
      <c r="AD631" t="s">
        <v>2054</v>
      </c>
      <c r="AE631" t="s">
        <v>2054</v>
      </c>
    </row>
    <row r="632" spans="1:31" x14ac:dyDescent="0.25">
      <c r="A632" t="s">
        <v>2250</v>
      </c>
      <c r="B632" t="s">
        <v>2249</v>
      </c>
      <c r="C632" t="s">
        <v>3927</v>
      </c>
      <c r="D632" t="s">
        <v>2324</v>
      </c>
      <c r="E632" t="s">
        <v>2666</v>
      </c>
      <c r="F632" t="s">
        <v>3802</v>
      </c>
      <c r="G632" t="s">
        <v>2666</v>
      </c>
      <c r="H632" t="s">
        <v>2054</v>
      </c>
      <c r="I632" t="s">
        <v>2778</v>
      </c>
      <c r="J632" t="s">
        <v>2054</v>
      </c>
      <c r="K632" t="s">
        <v>2665</v>
      </c>
      <c r="L632" t="s">
        <v>1179</v>
      </c>
      <c r="M632" t="s">
        <v>2875</v>
      </c>
      <c r="N632" t="s">
        <v>2665</v>
      </c>
      <c r="O632" t="s">
        <v>2876</v>
      </c>
      <c r="P632" t="s">
        <v>2898</v>
      </c>
      <c r="Q632" t="s">
        <v>3617</v>
      </c>
      <c r="R632" t="s">
        <v>2665</v>
      </c>
      <c r="S632" t="s">
        <v>2781</v>
      </c>
      <c r="T632" t="s">
        <v>2922</v>
      </c>
      <c r="U632" t="s">
        <v>2665</v>
      </c>
      <c r="V632" t="s">
        <v>3629</v>
      </c>
      <c r="W632" t="s">
        <v>3630</v>
      </c>
      <c r="X632" t="s">
        <v>2665</v>
      </c>
      <c r="Y632" t="s">
        <v>2054</v>
      </c>
      <c r="Z632" t="s">
        <v>1179</v>
      </c>
      <c r="AA632" t="s">
        <v>2795</v>
      </c>
      <c r="AB632" t="s">
        <v>2795</v>
      </c>
      <c r="AC632" t="s">
        <v>2665</v>
      </c>
      <c r="AD632" t="s">
        <v>2054</v>
      </c>
      <c r="AE632" t="s">
        <v>2054</v>
      </c>
    </row>
    <row r="633" spans="1:31" x14ac:dyDescent="0.25">
      <c r="A633" t="s">
        <v>973</v>
      </c>
      <c r="B633" t="s">
        <v>965</v>
      </c>
      <c r="C633" t="s">
        <v>3928</v>
      </c>
      <c r="D633" t="s">
        <v>966</v>
      </c>
      <c r="E633" t="s">
        <v>2666</v>
      </c>
      <c r="F633" t="s">
        <v>3915</v>
      </c>
      <c r="G633" t="s">
        <v>2666</v>
      </c>
      <c r="H633" t="s">
        <v>2054</v>
      </c>
      <c r="I633" t="s">
        <v>2778</v>
      </c>
      <c r="J633" t="s">
        <v>2054</v>
      </c>
      <c r="K633" t="s">
        <v>2665</v>
      </c>
      <c r="L633" t="s">
        <v>1179</v>
      </c>
      <c r="M633" t="s">
        <v>2875</v>
      </c>
      <c r="N633" t="s">
        <v>2665</v>
      </c>
      <c r="O633" t="s">
        <v>2876</v>
      </c>
      <c r="P633" t="s">
        <v>2898</v>
      </c>
      <c r="Q633" t="s">
        <v>3617</v>
      </c>
      <c r="R633" t="s">
        <v>2665</v>
      </c>
      <c r="S633" t="s">
        <v>2671</v>
      </c>
      <c r="T633" t="s">
        <v>2673</v>
      </c>
      <c r="U633" t="s">
        <v>2665</v>
      </c>
      <c r="V633" t="s">
        <v>3883</v>
      </c>
      <c r="W633" t="s">
        <v>3884</v>
      </c>
      <c r="X633" t="s">
        <v>2665</v>
      </c>
      <c r="Y633" t="s">
        <v>2054</v>
      </c>
      <c r="Z633" t="s">
        <v>1179</v>
      </c>
      <c r="AA633" t="s">
        <v>2797</v>
      </c>
      <c r="AB633" t="s">
        <v>2797</v>
      </c>
      <c r="AC633" t="s">
        <v>2665</v>
      </c>
      <c r="AD633" t="s">
        <v>2054</v>
      </c>
      <c r="AE633" t="s">
        <v>2054</v>
      </c>
    </row>
    <row r="634" spans="1:31" x14ac:dyDescent="0.25">
      <c r="A634" t="s">
        <v>974</v>
      </c>
      <c r="B634" t="s">
        <v>967</v>
      </c>
      <c r="C634" t="s">
        <v>3929</v>
      </c>
      <c r="D634" t="s">
        <v>968</v>
      </c>
      <c r="E634" t="s">
        <v>2666</v>
      </c>
      <c r="F634" t="s">
        <v>3930</v>
      </c>
      <c r="G634" t="s">
        <v>2666</v>
      </c>
      <c r="H634" t="s">
        <v>2054</v>
      </c>
      <c r="I634" t="s">
        <v>2778</v>
      </c>
      <c r="J634" t="s">
        <v>2054</v>
      </c>
      <c r="K634" t="s">
        <v>2665</v>
      </c>
      <c r="L634" t="s">
        <v>1179</v>
      </c>
      <c r="M634" t="s">
        <v>2875</v>
      </c>
      <c r="N634" t="s">
        <v>2665</v>
      </c>
      <c r="O634" t="s">
        <v>2876</v>
      </c>
      <c r="P634" t="s">
        <v>2898</v>
      </c>
      <c r="Q634" t="s">
        <v>3617</v>
      </c>
      <c r="R634" t="s">
        <v>2665</v>
      </c>
      <c r="S634" t="s">
        <v>2671</v>
      </c>
      <c r="T634" t="s">
        <v>2673</v>
      </c>
      <c r="U634" t="s">
        <v>2665</v>
      </c>
      <c r="V634" t="s">
        <v>3883</v>
      </c>
      <c r="W634" t="s">
        <v>3884</v>
      </c>
      <c r="X634" t="s">
        <v>2665</v>
      </c>
      <c r="Y634" t="s">
        <v>2054</v>
      </c>
      <c r="Z634" t="s">
        <v>1179</v>
      </c>
      <c r="AA634" t="s">
        <v>2797</v>
      </c>
      <c r="AB634" t="s">
        <v>2797</v>
      </c>
      <c r="AC634" t="s">
        <v>2665</v>
      </c>
      <c r="AD634" t="s">
        <v>2054</v>
      </c>
      <c r="AE634" t="s">
        <v>2054</v>
      </c>
    </row>
    <row r="635" spans="1:31" x14ac:dyDescent="0.25">
      <c r="A635" t="s">
        <v>975</v>
      </c>
      <c r="B635" t="s">
        <v>969</v>
      </c>
      <c r="C635" t="s">
        <v>3931</v>
      </c>
      <c r="D635" t="s">
        <v>970</v>
      </c>
      <c r="E635" t="s">
        <v>2666</v>
      </c>
      <c r="F635" t="s">
        <v>3930</v>
      </c>
      <c r="G635" t="s">
        <v>2666</v>
      </c>
      <c r="H635" t="s">
        <v>2054</v>
      </c>
      <c r="I635" t="s">
        <v>2778</v>
      </c>
      <c r="J635" t="s">
        <v>2054</v>
      </c>
      <c r="K635" t="s">
        <v>2665</v>
      </c>
      <c r="L635" t="s">
        <v>1179</v>
      </c>
      <c r="M635" t="s">
        <v>2875</v>
      </c>
      <c r="N635" t="s">
        <v>2665</v>
      </c>
      <c r="O635" t="s">
        <v>2876</v>
      </c>
      <c r="P635" t="s">
        <v>2898</v>
      </c>
      <c r="Q635" t="s">
        <v>3617</v>
      </c>
      <c r="R635" t="s">
        <v>2665</v>
      </c>
      <c r="S635" t="s">
        <v>2671</v>
      </c>
      <c r="T635" t="s">
        <v>2673</v>
      </c>
      <c r="U635" t="s">
        <v>2665</v>
      </c>
      <c r="V635" t="s">
        <v>3883</v>
      </c>
      <c r="W635" t="s">
        <v>3884</v>
      </c>
      <c r="X635" t="s">
        <v>2665</v>
      </c>
      <c r="Y635" t="s">
        <v>2054</v>
      </c>
      <c r="Z635" t="s">
        <v>1179</v>
      </c>
      <c r="AA635" t="s">
        <v>2797</v>
      </c>
      <c r="AB635" t="s">
        <v>2797</v>
      </c>
      <c r="AC635" t="s">
        <v>2665</v>
      </c>
      <c r="AD635" t="s">
        <v>2054</v>
      </c>
      <c r="AE635" t="s">
        <v>2054</v>
      </c>
    </row>
    <row r="636" spans="1:31" x14ac:dyDescent="0.25">
      <c r="A636" t="s">
        <v>752</v>
      </c>
      <c r="B636" t="s">
        <v>742</v>
      </c>
      <c r="C636" t="s">
        <v>3932</v>
      </c>
      <c r="D636" t="s">
        <v>759</v>
      </c>
      <c r="E636" t="s">
        <v>2666</v>
      </c>
      <c r="F636" t="s">
        <v>3827</v>
      </c>
      <c r="G636" t="s">
        <v>2666</v>
      </c>
      <c r="H636" t="s">
        <v>2054</v>
      </c>
      <c r="I636" t="s">
        <v>2778</v>
      </c>
      <c r="J636" t="s">
        <v>2054</v>
      </c>
      <c r="K636" t="s">
        <v>2665</v>
      </c>
      <c r="L636" t="s">
        <v>1179</v>
      </c>
      <c r="M636" t="s">
        <v>2875</v>
      </c>
      <c r="N636" t="s">
        <v>2665</v>
      </c>
      <c r="O636" t="s">
        <v>2876</v>
      </c>
      <c r="P636" t="s">
        <v>2898</v>
      </c>
      <c r="Q636" t="s">
        <v>3617</v>
      </c>
      <c r="R636" t="s">
        <v>2665</v>
      </c>
      <c r="S636" t="s">
        <v>2781</v>
      </c>
      <c r="T636" t="s">
        <v>2922</v>
      </c>
      <c r="U636" t="s">
        <v>2665</v>
      </c>
      <c r="V636" t="s">
        <v>3883</v>
      </c>
      <c r="W636" t="s">
        <v>3884</v>
      </c>
      <c r="X636" t="s">
        <v>2665</v>
      </c>
      <c r="Y636" t="s">
        <v>2054</v>
      </c>
      <c r="Z636" t="s">
        <v>1179</v>
      </c>
      <c r="AA636" t="s">
        <v>2797</v>
      </c>
      <c r="AB636" t="s">
        <v>2797</v>
      </c>
      <c r="AC636" t="s">
        <v>2665</v>
      </c>
      <c r="AD636" t="s">
        <v>2054</v>
      </c>
      <c r="AE636" t="s">
        <v>2054</v>
      </c>
    </row>
    <row r="637" spans="1:31" x14ac:dyDescent="0.25">
      <c r="A637" t="s">
        <v>753</v>
      </c>
      <c r="B637" t="s">
        <v>743</v>
      </c>
      <c r="C637" t="s">
        <v>3933</v>
      </c>
      <c r="D637" t="s">
        <v>760</v>
      </c>
      <c r="E637" t="s">
        <v>2666</v>
      </c>
      <c r="F637" t="s">
        <v>3934</v>
      </c>
      <c r="G637" t="s">
        <v>2666</v>
      </c>
      <c r="H637" t="s">
        <v>2054</v>
      </c>
      <c r="I637" t="s">
        <v>2778</v>
      </c>
      <c r="J637" t="s">
        <v>2054</v>
      </c>
      <c r="K637" t="s">
        <v>2665</v>
      </c>
      <c r="L637" t="s">
        <v>1179</v>
      </c>
      <c r="M637" t="s">
        <v>2875</v>
      </c>
      <c r="N637" t="s">
        <v>2665</v>
      </c>
      <c r="O637" t="s">
        <v>2876</v>
      </c>
      <c r="P637" t="s">
        <v>2898</v>
      </c>
      <c r="Q637" t="s">
        <v>3617</v>
      </c>
      <c r="R637" t="s">
        <v>2665</v>
      </c>
      <c r="S637" t="s">
        <v>2781</v>
      </c>
      <c r="T637" t="s">
        <v>2922</v>
      </c>
      <c r="U637" t="s">
        <v>2665</v>
      </c>
      <c r="V637" t="s">
        <v>3883</v>
      </c>
      <c r="W637" t="s">
        <v>3884</v>
      </c>
      <c r="X637" t="s">
        <v>2665</v>
      </c>
      <c r="Y637" t="s">
        <v>2054</v>
      </c>
      <c r="Z637" t="s">
        <v>1179</v>
      </c>
      <c r="AA637" t="s">
        <v>2797</v>
      </c>
      <c r="AB637" t="s">
        <v>2797</v>
      </c>
      <c r="AC637" t="s">
        <v>2665</v>
      </c>
      <c r="AD637" t="s">
        <v>2054</v>
      </c>
      <c r="AE637" t="s">
        <v>2054</v>
      </c>
    </row>
    <row r="638" spans="1:31" x14ac:dyDescent="0.25">
      <c r="A638" t="s">
        <v>754</v>
      </c>
      <c r="B638" t="s">
        <v>744</v>
      </c>
      <c r="C638" t="s">
        <v>3935</v>
      </c>
      <c r="D638" t="s">
        <v>761</v>
      </c>
      <c r="E638" t="s">
        <v>2666</v>
      </c>
      <c r="F638" t="s">
        <v>3936</v>
      </c>
      <c r="G638" t="s">
        <v>2666</v>
      </c>
      <c r="H638" t="s">
        <v>2054</v>
      </c>
      <c r="I638" t="s">
        <v>2778</v>
      </c>
      <c r="J638" t="s">
        <v>2054</v>
      </c>
      <c r="K638" t="s">
        <v>2665</v>
      </c>
      <c r="L638" t="s">
        <v>1179</v>
      </c>
      <c r="M638" t="s">
        <v>2878</v>
      </c>
      <c r="N638" t="s">
        <v>2665</v>
      </c>
      <c r="O638" t="s">
        <v>3576</v>
      </c>
      <c r="P638" t="s">
        <v>2898</v>
      </c>
      <c r="Q638" t="s">
        <v>3617</v>
      </c>
      <c r="R638" t="s">
        <v>2665</v>
      </c>
      <c r="S638" t="s">
        <v>2781</v>
      </c>
      <c r="T638" t="s">
        <v>2922</v>
      </c>
      <c r="U638" t="s">
        <v>2665</v>
      </c>
      <c r="V638" t="s">
        <v>3629</v>
      </c>
      <c r="W638" t="s">
        <v>3630</v>
      </c>
      <c r="X638" t="s">
        <v>2665</v>
      </c>
      <c r="Y638" t="s">
        <v>2054</v>
      </c>
      <c r="Z638" t="s">
        <v>1179</v>
      </c>
      <c r="AA638" t="s">
        <v>2797</v>
      </c>
      <c r="AB638" t="s">
        <v>2797</v>
      </c>
      <c r="AC638" t="s">
        <v>2665</v>
      </c>
      <c r="AD638" t="s">
        <v>2054</v>
      </c>
      <c r="AE638" t="s">
        <v>2054</v>
      </c>
    </row>
    <row r="639" spans="1:31" x14ac:dyDescent="0.25">
      <c r="A639" t="s">
        <v>755</v>
      </c>
      <c r="B639" t="s">
        <v>745</v>
      </c>
      <c r="C639" t="s">
        <v>3937</v>
      </c>
      <c r="D639" t="s">
        <v>762</v>
      </c>
      <c r="E639" t="s">
        <v>2666</v>
      </c>
      <c r="F639" t="s">
        <v>3915</v>
      </c>
      <c r="G639" t="s">
        <v>2666</v>
      </c>
      <c r="H639" t="s">
        <v>2054</v>
      </c>
      <c r="I639" t="s">
        <v>2778</v>
      </c>
      <c r="J639" t="s">
        <v>2054</v>
      </c>
      <c r="K639" t="s">
        <v>2665</v>
      </c>
      <c r="L639" t="s">
        <v>1179</v>
      </c>
      <c r="M639" t="s">
        <v>2878</v>
      </c>
      <c r="N639" t="s">
        <v>2665</v>
      </c>
      <c r="O639" t="s">
        <v>3576</v>
      </c>
      <c r="P639" t="s">
        <v>2898</v>
      </c>
      <c r="Q639" t="s">
        <v>3617</v>
      </c>
      <c r="R639" t="s">
        <v>2665</v>
      </c>
      <c r="S639" t="s">
        <v>2781</v>
      </c>
      <c r="T639" t="s">
        <v>2922</v>
      </c>
      <c r="U639" t="s">
        <v>2665</v>
      </c>
      <c r="V639" t="s">
        <v>3629</v>
      </c>
      <c r="W639" t="s">
        <v>3630</v>
      </c>
      <c r="X639" t="s">
        <v>2665</v>
      </c>
      <c r="Y639" t="s">
        <v>2054</v>
      </c>
      <c r="Z639" t="s">
        <v>1179</v>
      </c>
      <c r="AA639" t="s">
        <v>2797</v>
      </c>
      <c r="AB639" t="s">
        <v>2797</v>
      </c>
      <c r="AC639" t="s">
        <v>2665</v>
      </c>
      <c r="AD639" t="s">
        <v>2054</v>
      </c>
      <c r="AE639" t="s">
        <v>2054</v>
      </c>
    </row>
    <row r="640" spans="1:31" x14ac:dyDescent="0.25">
      <c r="A640" t="s">
        <v>756</v>
      </c>
      <c r="B640" t="s">
        <v>746</v>
      </c>
      <c r="C640" t="s">
        <v>3938</v>
      </c>
      <c r="D640" t="s">
        <v>763</v>
      </c>
      <c r="E640" t="s">
        <v>2666</v>
      </c>
      <c r="F640" t="s">
        <v>3934</v>
      </c>
      <c r="G640" t="s">
        <v>2666</v>
      </c>
      <c r="H640" t="s">
        <v>2054</v>
      </c>
      <c r="I640" t="s">
        <v>2778</v>
      </c>
      <c r="J640" t="s">
        <v>2054</v>
      </c>
      <c r="K640" t="s">
        <v>2665</v>
      </c>
      <c r="L640" t="s">
        <v>1179</v>
      </c>
      <c r="M640" t="s">
        <v>2878</v>
      </c>
      <c r="N640" t="s">
        <v>2665</v>
      </c>
      <c r="O640" t="s">
        <v>3576</v>
      </c>
      <c r="P640" t="s">
        <v>2898</v>
      </c>
      <c r="Q640" t="s">
        <v>3617</v>
      </c>
      <c r="R640" t="s">
        <v>2665</v>
      </c>
      <c r="S640" t="s">
        <v>2781</v>
      </c>
      <c r="T640" t="s">
        <v>2922</v>
      </c>
      <c r="U640" t="s">
        <v>2665</v>
      </c>
      <c r="V640" t="s">
        <v>3629</v>
      </c>
      <c r="W640" t="s">
        <v>3630</v>
      </c>
      <c r="X640" t="s">
        <v>2665</v>
      </c>
      <c r="Y640" t="s">
        <v>2054</v>
      </c>
      <c r="Z640" t="s">
        <v>1179</v>
      </c>
      <c r="AA640" t="s">
        <v>2797</v>
      </c>
      <c r="AB640" t="s">
        <v>2797</v>
      </c>
      <c r="AC640" t="s">
        <v>2665</v>
      </c>
      <c r="AD640" t="s">
        <v>2054</v>
      </c>
      <c r="AE640" t="s">
        <v>2054</v>
      </c>
    </row>
    <row r="641" spans="1:31" x14ac:dyDescent="0.25">
      <c r="A641" t="s">
        <v>757</v>
      </c>
      <c r="B641" t="s">
        <v>747</v>
      </c>
      <c r="C641" t="s">
        <v>3939</v>
      </c>
      <c r="D641" t="s">
        <v>764</v>
      </c>
      <c r="E641" t="s">
        <v>2666</v>
      </c>
      <c r="F641" t="s">
        <v>3930</v>
      </c>
      <c r="G641" t="s">
        <v>2666</v>
      </c>
      <c r="H641" t="s">
        <v>2054</v>
      </c>
      <c r="I641" t="s">
        <v>2778</v>
      </c>
      <c r="J641" t="s">
        <v>2054</v>
      </c>
      <c r="K641" t="s">
        <v>2665</v>
      </c>
      <c r="L641" t="s">
        <v>1179</v>
      </c>
      <c r="M641" t="s">
        <v>2878</v>
      </c>
      <c r="N641" t="s">
        <v>2665</v>
      </c>
      <c r="O641" t="s">
        <v>3576</v>
      </c>
      <c r="P641" t="s">
        <v>2898</v>
      </c>
      <c r="Q641" t="s">
        <v>3617</v>
      </c>
      <c r="R641" t="s">
        <v>2665</v>
      </c>
      <c r="S641" t="s">
        <v>2781</v>
      </c>
      <c r="T641" t="s">
        <v>2922</v>
      </c>
      <c r="U641" t="s">
        <v>2665</v>
      </c>
      <c r="V641" t="s">
        <v>3629</v>
      </c>
      <c r="W641" t="s">
        <v>3630</v>
      </c>
      <c r="X641" t="s">
        <v>2665</v>
      </c>
      <c r="Y641" t="s">
        <v>2054</v>
      </c>
      <c r="Z641" t="s">
        <v>1179</v>
      </c>
      <c r="AA641" t="s">
        <v>2797</v>
      </c>
      <c r="AB641" t="s">
        <v>2797</v>
      </c>
      <c r="AC641" t="s">
        <v>2665</v>
      </c>
      <c r="AD641" t="s">
        <v>2054</v>
      </c>
      <c r="AE641" t="s">
        <v>2054</v>
      </c>
    </row>
    <row r="642" spans="1:31" x14ac:dyDescent="0.25">
      <c r="A642" t="s">
        <v>758</v>
      </c>
      <c r="B642" t="s">
        <v>748</v>
      </c>
      <c r="C642" t="s">
        <v>3940</v>
      </c>
      <c r="D642" t="s">
        <v>765</v>
      </c>
      <c r="E642" t="s">
        <v>2666</v>
      </c>
      <c r="F642" t="s">
        <v>3930</v>
      </c>
      <c r="G642" t="s">
        <v>2666</v>
      </c>
      <c r="H642" t="s">
        <v>2054</v>
      </c>
      <c r="I642" t="s">
        <v>2778</v>
      </c>
      <c r="J642" t="s">
        <v>2054</v>
      </c>
      <c r="K642" t="s">
        <v>2665</v>
      </c>
      <c r="L642" t="s">
        <v>1179</v>
      </c>
      <c r="M642" t="s">
        <v>2878</v>
      </c>
      <c r="N642" t="s">
        <v>2665</v>
      </c>
      <c r="O642" t="s">
        <v>3576</v>
      </c>
      <c r="P642" t="s">
        <v>2898</v>
      </c>
      <c r="Q642" t="s">
        <v>3617</v>
      </c>
      <c r="R642" t="s">
        <v>2665</v>
      </c>
      <c r="S642" t="s">
        <v>2781</v>
      </c>
      <c r="T642" t="s">
        <v>2922</v>
      </c>
      <c r="U642" t="s">
        <v>2665</v>
      </c>
      <c r="V642" t="s">
        <v>3629</v>
      </c>
      <c r="W642" t="s">
        <v>3630</v>
      </c>
      <c r="X642" t="s">
        <v>2665</v>
      </c>
      <c r="Y642" t="s">
        <v>2054</v>
      </c>
      <c r="Z642" t="s">
        <v>1179</v>
      </c>
      <c r="AA642" t="s">
        <v>2797</v>
      </c>
      <c r="AB642" t="s">
        <v>2797</v>
      </c>
      <c r="AC642" t="s">
        <v>2665</v>
      </c>
      <c r="AD642" t="s">
        <v>2054</v>
      </c>
      <c r="AE642" t="s">
        <v>2054</v>
      </c>
    </row>
    <row r="643" spans="1:31" x14ac:dyDescent="0.25">
      <c r="A643" t="s">
        <v>1754</v>
      </c>
      <c r="B643" t="s">
        <v>749</v>
      </c>
      <c r="C643" t="s">
        <v>3941</v>
      </c>
      <c r="D643" t="s">
        <v>766</v>
      </c>
      <c r="E643" t="s">
        <v>2666</v>
      </c>
      <c r="F643" t="s">
        <v>2938</v>
      </c>
      <c r="G643" t="s">
        <v>2666</v>
      </c>
      <c r="H643" t="s">
        <v>2054</v>
      </c>
      <c r="I643" t="s">
        <v>2778</v>
      </c>
      <c r="J643" t="s">
        <v>2054</v>
      </c>
      <c r="K643" t="s">
        <v>2665</v>
      </c>
      <c r="L643" t="s">
        <v>1179</v>
      </c>
      <c r="M643" t="s">
        <v>2878</v>
      </c>
      <c r="N643" t="s">
        <v>2665</v>
      </c>
      <c r="O643" t="s">
        <v>3576</v>
      </c>
      <c r="P643" t="s">
        <v>2898</v>
      </c>
      <c r="Q643" t="s">
        <v>3617</v>
      </c>
      <c r="R643" t="s">
        <v>2665</v>
      </c>
      <c r="S643" t="s">
        <v>2781</v>
      </c>
      <c r="T643" t="s">
        <v>2922</v>
      </c>
      <c r="U643" t="s">
        <v>2665</v>
      </c>
      <c r="V643" t="s">
        <v>3629</v>
      </c>
      <c r="W643" t="s">
        <v>3630</v>
      </c>
      <c r="X643" t="s">
        <v>2665</v>
      </c>
      <c r="Y643" t="s">
        <v>2054</v>
      </c>
      <c r="Z643" t="s">
        <v>1179</v>
      </c>
      <c r="AA643" t="s">
        <v>2797</v>
      </c>
      <c r="AB643" t="s">
        <v>2797</v>
      </c>
      <c r="AC643" t="s">
        <v>2665</v>
      </c>
      <c r="AD643" t="s">
        <v>2054</v>
      </c>
      <c r="AE643" t="s">
        <v>2054</v>
      </c>
    </row>
    <row r="644" spans="1:31" x14ac:dyDescent="0.25">
      <c r="A644" t="s">
        <v>1755</v>
      </c>
      <c r="B644" t="s">
        <v>750</v>
      </c>
      <c r="C644" t="s">
        <v>3942</v>
      </c>
      <c r="D644" t="s">
        <v>767</v>
      </c>
      <c r="E644" t="s">
        <v>2666</v>
      </c>
      <c r="F644" t="s">
        <v>3943</v>
      </c>
      <c r="G644" t="s">
        <v>2666</v>
      </c>
      <c r="H644" t="s">
        <v>2054</v>
      </c>
      <c r="I644" t="s">
        <v>2778</v>
      </c>
      <c r="J644" t="s">
        <v>2054</v>
      </c>
      <c r="K644" t="s">
        <v>2665</v>
      </c>
      <c r="L644" t="s">
        <v>1179</v>
      </c>
      <c r="M644" t="s">
        <v>2878</v>
      </c>
      <c r="N644" t="s">
        <v>2665</v>
      </c>
      <c r="O644" t="s">
        <v>3576</v>
      </c>
      <c r="P644" t="s">
        <v>2898</v>
      </c>
      <c r="Q644" t="s">
        <v>3617</v>
      </c>
      <c r="R644" t="s">
        <v>2665</v>
      </c>
      <c r="S644" t="s">
        <v>2781</v>
      </c>
      <c r="T644" t="s">
        <v>2922</v>
      </c>
      <c r="U644" t="s">
        <v>2665</v>
      </c>
      <c r="V644" t="s">
        <v>3629</v>
      </c>
      <c r="W644" t="s">
        <v>3630</v>
      </c>
      <c r="X644" t="s">
        <v>2665</v>
      </c>
      <c r="Y644" t="s">
        <v>2054</v>
      </c>
      <c r="Z644" t="s">
        <v>1179</v>
      </c>
      <c r="AA644" t="s">
        <v>2797</v>
      </c>
      <c r="AB644" t="s">
        <v>2797</v>
      </c>
      <c r="AC644" t="s">
        <v>2665</v>
      </c>
      <c r="AD644" t="s">
        <v>2054</v>
      </c>
      <c r="AE644" t="s">
        <v>2054</v>
      </c>
    </row>
    <row r="645" spans="1:31" x14ac:dyDescent="0.25">
      <c r="A645" t="s">
        <v>1756</v>
      </c>
      <c r="B645" t="s">
        <v>751</v>
      </c>
      <c r="C645" t="s">
        <v>3944</v>
      </c>
      <c r="D645" t="s">
        <v>768</v>
      </c>
      <c r="E645" t="s">
        <v>2666</v>
      </c>
      <c r="F645" t="s">
        <v>2748</v>
      </c>
      <c r="G645" t="s">
        <v>2666</v>
      </c>
      <c r="H645" t="s">
        <v>2054</v>
      </c>
      <c r="I645" t="s">
        <v>2778</v>
      </c>
      <c r="J645" t="s">
        <v>2054</v>
      </c>
      <c r="K645" t="s">
        <v>2665</v>
      </c>
      <c r="L645" t="s">
        <v>1179</v>
      </c>
      <c r="M645" t="s">
        <v>2878</v>
      </c>
      <c r="N645" t="s">
        <v>2665</v>
      </c>
      <c r="O645" t="s">
        <v>3576</v>
      </c>
      <c r="P645" t="s">
        <v>2898</v>
      </c>
      <c r="Q645" t="s">
        <v>3617</v>
      </c>
      <c r="R645" t="s">
        <v>2665</v>
      </c>
      <c r="S645" t="s">
        <v>2781</v>
      </c>
      <c r="T645" t="s">
        <v>2922</v>
      </c>
      <c r="U645" t="s">
        <v>2665</v>
      </c>
      <c r="V645" t="s">
        <v>3629</v>
      </c>
      <c r="W645" t="s">
        <v>3630</v>
      </c>
      <c r="X645" t="s">
        <v>2665</v>
      </c>
      <c r="Y645" t="s">
        <v>2054</v>
      </c>
      <c r="Z645" t="s">
        <v>1179</v>
      </c>
      <c r="AA645" t="s">
        <v>2795</v>
      </c>
      <c r="AB645" t="s">
        <v>2795</v>
      </c>
      <c r="AC645" t="s">
        <v>2665</v>
      </c>
      <c r="AD645" t="s">
        <v>2054</v>
      </c>
      <c r="AE645" t="s">
        <v>2054</v>
      </c>
    </row>
    <row r="646" spans="1:31" x14ac:dyDescent="0.25">
      <c r="A646" t="s">
        <v>3945</v>
      </c>
      <c r="B646" t="s">
        <v>971</v>
      </c>
      <c r="C646" t="s">
        <v>3946</v>
      </c>
      <c r="D646" t="s">
        <v>972</v>
      </c>
      <c r="E646" t="s">
        <v>2666</v>
      </c>
      <c r="F646" t="s">
        <v>3947</v>
      </c>
      <c r="G646" t="s">
        <v>2666</v>
      </c>
      <c r="H646" t="s">
        <v>2054</v>
      </c>
      <c r="I646" t="s">
        <v>2778</v>
      </c>
      <c r="J646" t="s">
        <v>2054</v>
      </c>
      <c r="K646" t="s">
        <v>2665</v>
      </c>
      <c r="L646" t="s">
        <v>1179</v>
      </c>
      <c r="M646" t="s">
        <v>2875</v>
      </c>
      <c r="N646" t="s">
        <v>2665</v>
      </c>
      <c r="O646" t="s">
        <v>2876</v>
      </c>
      <c r="P646" t="s">
        <v>2898</v>
      </c>
      <c r="Q646" t="s">
        <v>3617</v>
      </c>
      <c r="R646" t="s">
        <v>2665</v>
      </c>
      <c r="S646" t="s">
        <v>2671</v>
      </c>
      <c r="T646" t="s">
        <v>2673</v>
      </c>
      <c r="U646" t="s">
        <v>2665</v>
      </c>
      <c r="V646" t="s">
        <v>3883</v>
      </c>
      <c r="W646" t="s">
        <v>3884</v>
      </c>
      <c r="X646" t="s">
        <v>2665</v>
      </c>
      <c r="Y646" t="s">
        <v>2054</v>
      </c>
      <c r="Z646" t="s">
        <v>1179</v>
      </c>
      <c r="AA646" t="s">
        <v>2797</v>
      </c>
      <c r="AB646" t="s">
        <v>2797</v>
      </c>
      <c r="AC646" t="s">
        <v>2665</v>
      </c>
      <c r="AD646" t="s">
        <v>2054</v>
      </c>
      <c r="AE646" t="s">
        <v>2054</v>
      </c>
    </row>
    <row r="647" spans="1:31" x14ac:dyDescent="0.25">
      <c r="A647" t="s">
        <v>1758</v>
      </c>
      <c r="B647" t="s">
        <v>1757</v>
      </c>
      <c r="C647" t="s">
        <v>3948</v>
      </c>
      <c r="D647" t="s">
        <v>1757</v>
      </c>
      <c r="E647" t="s">
        <v>2666</v>
      </c>
      <c r="F647" t="s">
        <v>3949</v>
      </c>
      <c r="G647" t="s">
        <v>2666</v>
      </c>
      <c r="H647" t="s">
        <v>2054</v>
      </c>
      <c r="I647" t="s">
        <v>2778</v>
      </c>
      <c r="J647" t="s">
        <v>2054</v>
      </c>
      <c r="K647" t="s">
        <v>2665</v>
      </c>
      <c r="L647" t="s">
        <v>1179</v>
      </c>
      <c r="M647" t="s">
        <v>2875</v>
      </c>
      <c r="N647" t="s">
        <v>2665</v>
      </c>
      <c r="O647" t="s">
        <v>2876</v>
      </c>
      <c r="P647" t="s">
        <v>2898</v>
      </c>
      <c r="Q647" t="s">
        <v>3617</v>
      </c>
      <c r="R647" t="s">
        <v>2665</v>
      </c>
      <c r="S647" t="s">
        <v>2779</v>
      </c>
      <c r="T647" t="s">
        <v>2780</v>
      </c>
      <c r="U647" t="s">
        <v>2665</v>
      </c>
      <c r="V647" t="s">
        <v>3629</v>
      </c>
      <c r="W647" t="s">
        <v>3630</v>
      </c>
      <c r="X647" t="s">
        <v>2665</v>
      </c>
      <c r="Y647" t="s">
        <v>2054</v>
      </c>
      <c r="Z647" t="s">
        <v>1179</v>
      </c>
      <c r="AA647" t="s">
        <v>3561</v>
      </c>
      <c r="AB647" t="s">
        <v>3561</v>
      </c>
      <c r="AC647" t="s">
        <v>2665</v>
      </c>
      <c r="AD647" t="s">
        <v>2054</v>
      </c>
      <c r="AE647" t="s">
        <v>2726</v>
      </c>
    </row>
    <row r="648" spans="1:31" x14ac:dyDescent="0.25">
      <c r="A648" t="s">
        <v>1760</v>
      </c>
      <c r="B648" t="s">
        <v>1759</v>
      </c>
      <c r="C648" t="s">
        <v>3950</v>
      </c>
      <c r="D648" t="s">
        <v>1759</v>
      </c>
      <c r="E648" t="s">
        <v>2666</v>
      </c>
      <c r="F648" t="s">
        <v>3951</v>
      </c>
      <c r="G648" t="s">
        <v>2666</v>
      </c>
      <c r="H648" t="s">
        <v>2054</v>
      </c>
      <c r="I648" t="s">
        <v>2778</v>
      </c>
      <c r="J648" t="s">
        <v>2054</v>
      </c>
      <c r="K648" t="s">
        <v>2665</v>
      </c>
      <c r="L648" t="s">
        <v>1179</v>
      </c>
      <c r="M648" t="s">
        <v>2875</v>
      </c>
      <c r="N648" t="s">
        <v>2665</v>
      </c>
      <c r="O648" t="s">
        <v>2876</v>
      </c>
      <c r="P648" t="s">
        <v>2898</v>
      </c>
      <c r="Q648" t="s">
        <v>3617</v>
      </c>
      <c r="R648" t="s">
        <v>2665</v>
      </c>
      <c r="S648" t="s">
        <v>2779</v>
      </c>
      <c r="T648" t="s">
        <v>2780</v>
      </c>
      <c r="U648" t="s">
        <v>2665</v>
      </c>
      <c r="V648" t="s">
        <v>3629</v>
      </c>
      <c r="W648" t="s">
        <v>3630</v>
      </c>
      <c r="X648" t="s">
        <v>2665</v>
      </c>
      <c r="Y648" t="s">
        <v>2054</v>
      </c>
      <c r="Z648" t="s">
        <v>1179</v>
      </c>
      <c r="AA648" t="s">
        <v>3561</v>
      </c>
      <c r="AB648" t="s">
        <v>3561</v>
      </c>
      <c r="AC648" t="s">
        <v>2665</v>
      </c>
      <c r="AD648" t="s">
        <v>2054</v>
      </c>
      <c r="AE648" t="s">
        <v>2726</v>
      </c>
    </row>
    <row r="649" spans="1:31" x14ac:dyDescent="0.25">
      <c r="A649" t="s">
        <v>1762</v>
      </c>
      <c r="B649" t="s">
        <v>1761</v>
      </c>
      <c r="C649" t="s">
        <v>3952</v>
      </c>
      <c r="D649" t="s">
        <v>1761</v>
      </c>
      <c r="E649" t="s">
        <v>2666</v>
      </c>
      <c r="F649" t="s">
        <v>3953</v>
      </c>
      <c r="G649" t="s">
        <v>2666</v>
      </c>
      <c r="H649" t="s">
        <v>2054</v>
      </c>
      <c r="I649" t="s">
        <v>2778</v>
      </c>
      <c r="J649" t="s">
        <v>2054</v>
      </c>
      <c r="K649" t="s">
        <v>2665</v>
      </c>
      <c r="L649" t="s">
        <v>1179</v>
      </c>
      <c r="M649" t="s">
        <v>2875</v>
      </c>
      <c r="N649" t="s">
        <v>2665</v>
      </c>
      <c r="O649" t="s">
        <v>2876</v>
      </c>
      <c r="P649" t="s">
        <v>2898</v>
      </c>
      <c r="Q649" t="s">
        <v>3617</v>
      </c>
      <c r="R649" t="s">
        <v>2665</v>
      </c>
      <c r="S649" t="s">
        <v>2779</v>
      </c>
      <c r="T649" t="s">
        <v>2780</v>
      </c>
      <c r="U649" t="s">
        <v>2665</v>
      </c>
      <c r="V649" t="s">
        <v>3629</v>
      </c>
      <c r="W649" t="s">
        <v>3630</v>
      </c>
      <c r="X649" t="s">
        <v>2665</v>
      </c>
      <c r="Y649" t="s">
        <v>2054</v>
      </c>
      <c r="Z649" t="s">
        <v>1179</v>
      </c>
      <c r="AA649" t="s">
        <v>3561</v>
      </c>
      <c r="AB649" t="s">
        <v>3561</v>
      </c>
      <c r="AC649" t="s">
        <v>2665</v>
      </c>
      <c r="AD649" t="s">
        <v>2054</v>
      </c>
      <c r="AE649" t="s">
        <v>2054</v>
      </c>
    </row>
    <row r="650" spans="1:31" x14ac:dyDescent="0.25">
      <c r="A650" t="s">
        <v>1764</v>
      </c>
      <c r="B650" t="s">
        <v>1763</v>
      </c>
      <c r="C650" t="s">
        <v>3954</v>
      </c>
      <c r="D650" t="s">
        <v>1763</v>
      </c>
      <c r="E650" t="s">
        <v>2666</v>
      </c>
      <c r="F650" t="s">
        <v>3802</v>
      </c>
      <c r="G650" t="s">
        <v>2666</v>
      </c>
      <c r="H650" t="s">
        <v>2054</v>
      </c>
      <c r="I650" t="s">
        <v>2778</v>
      </c>
      <c r="J650" t="s">
        <v>2054</v>
      </c>
      <c r="K650" t="s">
        <v>2665</v>
      </c>
      <c r="L650" t="s">
        <v>1179</v>
      </c>
      <c r="M650" t="s">
        <v>2875</v>
      </c>
      <c r="N650" t="s">
        <v>2665</v>
      </c>
      <c r="O650" t="s">
        <v>2876</v>
      </c>
      <c r="P650" t="s">
        <v>2898</v>
      </c>
      <c r="Q650" t="s">
        <v>3617</v>
      </c>
      <c r="R650" t="s">
        <v>2665</v>
      </c>
      <c r="S650" t="s">
        <v>2779</v>
      </c>
      <c r="T650" t="s">
        <v>2780</v>
      </c>
      <c r="U650" t="s">
        <v>2665</v>
      </c>
      <c r="V650" t="s">
        <v>3629</v>
      </c>
      <c r="W650" t="s">
        <v>3630</v>
      </c>
      <c r="X650" t="s">
        <v>2665</v>
      </c>
      <c r="Y650" t="s">
        <v>2054</v>
      </c>
      <c r="Z650" t="s">
        <v>1179</v>
      </c>
      <c r="AA650" t="s">
        <v>2791</v>
      </c>
      <c r="AB650" t="s">
        <v>2791</v>
      </c>
      <c r="AC650" t="s">
        <v>2665</v>
      </c>
      <c r="AD650" t="s">
        <v>2054</v>
      </c>
      <c r="AE650" t="s">
        <v>2054</v>
      </c>
    </row>
    <row r="651" spans="1:31" x14ac:dyDescent="0.25">
      <c r="A651" t="s">
        <v>1766</v>
      </c>
      <c r="B651" t="s">
        <v>1765</v>
      </c>
      <c r="C651" t="s">
        <v>3955</v>
      </c>
      <c r="D651" t="s">
        <v>1765</v>
      </c>
      <c r="E651" t="s">
        <v>2666</v>
      </c>
      <c r="F651" t="s">
        <v>3802</v>
      </c>
      <c r="G651" t="s">
        <v>2666</v>
      </c>
      <c r="H651" t="s">
        <v>2054</v>
      </c>
      <c r="I651" t="s">
        <v>2778</v>
      </c>
      <c r="J651" t="s">
        <v>2054</v>
      </c>
      <c r="K651" t="s">
        <v>2665</v>
      </c>
      <c r="L651" t="s">
        <v>1179</v>
      </c>
      <c r="M651" t="s">
        <v>2875</v>
      </c>
      <c r="N651" t="s">
        <v>2665</v>
      </c>
      <c r="O651" t="s">
        <v>2876</v>
      </c>
      <c r="P651" t="s">
        <v>2898</v>
      </c>
      <c r="Q651" t="s">
        <v>3617</v>
      </c>
      <c r="R651" t="s">
        <v>2665</v>
      </c>
      <c r="S651" t="s">
        <v>2779</v>
      </c>
      <c r="T651" t="s">
        <v>2780</v>
      </c>
      <c r="U651" t="s">
        <v>2665</v>
      </c>
      <c r="V651" t="s">
        <v>3629</v>
      </c>
      <c r="W651" t="s">
        <v>3630</v>
      </c>
      <c r="X651" t="s">
        <v>2665</v>
      </c>
      <c r="Y651" t="s">
        <v>2054</v>
      </c>
      <c r="Z651" t="s">
        <v>1179</v>
      </c>
      <c r="AA651" t="s">
        <v>2791</v>
      </c>
      <c r="AB651" t="s">
        <v>2791</v>
      </c>
      <c r="AC651" t="s">
        <v>2665</v>
      </c>
      <c r="AD651" t="s">
        <v>2054</v>
      </c>
      <c r="AE651" t="s">
        <v>2054</v>
      </c>
    </row>
    <row r="652" spans="1:31" x14ac:dyDescent="0.25">
      <c r="A652" t="s">
        <v>1768</v>
      </c>
      <c r="B652" t="s">
        <v>1767</v>
      </c>
      <c r="C652" t="s">
        <v>3956</v>
      </c>
      <c r="D652" t="s">
        <v>1767</v>
      </c>
      <c r="E652" t="s">
        <v>2666</v>
      </c>
      <c r="F652" t="s">
        <v>3802</v>
      </c>
      <c r="G652" t="s">
        <v>2666</v>
      </c>
      <c r="H652" t="s">
        <v>2054</v>
      </c>
      <c r="I652" t="s">
        <v>2778</v>
      </c>
      <c r="J652" t="s">
        <v>2054</v>
      </c>
      <c r="K652" t="s">
        <v>2665</v>
      </c>
      <c r="L652" t="s">
        <v>1179</v>
      </c>
      <c r="M652" t="s">
        <v>2875</v>
      </c>
      <c r="N652" t="s">
        <v>2665</v>
      </c>
      <c r="O652" t="s">
        <v>2876</v>
      </c>
      <c r="P652" t="s">
        <v>2898</v>
      </c>
      <c r="Q652" t="s">
        <v>3617</v>
      </c>
      <c r="R652" t="s">
        <v>2665</v>
      </c>
      <c r="S652" t="s">
        <v>2779</v>
      </c>
      <c r="T652" t="s">
        <v>2780</v>
      </c>
      <c r="U652" t="s">
        <v>2665</v>
      </c>
      <c r="V652" t="s">
        <v>3629</v>
      </c>
      <c r="W652" t="s">
        <v>3630</v>
      </c>
      <c r="X652" t="s">
        <v>2665</v>
      </c>
      <c r="Y652" t="s">
        <v>2054</v>
      </c>
      <c r="Z652" t="s">
        <v>1179</v>
      </c>
      <c r="AA652" t="s">
        <v>2791</v>
      </c>
      <c r="AB652" t="s">
        <v>2791</v>
      </c>
      <c r="AC652" t="s">
        <v>2665</v>
      </c>
      <c r="AD652" t="s">
        <v>2054</v>
      </c>
      <c r="AE652" t="s">
        <v>2054</v>
      </c>
    </row>
    <row r="653" spans="1:31" x14ac:dyDescent="0.25">
      <c r="A653" t="s">
        <v>1770</v>
      </c>
      <c r="B653" t="s">
        <v>1769</v>
      </c>
      <c r="C653" t="s">
        <v>3957</v>
      </c>
      <c r="D653" t="s">
        <v>1769</v>
      </c>
      <c r="E653" t="s">
        <v>2666</v>
      </c>
      <c r="F653" t="s">
        <v>3042</v>
      </c>
      <c r="G653" t="s">
        <v>2666</v>
      </c>
      <c r="H653" t="s">
        <v>2054</v>
      </c>
      <c r="I653" t="s">
        <v>2778</v>
      </c>
      <c r="J653" t="s">
        <v>2054</v>
      </c>
      <c r="K653" t="s">
        <v>2665</v>
      </c>
      <c r="L653" t="s">
        <v>1179</v>
      </c>
      <c r="M653" t="s">
        <v>2875</v>
      </c>
      <c r="N653" t="s">
        <v>2665</v>
      </c>
      <c r="O653" t="s">
        <v>2876</v>
      </c>
      <c r="P653" t="s">
        <v>3411</v>
      </c>
      <c r="Q653" t="s">
        <v>3412</v>
      </c>
      <c r="R653" t="s">
        <v>2665</v>
      </c>
      <c r="S653" t="s">
        <v>2779</v>
      </c>
      <c r="T653" t="s">
        <v>2780</v>
      </c>
      <c r="U653" t="s">
        <v>2665</v>
      </c>
      <c r="V653" t="s">
        <v>3629</v>
      </c>
      <c r="W653" t="s">
        <v>3630</v>
      </c>
      <c r="X653" t="s">
        <v>2665</v>
      </c>
      <c r="Y653" t="s">
        <v>2054</v>
      </c>
      <c r="Z653" t="s">
        <v>1179</v>
      </c>
      <c r="AA653" t="s">
        <v>2847</v>
      </c>
      <c r="AB653" t="s">
        <v>2847</v>
      </c>
      <c r="AC653" t="s">
        <v>2665</v>
      </c>
      <c r="AD653" t="s">
        <v>2054</v>
      </c>
      <c r="AE653" t="s">
        <v>2726</v>
      </c>
    </row>
    <row r="654" spans="1:31" x14ac:dyDescent="0.25">
      <c r="A654" t="s">
        <v>1772</v>
      </c>
      <c r="B654" t="s">
        <v>1771</v>
      </c>
      <c r="C654" t="s">
        <v>3958</v>
      </c>
      <c r="D654" t="s">
        <v>1771</v>
      </c>
      <c r="E654" t="s">
        <v>2666</v>
      </c>
      <c r="F654" t="s">
        <v>2914</v>
      </c>
      <c r="G654" t="s">
        <v>2666</v>
      </c>
      <c r="H654" t="s">
        <v>2054</v>
      </c>
      <c r="I654" t="s">
        <v>2778</v>
      </c>
      <c r="J654" t="s">
        <v>2054</v>
      </c>
      <c r="K654" t="s">
        <v>2665</v>
      </c>
      <c r="L654" t="s">
        <v>1179</v>
      </c>
      <c r="M654" t="s">
        <v>2875</v>
      </c>
      <c r="N654" t="s">
        <v>2665</v>
      </c>
      <c r="O654" t="s">
        <v>2876</v>
      </c>
      <c r="P654" t="s">
        <v>3411</v>
      </c>
      <c r="Q654" t="s">
        <v>3412</v>
      </c>
      <c r="R654" t="s">
        <v>2665</v>
      </c>
      <c r="S654" t="s">
        <v>2779</v>
      </c>
      <c r="T654" t="s">
        <v>2780</v>
      </c>
      <c r="U654" t="s">
        <v>2665</v>
      </c>
      <c r="V654" t="s">
        <v>3629</v>
      </c>
      <c r="W654" t="s">
        <v>3630</v>
      </c>
      <c r="X654" t="s">
        <v>2665</v>
      </c>
      <c r="Y654" t="s">
        <v>2054</v>
      </c>
      <c r="Z654" t="s">
        <v>1179</v>
      </c>
      <c r="AA654" t="s">
        <v>2847</v>
      </c>
      <c r="AB654" t="s">
        <v>2847</v>
      </c>
      <c r="AC654" t="s">
        <v>2665</v>
      </c>
      <c r="AD654" t="s">
        <v>2054</v>
      </c>
      <c r="AE654" t="s">
        <v>2726</v>
      </c>
    </row>
    <row r="655" spans="1:31" x14ac:dyDescent="0.25">
      <c r="A655" t="s">
        <v>1774</v>
      </c>
      <c r="B655" t="s">
        <v>1773</v>
      </c>
      <c r="C655" t="s">
        <v>3959</v>
      </c>
      <c r="D655" t="s">
        <v>1773</v>
      </c>
      <c r="E655" t="s">
        <v>2666</v>
      </c>
      <c r="F655" t="s">
        <v>2712</v>
      </c>
      <c r="G655" t="s">
        <v>2666</v>
      </c>
      <c r="H655" t="s">
        <v>2054</v>
      </c>
      <c r="I655" t="s">
        <v>2778</v>
      </c>
      <c r="J655" t="s">
        <v>2054</v>
      </c>
      <c r="K655" t="s">
        <v>2665</v>
      </c>
      <c r="L655" t="s">
        <v>1179</v>
      </c>
      <c r="M655" t="s">
        <v>2875</v>
      </c>
      <c r="N655" t="s">
        <v>2665</v>
      </c>
      <c r="O655" t="s">
        <v>2876</v>
      </c>
      <c r="P655" t="s">
        <v>3411</v>
      </c>
      <c r="Q655" t="s">
        <v>3412</v>
      </c>
      <c r="R655" t="s">
        <v>2665</v>
      </c>
      <c r="S655" t="s">
        <v>2779</v>
      </c>
      <c r="T655" t="s">
        <v>2780</v>
      </c>
      <c r="U655" t="s">
        <v>2665</v>
      </c>
      <c r="V655" t="s">
        <v>3629</v>
      </c>
      <c r="W655" t="s">
        <v>3630</v>
      </c>
      <c r="X655" t="s">
        <v>2665</v>
      </c>
      <c r="Y655" t="s">
        <v>2054</v>
      </c>
      <c r="Z655" t="s">
        <v>1179</v>
      </c>
      <c r="AA655" t="s">
        <v>2847</v>
      </c>
      <c r="AB655" t="s">
        <v>2847</v>
      </c>
      <c r="AC655" t="s">
        <v>2665</v>
      </c>
      <c r="AD655" t="s">
        <v>2054</v>
      </c>
      <c r="AE655" t="s">
        <v>2726</v>
      </c>
    </row>
    <row r="656" spans="1:31" x14ac:dyDescent="0.25">
      <c r="A656" t="s">
        <v>1776</v>
      </c>
      <c r="B656" t="s">
        <v>1775</v>
      </c>
      <c r="C656" t="s">
        <v>3960</v>
      </c>
      <c r="D656" t="s">
        <v>1775</v>
      </c>
      <c r="E656" t="s">
        <v>2666</v>
      </c>
      <c r="F656" t="s">
        <v>2916</v>
      </c>
      <c r="G656" t="s">
        <v>2666</v>
      </c>
      <c r="H656" t="s">
        <v>2054</v>
      </c>
      <c r="I656" t="s">
        <v>2778</v>
      </c>
      <c r="J656" t="s">
        <v>2054</v>
      </c>
      <c r="K656" t="s">
        <v>2665</v>
      </c>
      <c r="L656" t="s">
        <v>1179</v>
      </c>
      <c r="M656" t="s">
        <v>2875</v>
      </c>
      <c r="N656" t="s">
        <v>2665</v>
      </c>
      <c r="O656" t="s">
        <v>2876</v>
      </c>
      <c r="P656" t="s">
        <v>3411</v>
      </c>
      <c r="Q656" t="s">
        <v>3412</v>
      </c>
      <c r="R656" t="s">
        <v>2665</v>
      </c>
      <c r="S656" t="s">
        <v>2779</v>
      </c>
      <c r="T656" t="s">
        <v>2780</v>
      </c>
      <c r="U656" t="s">
        <v>2665</v>
      </c>
      <c r="V656" t="s">
        <v>3629</v>
      </c>
      <c r="W656" t="s">
        <v>3630</v>
      </c>
      <c r="X656" t="s">
        <v>2665</v>
      </c>
      <c r="Y656" t="s">
        <v>2054</v>
      </c>
      <c r="Z656" t="s">
        <v>1179</v>
      </c>
      <c r="AA656" t="s">
        <v>2847</v>
      </c>
      <c r="AB656" t="s">
        <v>2847</v>
      </c>
      <c r="AC656" t="s">
        <v>2665</v>
      </c>
      <c r="AD656" t="s">
        <v>2054</v>
      </c>
      <c r="AE656" t="s">
        <v>2726</v>
      </c>
    </row>
    <row r="657" spans="1:31" x14ac:dyDescent="0.25">
      <c r="A657" t="s">
        <v>1778</v>
      </c>
      <c r="B657" t="s">
        <v>1777</v>
      </c>
      <c r="C657" t="s">
        <v>3961</v>
      </c>
      <c r="D657" t="s">
        <v>1777</v>
      </c>
      <c r="E657" t="s">
        <v>2666</v>
      </c>
      <c r="F657" t="s">
        <v>3962</v>
      </c>
      <c r="G657" t="s">
        <v>2666</v>
      </c>
      <c r="H657" t="s">
        <v>2054</v>
      </c>
      <c r="I657" t="s">
        <v>2778</v>
      </c>
      <c r="J657" t="s">
        <v>2054</v>
      </c>
      <c r="K657" t="s">
        <v>2665</v>
      </c>
      <c r="L657" t="s">
        <v>1179</v>
      </c>
      <c r="M657" t="s">
        <v>2875</v>
      </c>
      <c r="N657" t="s">
        <v>2665</v>
      </c>
      <c r="O657" t="s">
        <v>2876</v>
      </c>
      <c r="P657" t="s">
        <v>3411</v>
      </c>
      <c r="Q657" t="s">
        <v>3412</v>
      </c>
      <c r="R657" t="s">
        <v>2665</v>
      </c>
      <c r="S657" t="s">
        <v>2779</v>
      </c>
      <c r="T657" t="s">
        <v>2780</v>
      </c>
      <c r="U657" t="s">
        <v>2665</v>
      </c>
      <c r="V657" t="s">
        <v>3629</v>
      </c>
      <c r="W657" t="s">
        <v>3630</v>
      </c>
      <c r="X657" t="s">
        <v>2665</v>
      </c>
      <c r="Y657" t="s">
        <v>2054</v>
      </c>
      <c r="Z657" t="s">
        <v>1179</v>
      </c>
      <c r="AA657" t="s">
        <v>3340</v>
      </c>
      <c r="AB657" t="s">
        <v>3340</v>
      </c>
      <c r="AC657" t="s">
        <v>2665</v>
      </c>
      <c r="AD657" t="s">
        <v>2054</v>
      </c>
      <c r="AE657" t="s">
        <v>2054</v>
      </c>
    </row>
    <row r="658" spans="1:31" x14ac:dyDescent="0.25">
      <c r="A658" t="s">
        <v>148</v>
      </c>
      <c r="B658" t="s">
        <v>147</v>
      </c>
      <c r="C658" t="s">
        <v>3963</v>
      </c>
      <c r="D658" t="s">
        <v>343</v>
      </c>
      <c r="E658" t="s">
        <v>2666</v>
      </c>
      <c r="F658" t="s">
        <v>2892</v>
      </c>
      <c r="G658" t="s">
        <v>2666</v>
      </c>
      <c r="H658" t="s">
        <v>2054</v>
      </c>
      <c r="I658" t="s">
        <v>2778</v>
      </c>
      <c r="J658" t="s">
        <v>2054</v>
      </c>
      <c r="K658" t="s">
        <v>2665</v>
      </c>
      <c r="L658" t="s">
        <v>1179</v>
      </c>
      <c r="M658" t="s">
        <v>2878</v>
      </c>
      <c r="N658" t="s">
        <v>2665</v>
      </c>
      <c r="O658" t="s">
        <v>3576</v>
      </c>
      <c r="P658" t="s">
        <v>2898</v>
      </c>
      <c r="Q658" t="s">
        <v>3617</v>
      </c>
      <c r="R658" t="s">
        <v>2665</v>
      </c>
      <c r="S658" t="s">
        <v>2781</v>
      </c>
      <c r="T658" t="s">
        <v>2922</v>
      </c>
      <c r="U658" t="s">
        <v>2665</v>
      </c>
      <c r="V658" t="s">
        <v>3964</v>
      </c>
      <c r="W658" t="s">
        <v>3965</v>
      </c>
      <c r="X658" t="s">
        <v>2665</v>
      </c>
      <c r="Y658" t="s">
        <v>2054</v>
      </c>
      <c r="Z658" t="s">
        <v>1179</v>
      </c>
      <c r="AA658" t="s">
        <v>2797</v>
      </c>
      <c r="AB658" t="s">
        <v>2797</v>
      </c>
      <c r="AC658" t="s">
        <v>2665</v>
      </c>
      <c r="AD658" t="s">
        <v>2054</v>
      </c>
      <c r="AE658" t="s">
        <v>2054</v>
      </c>
    </row>
    <row r="659" spans="1:31" x14ac:dyDescent="0.25">
      <c r="A659" t="s">
        <v>150</v>
      </c>
      <c r="B659" t="s">
        <v>149</v>
      </c>
      <c r="C659" t="s">
        <v>3966</v>
      </c>
      <c r="D659" t="s">
        <v>344</v>
      </c>
      <c r="E659" t="s">
        <v>2666</v>
      </c>
      <c r="F659" t="s">
        <v>2852</v>
      </c>
      <c r="G659" t="s">
        <v>2666</v>
      </c>
      <c r="H659" t="s">
        <v>2054</v>
      </c>
      <c r="I659" t="s">
        <v>2778</v>
      </c>
      <c r="J659" t="s">
        <v>2054</v>
      </c>
      <c r="K659" t="s">
        <v>2665</v>
      </c>
      <c r="L659" t="s">
        <v>1179</v>
      </c>
      <c r="M659" t="s">
        <v>2878</v>
      </c>
      <c r="N659" t="s">
        <v>2665</v>
      </c>
      <c r="O659" t="s">
        <v>3576</v>
      </c>
      <c r="P659" t="s">
        <v>2898</v>
      </c>
      <c r="Q659" t="s">
        <v>3617</v>
      </c>
      <c r="R659" t="s">
        <v>2665</v>
      </c>
      <c r="S659" t="s">
        <v>2781</v>
      </c>
      <c r="T659" t="s">
        <v>2922</v>
      </c>
      <c r="U659" t="s">
        <v>2665</v>
      </c>
      <c r="V659" t="s">
        <v>3964</v>
      </c>
      <c r="W659" t="s">
        <v>3965</v>
      </c>
      <c r="X659" t="s">
        <v>2665</v>
      </c>
      <c r="Y659" t="s">
        <v>2054</v>
      </c>
      <c r="Z659" t="s">
        <v>1179</v>
      </c>
      <c r="AA659" t="s">
        <v>2797</v>
      </c>
      <c r="AB659" t="s">
        <v>2797</v>
      </c>
      <c r="AC659" t="s">
        <v>2665</v>
      </c>
      <c r="AD659" t="s">
        <v>2054</v>
      </c>
      <c r="AE659" t="s">
        <v>2054</v>
      </c>
    </row>
    <row r="660" spans="1:31" x14ac:dyDescent="0.25">
      <c r="A660" t="s">
        <v>152</v>
      </c>
      <c r="B660" t="s">
        <v>151</v>
      </c>
      <c r="C660" t="s">
        <v>3967</v>
      </c>
      <c r="D660" t="s">
        <v>345</v>
      </c>
      <c r="E660" t="s">
        <v>2666</v>
      </c>
      <c r="F660" t="s">
        <v>3968</v>
      </c>
      <c r="G660" t="s">
        <v>2666</v>
      </c>
      <c r="H660" t="s">
        <v>2054</v>
      </c>
      <c r="I660" t="s">
        <v>2778</v>
      </c>
      <c r="J660" t="s">
        <v>2054</v>
      </c>
      <c r="K660" t="s">
        <v>2665</v>
      </c>
      <c r="L660" t="s">
        <v>1179</v>
      </c>
      <c r="M660" t="s">
        <v>2878</v>
      </c>
      <c r="N660" t="s">
        <v>2665</v>
      </c>
      <c r="O660" t="s">
        <v>3576</v>
      </c>
      <c r="P660" t="s">
        <v>2898</v>
      </c>
      <c r="Q660" t="s">
        <v>3617</v>
      </c>
      <c r="R660" t="s">
        <v>2665</v>
      </c>
      <c r="S660" t="s">
        <v>2781</v>
      </c>
      <c r="T660" t="s">
        <v>2922</v>
      </c>
      <c r="U660" t="s">
        <v>2665</v>
      </c>
      <c r="V660" t="s">
        <v>3964</v>
      </c>
      <c r="W660" t="s">
        <v>3965</v>
      </c>
      <c r="X660" t="s">
        <v>2665</v>
      </c>
      <c r="Y660" t="s">
        <v>2054</v>
      </c>
      <c r="Z660" t="s">
        <v>1179</v>
      </c>
      <c r="AA660" t="s">
        <v>2797</v>
      </c>
      <c r="AB660" t="s">
        <v>2797</v>
      </c>
      <c r="AC660" t="s">
        <v>2665</v>
      </c>
      <c r="AD660" t="s">
        <v>2054</v>
      </c>
      <c r="AE660" t="s">
        <v>2054</v>
      </c>
    </row>
    <row r="661" spans="1:31" x14ac:dyDescent="0.25">
      <c r="A661" t="s">
        <v>154</v>
      </c>
      <c r="B661" t="s">
        <v>153</v>
      </c>
      <c r="C661" t="s">
        <v>3969</v>
      </c>
      <c r="D661" t="s">
        <v>346</v>
      </c>
      <c r="E661" t="s">
        <v>2666</v>
      </c>
      <c r="F661" t="s">
        <v>2756</v>
      </c>
      <c r="G661" t="s">
        <v>2666</v>
      </c>
      <c r="H661" t="s">
        <v>2054</v>
      </c>
      <c r="I661" t="s">
        <v>2778</v>
      </c>
      <c r="J661" t="s">
        <v>2054</v>
      </c>
      <c r="K661" t="s">
        <v>2665</v>
      </c>
      <c r="L661" t="s">
        <v>1179</v>
      </c>
      <c r="M661" t="s">
        <v>2878</v>
      </c>
      <c r="N661" t="s">
        <v>2665</v>
      </c>
      <c r="O661" t="s">
        <v>3576</v>
      </c>
      <c r="P661" t="s">
        <v>2898</v>
      </c>
      <c r="Q661" t="s">
        <v>3617</v>
      </c>
      <c r="R661" t="s">
        <v>2665</v>
      </c>
      <c r="S661" t="s">
        <v>2781</v>
      </c>
      <c r="T661" t="s">
        <v>2922</v>
      </c>
      <c r="U661" t="s">
        <v>2665</v>
      </c>
      <c r="V661" t="s">
        <v>3964</v>
      </c>
      <c r="W661" t="s">
        <v>3965</v>
      </c>
      <c r="X661" t="s">
        <v>2665</v>
      </c>
      <c r="Y661" t="s">
        <v>2054</v>
      </c>
      <c r="Z661" t="s">
        <v>1179</v>
      </c>
      <c r="AA661" t="s">
        <v>2797</v>
      </c>
      <c r="AB661" t="s">
        <v>2797</v>
      </c>
      <c r="AC661" t="s">
        <v>2665</v>
      </c>
      <c r="AD661" t="s">
        <v>2054</v>
      </c>
      <c r="AE661" t="s">
        <v>2054</v>
      </c>
    </row>
    <row r="662" spans="1:31" x14ac:dyDescent="0.25">
      <c r="A662" t="s">
        <v>348</v>
      </c>
      <c r="B662" t="s">
        <v>155</v>
      </c>
      <c r="C662" t="s">
        <v>3970</v>
      </c>
      <c r="D662" t="s">
        <v>347</v>
      </c>
      <c r="E662" t="s">
        <v>2666</v>
      </c>
      <c r="F662" t="s">
        <v>2758</v>
      </c>
      <c r="G662" t="s">
        <v>2666</v>
      </c>
      <c r="H662" t="s">
        <v>2054</v>
      </c>
      <c r="I662" t="s">
        <v>2778</v>
      </c>
      <c r="J662" t="s">
        <v>2054</v>
      </c>
      <c r="K662" t="s">
        <v>2665</v>
      </c>
      <c r="L662" t="s">
        <v>1179</v>
      </c>
      <c r="M662" t="s">
        <v>2878</v>
      </c>
      <c r="N662" t="s">
        <v>2665</v>
      </c>
      <c r="O662" t="s">
        <v>3576</v>
      </c>
      <c r="P662" t="s">
        <v>2898</v>
      </c>
      <c r="Q662" t="s">
        <v>3617</v>
      </c>
      <c r="R662" t="s">
        <v>2665</v>
      </c>
      <c r="S662" t="s">
        <v>2781</v>
      </c>
      <c r="T662" t="s">
        <v>2922</v>
      </c>
      <c r="U662" t="s">
        <v>2665</v>
      </c>
      <c r="V662" t="s">
        <v>3964</v>
      </c>
      <c r="W662" t="s">
        <v>3965</v>
      </c>
      <c r="X662" t="s">
        <v>2665</v>
      </c>
      <c r="Y662" t="s">
        <v>2054</v>
      </c>
      <c r="Z662" t="s">
        <v>1179</v>
      </c>
      <c r="AA662" t="s">
        <v>2797</v>
      </c>
      <c r="AB662" t="s">
        <v>2797</v>
      </c>
      <c r="AC662" t="s">
        <v>2665</v>
      </c>
      <c r="AD662" t="s">
        <v>2054</v>
      </c>
      <c r="AE662" t="s">
        <v>2054</v>
      </c>
    </row>
    <row r="663" spans="1:31" x14ac:dyDescent="0.25">
      <c r="A663" t="s">
        <v>468</v>
      </c>
      <c r="B663" t="s">
        <v>466</v>
      </c>
      <c r="C663" t="s">
        <v>3971</v>
      </c>
      <c r="D663" t="s">
        <v>467</v>
      </c>
      <c r="E663" t="s">
        <v>2666</v>
      </c>
      <c r="F663" t="s">
        <v>3972</v>
      </c>
      <c r="G663" t="s">
        <v>2666</v>
      </c>
      <c r="H663" t="s">
        <v>2054</v>
      </c>
      <c r="I663" t="s">
        <v>2778</v>
      </c>
      <c r="J663" t="s">
        <v>2054</v>
      </c>
      <c r="K663" t="s">
        <v>2665</v>
      </c>
      <c r="L663" t="s">
        <v>1179</v>
      </c>
      <c r="M663" t="s">
        <v>2878</v>
      </c>
      <c r="N663" t="s">
        <v>2665</v>
      </c>
      <c r="O663" t="s">
        <v>3576</v>
      </c>
      <c r="P663" t="s">
        <v>2898</v>
      </c>
      <c r="Q663" t="s">
        <v>3617</v>
      </c>
      <c r="R663" t="s">
        <v>2665</v>
      </c>
      <c r="S663" t="s">
        <v>2781</v>
      </c>
      <c r="T663" t="s">
        <v>2922</v>
      </c>
      <c r="U663" t="s">
        <v>2665</v>
      </c>
      <c r="V663" t="s">
        <v>3964</v>
      </c>
      <c r="W663" t="s">
        <v>3965</v>
      </c>
      <c r="X663" t="s">
        <v>2665</v>
      </c>
      <c r="Y663" t="s">
        <v>2054</v>
      </c>
      <c r="Z663" t="s">
        <v>1179</v>
      </c>
      <c r="AA663" t="s">
        <v>2797</v>
      </c>
      <c r="AB663" t="s">
        <v>2797</v>
      </c>
      <c r="AC663" t="s">
        <v>2665</v>
      </c>
      <c r="AD663" t="s">
        <v>2054</v>
      </c>
      <c r="AE663" t="s">
        <v>2054</v>
      </c>
    </row>
    <row r="664" spans="1:31" x14ac:dyDescent="0.25">
      <c r="A664" t="s">
        <v>157</v>
      </c>
      <c r="B664" t="s">
        <v>156</v>
      </c>
      <c r="C664" t="s">
        <v>3973</v>
      </c>
      <c r="D664" t="s">
        <v>349</v>
      </c>
      <c r="E664" t="s">
        <v>2666</v>
      </c>
      <c r="F664" t="s">
        <v>3683</v>
      </c>
      <c r="G664" t="s">
        <v>2666</v>
      </c>
      <c r="H664" t="s">
        <v>2054</v>
      </c>
      <c r="I664" t="s">
        <v>2778</v>
      </c>
      <c r="J664" t="s">
        <v>2054</v>
      </c>
      <c r="K664" t="s">
        <v>2665</v>
      </c>
      <c r="L664" t="s">
        <v>1179</v>
      </c>
      <c r="M664" t="s">
        <v>2878</v>
      </c>
      <c r="N664" t="s">
        <v>2665</v>
      </c>
      <c r="O664" t="s">
        <v>3576</v>
      </c>
      <c r="P664" t="s">
        <v>2898</v>
      </c>
      <c r="Q664" t="s">
        <v>3617</v>
      </c>
      <c r="R664" t="s">
        <v>2665</v>
      </c>
      <c r="S664" t="s">
        <v>2781</v>
      </c>
      <c r="T664" t="s">
        <v>2922</v>
      </c>
      <c r="U664" t="s">
        <v>2665</v>
      </c>
      <c r="V664" t="s">
        <v>3875</v>
      </c>
      <c r="W664" t="s">
        <v>3876</v>
      </c>
      <c r="X664" t="s">
        <v>2665</v>
      </c>
      <c r="Y664" t="s">
        <v>2054</v>
      </c>
      <c r="Z664" t="s">
        <v>1179</v>
      </c>
      <c r="AA664" t="s">
        <v>2797</v>
      </c>
      <c r="AB664" t="s">
        <v>2797</v>
      </c>
      <c r="AC664" t="s">
        <v>2665</v>
      </c>
      <c r="AD664" t="s">
        <v>2054</v>
      </c>
      <c r="AE664" t="s">
        <v>2054</v>
      </c>
    </row>
    <row r="665" spans="1:31" x14ac:dyDescent="0.25">
      <c r="A665" t="s">
        <v>159</v>
      </c>
      <c r="B665" t="s">
        <v>158</v>
      </c>
      <c r="C665" t="s">
        <v>3974</v>
      </c>
      <c r="D665" t="s">
        <v>350</v>
      </c>
      <c r="E665" t="s">
        <v>2666</v>
      </c>
      <c r="F665" t="s">
        <v>3975</v>
      </c>
      <c r="G665" t="s">
        <v>2666</v>
      </c>
      <c r="H665" t="s">
        <v>2054</v>
      </c>
      <c r="I665" t="s">
        <v>2778</v>
      </c>
      <c r="J665" t="s">
        <v>2054</v>
      </c>
      <c r="K665" t="s">
        <v>2665</v>
      </c>
      <c r="L665" t="s">
        <v>1179</v>
      </c>
      <c r="M665" t="s">
        <v>2878</v>
      </c>
      <c r="N665" t="s">
        <v>2665</v>
      </c>
      <c r="O665" t="s">
        <v>3576</v>
      </c>
      <c r="P665" t="s">
        <v>2898</v>
      </c>
      <c r="Q665" t="s">
        <v>3617</v>
      </c>
      <c r="R665" t="s">
        <v>2665</v>
      </c>
      <c r="S665" t="s">
        <v>2781</v>
      </c>
      <c r="T665" t="s">
        <v>2922</v>
      </c>
      <c r="U665" t="s">
        <v>2665</v>
      </c>
      <c r="V665" t="s">
        <v>3875</v>
      </c>
      <c r="W665" t="s">
        <v>3876</v>
      </c>
      <c r="X665" t="s">
        <v>2665</v>
      </c>
      <c r="Y665" t="s">
        <v>2054</v>
      </c>
      <c r="Z665" t="s">
        <v>1179</v>
      </c>
      <c r="AA665" t="s">
        <v>2795</v>
      </c>
      <c r="AB665" t="s">
        <v>2795</v>
      </c>
      <c r="AC665" t="s">
        <v>2665</v>
      </c>
      <c r="AD665" t="s">
        <v>2054</v>
      </c>
      <c r="AE665" t="s">
        <v>2054</v>
      </c>
    </row>
    <row r="666" spans="1:31" x14ac:dyDescent="0.25">
      <c r="A666" t="s">
        <v>161</v>
      </c>
      <c r="B666" t="s">
        <v>160</v>
      </c>
      <c r="C666" t="s">
        <v>3976</v>
      </c>
      <c r="D666" t="s">
        <v>351</v>
      </c>
      <c r="E666" t="s">
        <v>2666</v>
      </c>
      <c r="F666" t="s">
        <v>2914</v>
      </c>
      <c r="G666" t="s">
        <v>2666</v>
      </c>
      <c r="H666" t="s">
        <v>2054</v>
      </c>
      <c r="I666" t="s">
        <v>2778</v>
      </c>
      <c r="J666" t="s">
        <v>2054</v>
      </c>
      <c r="K666" t="s">
        <v>2665</v>
      </c>
      <c r="L666" t="s">
        <v>1179</v>
      </c>
      <c r="M666" t="s">
        <v>2878</v>
      </c>
      <c r="N666" t="s">
        <v>2665</v>
      </c>
      <c r="O666" t="s">
        <v>3576</v>
      </c>
      <c r="P666" t="s">
        <v>2898</v>
      </c>
      <c r="Q666" t="s">
        <v>3617</v>
      </c>
      <c r="R666" t="s">
        <v>2665</v>
      </c>
      <c r="S666" t="s">
        <v>2781</v>
      </c>
      <c r="T666" t="s">
        <v>2922</v>
      </c>
      <c r="U666" t="s">
        <v>2665</v>
      </c>
      <c r="V666" t="s">
        <v>3875</v>
      </c>
      <c r="W666" t="s">
        <v>3876</v>
      </c>
      <c r="X666" t="s">
        <v>2665</v>
      </c>
      <c r="Y666" t="s">
        <v>2054</v>
      </c>
      <c r="Z666" t="s">
        <v>1179</v>
      </c>
      <c r="AA666" t="s">
        <v>2795</v>
      </c>
      <c r="AB666" t="s">
        <v>2795</v>
      </c>
      <c r="AC666" t="s">
        <v>2665</v>
      </c>
      <c r="AD666" t="s">
        <v>2054</v>
      </c>
      <c r="AE666" t="s">
        <v>2054</v>
      </c>
    </row>
    <row r="667" spans="1:31" x14ac:dyDescent="0.25">
      <c r="A667" t="s">
        <v>163</v>
      </c>
      <c r="B667" t="s">
        <v>162</v>
      </c>
      <c r="C667" t="s">
        <v>3977</v>
      </c>
      <c r="D667" t="s">
        <v>352</v>
      </c>
      <c r="E667" t="s">
        <v>2666</v>
      </c>
      <c r="F667" t="s">
        <v>3978</v>
      </c>
      <c r="G667" t="s">
        <v>2666</v>
      </c>
      <c r="H667" t="s">
        <v>2054</v>
      </c>
      <c r="I667" t="s">
        <v>2778</v>
      </c>
      <c r="J667" t="s">
        <v>2054</v>
      </c>
      <c r="K667" t="s">
        <v>2665</v>
      </c>
      <c r="L667" t="s">
        <v>1179</v>
      </c>
      <c r="M667" t="s">
        <v>2878</v>
      </c>
      <c r="N667" t="s">
        <v>2665</v>
      </c>
      <c r="O667" t="s">
        <v>3576</v>
      </c>
      <c r="P667" t="s">
        <v>2898</v>
      </c>
      <c r="Q667" t="s">
        <v>3617</v>
      </c>
      <c r="R667" t="s">
        <v>2665</v>
      </c>
      <c r="S667" t="s">
        <v>2781</v>
      </c>
      <c r="T667" t="s">
        <v>2922</v>
      </c>
      <c r="U667" t="s">
        <v>2665</v>
      </c>
      <c r="V667" t="s">
        <v>3979</v>
      </c>
      <c r="W667" t="s">
        <v>3980</v>
      </c>
      <c r="X667" t="s">
        <v>2665</v>
      </c>
      <c r="Y667" t="s">
        <v>2054</v>
      </c>
      <c r="Z667" t="s">
        <v>1179</v>
      </c>
      <c r="AA667" t="s">
        <v>2745</v>
      </c>
      <c r="AB667" t="s">
        <v>2745</v>
      </c>
      <c r="AC667" t="s">
        <v>2665</v>
      </c>
      <c r="AD667" t="s">
        <v>2054</v>
      </c>
      <c r="AE667" t="s">
        <v>2054</v>
      </c>
    </row>
    <row r="668" spans="1:31" x14ac:dyDescent="0.25">
      <c r="A668" t="s">
        <v>165</v>
      </c>
      <c r="B668" t="s">
        <v>164</v>
      </c>
      <c r="C668" t="s">
        <v>3981</v>
      </c>
      <c r="D668" t="s">
        <v>353</v>
      </c>
      <c r="E668" t="s">
        <v>2666</v>
      </c>
      <c r="F668" t="s">
        <v>3677</v>
      </c>
      <c r="G668" t="s">
        <v>2666</v>
      </c>
      <c r="H668" t="s">
        <v>2054</v>
      </c>
      <c r="I668" t="s">
        <v>2778</v>
      </c>
      <c r="J668" t="s">
        <v>2054</v>
      </c>
      <c r="K668" t="s">
        <v>2665</v>
      </c>
      <c r="L668" t="s">
        <v>1179</v>
      </c>
      <c r="M668" t="s">
        <v>2878</v>
      </c>
      <c r="N668" t="s">
        <v>2665</v>
      </c>
      <c r="O668" t="s">
        <v>3576</v>
      </c>
      <c r="P668" t="s">
        <v>2898</v>
      </c>
      <c r="Q668" t="s">
        <v>3617</v>
      </c>
      <c r="R668" t="s">
        <v>2665</v>
      </c>
      <c r="S668" t="s">
        <v>2781</v>
      </c>
      <c r="T668" t="s">
        <v>2922</v>
      </c>
      <c r="U668" t="s">
        <v>2665</v>
      </c>
      <c r="V668" t="s">
        <v>3979</v>
      </c>
      <c r="W668" t="s">
        <v>3980</v>
      </c>
      <c r="X668" t="s">
        <v>2665</v>
      </c>
      <c r="Y668" t="s">
        <v>2054</v>
      </c>
      <c r="Z668" t="s">
        <v>1179</v>
      </c>
      <c r="AA668" t="s">
        <v>2745</v>
      </c>
      <c r="AB668" t="s">
        <v>2745</v>
      </c>
      <c r="AC668" t="s">
        <v>2665</v>
      </c>
      <c r="AD668" t="s">
        <v>2054</v>
      </c>
      <c r="AE668" t="s">
        <v>2054</v>
      </c>
    </row>
    <row r="669" spans="1:31" x14ac:dyDescent="0.25">
      <c r="A669" t="s">
        <v>167</v>
      </c>
      <c r="B669" t="s">
        <v>166</v>
      </c>
      <c r="C669" t="s">
        <v>3982</v>
      </c>
      <c r="D669" t="s">
        <v>354</v>
      </c>
      <c r="E669" t="s">
        <v>2666</v>
      </c>
      <c r="F669" t="s">
        <v>3983</v>
      </c>
      <c r="G669" t="s">
        <v>2666</v>
      </c>
      <c r="H669" t="s">
        <v>2054</v>
      </c>
      <c r="I669" t="s">
        <v>2778</v>
      </c>
      <c r="J669" t="s">
        <v>2054</v>
      </c>
      <c r="K669" t="s">
        <v>2665</v>
      </c>
      <c r="L669" t="s">
        <v>1179</v>
      </c>
      <c r="M669" t="s">
        <v>2878</v>
      </c>
      <c r="N669" t="s">
        <v>2665</v>
      </c>
      <c r="O669" t="s">
        <v>3576</v>
      </c>
      <c r="P669" t="s">
        <v>2898</v>
      </c>
      <c r="Q669" t="s">
        <v>3617</v>
      </c>
      <c r="R669" t="s">
        <v>2665</v>
      </c>
      <c r="S669" t="s">
        <v>2781</v>
      </c>
      <c r="T669" t="s">
        <v>2922</v>
      </c>
      <c r="U669" t="s">
        <v>2665</v>
      </c>
      <c r="V669" t="s">
        <v>3984</v>
      </c>
      <c r="W669" t="s">
        <v>3985</v>
      </c>
      <c r="X669" t="s">
        <v>2665</v>
      </c>
      <c r="Y669" t="s">
        <v>2054</v>
      </c>
      <c r="Z669" t="s">
        <v>1179</v>
      </c>
      <c r="AA669" t="s">
        <v>2797</v>
      </c>
      <c r="AB669" t="s">
        <v>2797</v>
      </c>
      <c r="AC669" t="s">
        <v>2665</v>
      </c>
      <c r="AD669" t="s">
        <v>2054</v>
      </c>
      <c r="AE669" t="s">
        <v>2054</v>
      </c>
    </row>
    <row r="670" spans="1:31" x14ac:dyDescent="0.25">
      <c r="A670" t="s">
        <v>169</v>
      </c>
      <c r="B670" t="s">
        <v>168</v>
      </c>
      <c r="C670" t="s">
        <v>3986</v>
      </c>
      <c r="D670" t="s">
        <v>355</v>
      </c>
      <c r="E670" t="s">
        <v>2666</v>
      </c>
      <c r="F670" t="s">
        <v>3987</v>
      </c>
      <c r="G670" t="s">
        <v>2666</v>
      </c>
      <c r="H670" t="s">
        <v>2054</v>
      </c>
      <c r="I670" t="s">
        <v>2778</v>
      </c>
      <c r="J670" t="s">
        <v>2054</v>
      </c>
      <c r="K670" t="s">
        <v>2665</v>
      </c>
      <c r="L670" t="s">
        <v>1179</v>
      </c>
      <c r="M670" t="s">
        <v>2878</v>
      </c>
      <c r="N670" t="s">
        <v>2665</v>
      </c>
      <c r="O670" t="s">
        <v>3576</v>
      </c>
      <c r="P670" t="s">
        <v>2898</v>
      </c>
      <c r="Q670" t="s">
        <v>3617</v>
      </c>
      <c r="R670" t="s">
        <v>2665</v>
      </c>
      <c r="S670" t="s">
        <v>2781</v>
      </c>
      <c r="T670" t="s">
        <v>2922</v>
      </c>
      <c r="U670" t="s">
        <v>2665</v>
      </c>
      <c r="V670" t="s">
        <v>3984</v>
      </c>
      <c r="W670" t="s">
        <v>3985</v>
      </c>
      <c r="X670" t="s">
        <v>2665</v>
      </c>
      <c r="Y670" t="s">
        <v>2054</v>
      </c>
      <c r="Z670" t="s">
        <v>1179</v>
      </c>
      <c r="AA670" t="s">
        <v>2795</v>
      </c>
      <c r="AB670" t="s">
        <v>2795</v>
      </c>
      <c r="AC670" t="s">
        <v>2665</v>
      </c>
      <c r="AD670" t="s">
        <v>2054</v>
      </c>
      <c r="AE670" t="s">
        <v>2054</v>
      </c>
    </row>
    <row r="671" spans="1:31" x14ac:dyDescent="0.25">
      <c r="A671" t="s">
        <v>171</v>
      </c>
      <c r="B671" t="s">
        <v>170</v>
      </c>
      <c r="C671" t="s">
        <v>3988</v>
      </c>
      <c r="D671" t="s">
        <v>356</v>
      </c>
      <c r="E671" t="s">
        <v>2666</v>
      </c>
      <c r="F671" t="s">
        <v>2914</v>
      </c>
      <c r="G671" t="s">
        <v>2666</v>
      </c>
      <c r="H671" t="s">
        <v>2054</v>
      </c>
      <c r="I671" t="s">
        <v>2778</v>
      </c>
      <c r="J671" t="s">
        <v>2054</v>
      </c>
      <c r="K671" t="s">
        <v>2665</v>
      </c>
      <c r="L671" t="s">
        <v>1179</v>
      </c>
      <c r="M671" t="s">
        <v>2878</v>
      </c>
      <c r="N671" t="s">
        <v>2665</v>
      </c>
      <c r="O671" t="s">
        <v>3576</v>
      </c>
      <c r="P671" t="s">
        <v>2898</v>
      </c>
      <c r="Q671" t="s">
        <v>3617</v>
      </c>
      <c r="R671" t="s">
        <v>2665</v>
      </c>
      <c r="S671" t="s">
        <v>2781</v>
      </c>
      <c r="T671" t="s">
        <v>2922</v>
      </c>
      <c r="U671" t="s">
        <v>2665</v>
      </c>
      <c r="V671" t="s">
        <v>3984</v>
      </c>
      <c r="W671" t="s">
        <v>3985</v>
      </c>
      <c r="X671" t="s">
        <v>2665</v>
      </c>
      <c r="Y671" t="s">
        <v>2054</v>
      </c>
      <c r="Z671" t="s">
        <v>1179</v>
      </c>
      <c r="AA671" t="s">
        <v>2795</v>
      </c>
      <c r="AB671" t="s">
        <v>2795</v>
      </c>
      <c r="AC671" t="s">
        <v>2665</v>
      </c>
      <c r="AD671" t="s">
        <v>2054</v>
      </c>
      <c r="AE671" t="s">
        <v>2054</v>
      </c>
    </row>
    <row r="672" spans="1:31" x14ac:dyDescent="0.25">
      <c r="A672" t="s">
        <v>358</v>
      </c>
      <c r="B672" t="s">
        <v>172</v>
      </c>
      <c r="C672" t="s">
        <v>3989</v>
      </c>
      <c r="D672" t="s">
        <v>357</v>
      </c>
      <c r="E672" t="s">
        <v>2666</v>
      </c>
      <c r="F672" t="s">
        <v>3580</v>
      </c>
      <c r="G672" t="s">
        <v>2666</v>
      </c>
      <c r="H672" t="s">
        <v>2054</v>
      </c>
      <c r="I672" t="s">
        <v>2778</v>
      </c>
      <c r="J672" t="s">
        <v>2054</v>
      </c>
      <c r="K672" t="s">
        <v>2665</v>
      </c>
      <c r="L672" t="s">
        <v>1179</v>
      </c>
      <c r="M672" t="s">
        <v>2878</v>
      </c>
      <c r="N672" t="s">
        <v>2665</v>
      </c>
      <c r="O672" t="s">
        <v>3576</v>
      </c>
      <c r="P672" t="s">
        <v>2898</v>
      </c>
      <c r="Q672" t="s">
        <v>3617</v>
      </c>
      <c r="R672" t="s">
        <v>2665</v>
      </c>
      <c r="S672" t="s">
        <v>2781</v>
      </c>
      <c r="T672" t="s">
        <v>2922</v>
      </c>
      <c r="U672" t="s">
        <v>2665</v>
      </c>
      <c r="V672" t="s">
        <v>3990</v>
      </c>
      <c r="W672" t="s">
        <v>3991</v>
      </c>
      <c r="X672" t="s">
        <v>2665</v>
      </c>
      <c r="Y672" t="s">
        <v>2054</v>
      </c>
      <c r="Z672" t="s">
        <v>1179</v>
      </c>
      <c r="AA672" t="s">
        <v>2959</v>
      </c>
      <c r="AB672" t="s">
        <v>2959</v>
      </c>
      <c r="AC672" t="s">
        <v>2665</v>
      </c>
      <c r="AD672" t="s">
        <v>2054</v>
      </c>
      <c r="AE672" t="s">
        <v>2054</v>
      </c>
    </row>
    <row r="673" spans="1:31" x14ac:dyDescent="0.25">
      <c r="A673" t="s">
        <v>360</v>
      </c>
      <c r="B673" t="s">
        <v>173</v>
      </c>
      <c r="C673" t="s">
        <v>2972</v>
      </c>
      <c r="D673" t="s">
        <v>359</v>
      </c>
      <c r="E673" t="s">
        <v>2666</v>
      </c>
      <c r="F673" t="s">
        <v>2885</v>
      </c>
      <c r="G673" t="s">
        <v>2666</v>
      </c>
      <c r="H673" t="s">
        <v>2054</v>
      </c>
      <c r="I673" t="s">
        <v>2778</v>
      </c>
      <c r="J673" t="s">
        <v>2054</v>
      </c>
      <c r="K673" t="s">
        <v>2665</v>
      </c>
      <c r="L673" t="s">
        <v>1179</v>
      </c>
      <c r="M673" t="s">
        <v>2878</v>
      </c>
      <c r="N673" t="s">
        <v>2665</v>
      </c>
      <c r="O673" t="s">
        <v>3576</v>
      </c>
      <c r="P673" t="s">
        <v>2898</v>
      </c>
      <c r="Q673" t="s">
        <v>3617</v>
      </c>
      <c r="R673" t="s">
        <v>2665</v>
      </c>
      <c r="S673" t="s">
        <v>2781</v>
      </c>
      <c r="T673" t="s">
        <v>2922</v>
      </c>
      <c r="U673" t="s">
        <v>2665</v>
      </c>
      <c r="V673" t="s">
        <v>3992</v>
      </c>
      <c r="W673" t="s">
        <v>3993</v>
      </c>
      <c r="X673" t="s">
        <v>2665</v>
      </c>
      <c r="Y673" t="s">
        <v>2054</v>
      </c>
      <c r="Z673" t="s">
        <v>1179</v>
      </c>
      <c r="AA673" t="s">
        <v>2797</v>
      </c>
      <c r="AB673" t="s">
        <v>2797</v>
      </c>
      <c r="AC673" t="s">
        <v>2665</v>
      </c>
      <c r="AD673" t="s">
        <v>2054</v>
      </c>
      <c r="AE673" t="s">
        <v>2054</v>
      </c>
    </row>
    <row r="674" spans="1:31" x14ac:dyDescent="0.25">
      <c r="A674" t="s">
        <v>175</v>
      </c>
      <c r="B674" t="s">
        <v>174</v>
      </c>
      <c r="C674" t="s">
        <v>3994</v>
      </c>
      <c r="D674" t="s">
        <v>3995</v>
      </c>
      <c r="E674" t="s">
        <v>2666</v>
      </c>
      <c r="F674" t="s">
        <v>3551</v>
      </c>
      <c r="G674" t="s">
        <v>2666</v>
      </c>
      <c r="H674" t="s">
        <v>2054</v>
      </c>
      <c r="I674" t="s">
        <v>2778</v>
      </c>
      <c r="J674" t="s">
        <v>2054</v>
      </c>
      <c r="K674" t="s">
        <v>2665</v>
      </c>
      <c r="L674" t="s">
        <v>1179</v>
      </c>
      <c r="M674" t="s">
        <v>2878</v>
      </c>
      <c r="N674" t="s">
        <v>2665</v>
      </c>
      <c r="O674" t="s">
        <v>3576</v>
      </c>
      <c r="P674" t="s">
        <v>2898</v>
      </c>
      <c r="Q674" t="s">
        <v>3617</v>
      </c>
      <c r="R674" t="s">
        <v>2665</v>
      </c>
      <c r="S674" t="s">
        <v>2781</v>
      </c>
      <c r="T674" t="s">
        <v>2922</v>
      </c>
      <c r="U674" t="s">
        <v>2665</v>
      </c>
      <c r="V674" t="s">
        <v>3992</v>
      </c>
      <c r="W674" t="s">
        <v>3993</v>
      </c>
      <c r="X674" t="s">
        <v>2665</v>
      </c>
      <c r="Y674" t="s">
        <v>2054</v>
      </c>
      <c r="Z674" t="s">
        <v>1179</v>
      </c>
      <c r="AA674" t="s">
        <v>2797</v>
      </c>
      <c r="AB674" t="s">
        <v>2797</v>
      </c>
      <c r="AC674" t="s">
        <v>2665</v>
      </c>
      <c r="AD674" t="s">
        <v>2054</v>
      </c>
      <c r="AE674" t="s">
        <v>2054</v>
      </c>
    </row>
    <row r="675" spans="1:31" x14ac:dyDescent="0.25">
      <c r="A675" t="s">
        <v>363</v>
      </c>
      <c r="B675" t="s">
        <v>176</v>
      </c>
      <c r="C675" t="s">
        <v>3996</v>
      </c>
      <c r="D675" t="s">
        <v>362</v>
      </c>
      <c r="E675" t="s">
        <v>2666</v>
      </c>
      <c r="F675" t="s">
        <v>2805</v>
      </c>
      <c r="G675" t="s">
        <v>2666</v>
      </c>
      <c r="H675" t="s">
        <v>2054</v>
      </c>
      <c r="I675" t="s">
        <v>2778</v>
      </c>
      <c r="J675" t="s">
        <v>2054</v>
      </c>
      <c r="K675" t="s">
        <v>2665</v>
      </c>
      <c r="L675" t="s">
        <v>1179</v>
      </c>
      <c r="M675" t="s">
        <v>2878</v>
      </c>
      <c r="N675" t="s">
        <v>2665</v>
      </c>
      <c r="O675" t="s">
        <v>3576</v>
      </c>
      <c r="P675" t="s">
        <v>2898</v>
      </c>
      <c r="Q675" t="s">
        <v>3617</v>
      </c>
      <c r="R675" t="s">
        <v>2665</v>
      </c>
      <c r="S675" t="s">
        <v>2781</v>
      </c>
      <c r="T675" t="s">
        <v>2922</v>
      </c>
      <c r="U675" t="s">
        <v>2665</v>
      </c>
      <c r="V675" t="s">
        <v>3992</v>
      </c>
      <c r="W675" t="s">
        <v>3993</v>
      </c>
      <c r="X675" t="s">
        <v>2665</v>
      </c>
      <c r="Y675" t="s">
        <v>2054</v>
      </c>
      <c r="Z675" t="s">
        <v>1179</v>
      </c>
      <c r="AA675" t="s">
        <v>2795</v>
      </c>
      <c r="AB675" t="s">
        <v>2795</v>
      </c>
      <c r="AC675" t="s">
        <v>2665</v>
      </c>
      <c r="AD675" t="s">
        <v>2054</v>
      </c>
      <c r="AE675" t="s">
        <v>2054</v>
      </c>
    </row>
    <row r="676" spans="1:31" x14ac:dyDescent="0.25">
      <c r="A676" t="s">
        <v>365</v>
      </c>
      <c r="B676" t="s">
        <v>177</v>
      </c>
      <c r="C676" t="s">
        <v>3997</v>
      </c>
      <c r="D676" t="s">
        <v>364</v>
      </c>
      <c r="E676" t="s">
        <v>2666</v>
      </c>
      <c r="F676" t="s">
        <v>3827</v>
      </c>
      <c r="G676" t="s">
        <v>2666</v>
      </c>
      <c r="H676" t="s">
        <v>2054</v>
      </c>
      <c r="I676" t="s">
        <v>2778</v>
      </c>
      <c r="J676" t="s">
        <v>2054</v>
      </c>
      <c r="K676" t="s">
        <v>2665</v>
      </c>
      <c r="L676" t="s">
        <v>1179</v>
      </c>
      <c r="M676" t="s">
        <v>2878</v>
      </c>
      <c r="N676" t="s">
        <v>2665</v>
      </c>
      <c r="O676" t="s">
        <v>3576</v>
      </c>
      <c r="P676" t="s">
        <v>2898</v>
      </c>
      <c r="Q676" t="s">
        <v>3617</v>
      </c>
      <c r="R676" t="s">
        <v>2665</v>
      </c>
      <c r="S676" t="s">
        <v>2781</v>
      </c>
      <c r="T676" t="s">
        <v>2922</v>
      </c>
      <c r="U676" t="s">
        <v>2665</v>
      </c>
      <c r="V676" t="s">
        <v>3992</v>
      </c>
      <c r="W676" t="s">
        <v>3993</v>
      </c>
      <c r="X676" t="s">
        <v>2665</v>
      </c>
      <c r="Y676" t="s">
        <v>2054</v>
      </c>
      <c r="Z676" t="s">
        <v>1179</v>
      </c>
      <c r="AA676" t="s">
        <v>2797</v>
      </c>
      <c r="AB676" t="s">
        <v>2797</v>
      </c>
      <c r="AC676" t="s">
        <v>2665</v>
      </c>
      <c r="AD676" t="s">
        <v>2054</v>
      </c>
      <c r="AE676" t="s">
        <v>2054</v>
      </c>
    </row>
    <row r="677" spans="1:31" x14ac:dyDescent="0.25">
      <c r="A677" t="s">
        <v>367</v>
      </c>
      <c r="B677" t="s">
        <v>178</v>
      </c>
      <c r="C677" t="s">
        <v>3998</v>
      </c>
      <c r="D677" t="s">
        <v>366</v>
      </c>
      <c r="E677" t="s">
        <v>2666</v>
      </c>
      <c r="F677" t="s">
        <v>3999</v>
      </c>
      <c r="G677" t="s">
        <v>2666</v>
      </c>
      <c r="H677" t="s">
        <v>2054</v>
      </c>
      <c r="I677" t="s">
        <v>2778</v>
      </c>
      <c r="J677" t="s">
        <v>2054</v>
      </c>
      <c r="K677" t="s">
        <v>2665</v>
      </c>
      <c r="L677" t="s">
        <v>1179</v>
      </c>
      <c r="M677" t="s">
        <v>2878</v>
      </c>
      <c r="N677" t="s">
        <v>2665</v>
      </c>
      <c r="O677" t="s">
        <v>3576</v>
      </c>
      <c r="P677" t="s">
        <v>2898</v>
      </c>
      <c r="Q677" t="s">
        <v>3617</v>
      </c>
      <c r="R677" t="s">
        <v>2665</v>
      </c>
      <c r="S677" t="s">
        <v>2781</v>
      </c>
      <c r="T677" t="s">
        <v>2922</v>
      </c>
      <c r="U677" t="s">
        <v>2665</v>
      </c>
      <c r="V677" t="s">
        <v>3992</v>
      </c>
      <c r="W677" t="s">
        <v>3993</v>
      </c>
      <c r="X677" t="s">
        <v>2665</v>
      </c>
      <c r="Y677" t="s">
        <v>2054</v>
      </c>
      <c r="Z677" t="s">
        <v>1179</v>
      </c>
      <c r="AA677" t="s">
        <v>2797</v>
      </c>
      <c r="AB677" t="s">
        <v>2797</v>
      </c>
      <c r="AC677" t="s">
        <v>2665</v>
      </c>
      <c r="AD677" t="s">
        <v>2054</v>
      </c>
      <c r="AE677" t="s">
        <v>2054</v>
      </c>
    </row>
    <row r="678" spans="1:31" x14ac:dyDescent="0.25">
      <c r="A678" t="s">
        <v>369</v>
      </c>
      <c r="B678" t="s">
        <v>179</v>
      </c>
      <c r="C678" t="s">
        <v>4000</v>
      </c>
      <c r="D678" t="s">
        <v>368</v>
      </c>
      <c r="E678" t="s">
        <v>2666</v>
      </c>
      <c r="F678" t="s">
        <v>2971</v>
      </c>
      <c r="G678" t="s">
        <v>2666</v>
      </c>
      <c r="H678" t="s">
        <v>2054</v>
      </c>
      <c r="I678" t="s">
        <v>2778</v>
      </c>
      <c r="J678" t="s">
        <v>2054</v>
      </c>
      <c r="K678" t="s">
        <v>2665</v>
      </c>
      <c r="L678" t="s">
        <v>1179</v>
      </c>
      <c r="M678" t="s">
        <v>2878</v>
      </c>
      <c r="N678" t="s">
        <v>2665</v>
      </c>
      <c r="O678" t="s">
        <v>3576</v>
      </c>
      <c r="P678" t="s">
        <v>2898</v>
      </c>
      <c r="Q678" t="s">
        <v>3617</v>
      </c>
      <c r="R678" t="s">
        <v>2665</v>
      </c>
      <c r="S678" t="s">
        <v>2781</v>
      </c>
      <c r="T678" t="s">
        <v>2922</v>
      </c>
      <c r="U678" t="s">
        <v>2665</v>
      </c>
      <c r="V678" t="s">
        <v>3992</v>
      </c>
      <c r="W678" t="s">
        <v>3993</v>
      </c>
      <c r="X678" t="s">
        <v>2665</v>
      </c>
      <c r="Y678" t="s">
        <v>2054</v>
      </c>
      <c r="Z678" t="s">
        <v>1179</v>
      </c>
      <c r="AA678" t="s">
        <v>2797</v>
      </c>
      <c r="AB678" t="s">
        <v>2797</v>
      </c>
      <c r="AC678" t="s">
        <v>2665</v>
      </c>
      <c r="AD678" t="s">
        <v>2054</v>
      </c>
      <c r="AE678" t="s">
        <v>2054</v>
      </c>
    </row>
    <row r="679" spans="1:31" x14ac:dyDescent="0.25">
      <c r="A679" t="s">
        <v>371</v>
      </c>
      <c r="B679" t="s">
        <v>180</v>
      </c>
      <c r="C679" t="s">
        <v>4001</v>
      </c>
      <c r="D679" t="s">
        <v>370</v>
      </c>
      <c r="E679" t="s">
        <v>2666</v>
      </c>
      <c r="F679" t="s">
        <v>3658</v>
      </c>
      <c r="G679" t="s">
        <v>2666</v>
      </c>
      <c r="H679" t="s">
        <v>2054</v>
      </c>
      <c r="I679" t="s">
        <v>2778</v>
      </c>
      <c r="J679" t="s">
        <v>2054</v>
      </c>
      <c r="K679" t="s">
        <v>2665</v>
      </c>
      <c r="L679" t="s">
        <v>1179</v>
      </c>
      <c r="M679" t="s">
        <v>2878</v>
      </c>
      <c r="N679" t="s">
        <v>2665</v>
      </c>
      <c r="O679" t="s">
        <v>3576</v>
      </c>
      <c r="P679" t="s">
        <v>2898</v>
      </c>
      <c r="Q679" t="s">
        <v>3617</v>
      </c>
      <c r="R679" t="s">
        <v>2665</v>
      </c>
      <c r="S679" t="s">
        <v>2781</v>
      </c>
      <c r="T679" t="s">
        <v>2922</v>
      </c>
      <c r="U679" t="s">
        <v>2665</v>
      </c>
      <c r="V679" t="s">
        <v>3992</v>
      </c>
      <c r="W679" t="s">
        <v>3993</v>
      </c>
      <c r="X679" t="s">
        <v>2665</v>
      </c>
      <c r="Y679" t="s">
        <v>2054</v>
      </c>
      <c r="Z679" t="s">
        <v>1179</v>
      </c>
      <c r="AA679" t="s">
        <v>2797</v>
      </c>
      <c r="AB679" t="s">
        <v>2797</v>
      </c>
      <c r="AC679" t="s">
        <v>2665</v>
      </c>
      <c r="AD679" t="s">
        <v>2054</v>
      </c>
      <c r="AE679" t="s">
        <v>2054</v>
      </c>
    </row>
    <row r="680" spans="1:31" x14ac:dyDescent="0.25">
      <c r="A680" t="s">
        <v>1779</v>
      </c>
      <c r="B680" t="s">
        <v>181</v>
      </c>
      <c r="C680" t="s">
        <v>4002</v>
      </c>
      <c r="D680" t="s">
        <v>372</v>
      </c>
      <c r="E680" t="s">
        <v>2666</v>
      </c>
      <c r="F680" t="s">
        <v>3042</v>
      </c>
      <c r="G680" t="s">
        <v>2666</v>
      </c>
      <c r="H680" t="s">
        <v>2054</v>
      </c>
      <c r="I680" t="s">
        <v>2778</v>
      </c>
      <c r="J680" t="s">
        <v>2054</v>
      </c>
      <c r="K680" t="s">
        <v>2665</v>
      </c>
      <c r="L680" t="s">
        <v>1179</v>
      </c>
      <c r="M680" t="s">
        <v>2878</v>
      </c>
      <c r="N680" t="s">
        <v>2665</v>
      </c>
      <c r="O680" t="s">
        <v>3576</v>
      </c>
      <c r="P680" t="s">
        <v>2898</v>
      </c>
      <c r="Q680" t="s">
        <v>3617</v>
      </c>
      <c r="R680" t="s">
        <v>2665</v>
      </c>
      <c r="S680" t="s">
        <v>2781</v>
      </c>
      <c r="T680" t="s">
        <v>2922</v>
      </c>
      <c r="U680" t="s">
        <v>2665</v>
      </c>
      <c r="V680" t="s">
        <v>3875</v>
      </c>
      <c r="W680" t="s">
        <v>3876</v>
      </c>
      <c r="X680" t="s">
        <v>2665</v>
      </c>
      <c r="Y680" t="s">
        <v>2054</v>
      </c>
      <c r="Z680" t="s">
        <v>1179</v>
      </c>
      <c r="AA680" t="s">
        <v>2795</v>
      </c>
      <c r="AB680" t="s">
        <v>2795</v>
      </c>
      <c r="AC680" t="s">
        <v>2665</v>
      </c>
      <c r="AD680" t="s">
        <v>2054</v>
      </c>
      <c r="AE680" t="s">
        <v>2054</v>
      </c>
    </row>
    <row r="681" spans="1:31" x14ac:dyDescent="0.25">
      <c r="A681" t="s">
        <v>1781</v>
      </c>
      <c r="B681" t="s">
        <v>1780</v>
      </c>
      <c r="C681" t="s">
        <v>4003</v>
      </c>
      <c r="D681" t="s">
        <v>4004</v>
      </c>
      <c r="E681" t="s">
        <v>2666</v>
      </c>
      <c r="F681" t="s">
        <v>3549</v>
      </c>
      <c r="G681" t="s">
        <v>2666</v>
      </c>
      <c r="H681" t="s">
        <v>2054</v>
      </c>
      <c r="I681" t="s">
        <v>2778</v>
      </c>
      <c r="J681" t="s">
        <v>2054</v>
      </c>
      <c r="K681" t="s">
        <v>2665</v>
      </c>
      <c r="L681" t="s">
        <v>1179</v>
      </c>
      <c r="M681" t="s">
        <v>2878</v>
      </c>
      <c r="N681" t="s">
        <v>2665</v>
      </c>
      <c r="O681" t="s">
        <v>3576</v>
      </c>
      <c r="P681" t="s">
        <v>2898</v>
      </c>
      <c r="Q681" t="s">
        <v>3617</v>
      </c>
      <c r="R681" t="s">
        <v>2665</v>
      </c>
      <c r="S681" t="s">
        <v>2781</v>
      </c>
      <c r="T681" t="s">
        <v>2922</v>
      </c>
      <c r="U681" t="s">
        <v>2665</v>
      </c>
      <c r="V681" t="s">
        <v>3992</v>
      </c>
      <c r="W681" t="s">
        <v>3993</v>
      </c>
      <c r="X681" t="s">
        <v>2665</v>
      </c>
      <c r="Y681" t="s">
        <v>2054</v>
      </c>
      <c r="Z681" t="s">
        <v>1179</v>
      </c>
      <c r="AA681" t="s">
        <v>2797</v>
      </c>
      <c r="AB681" t="s">
        <v>2797</v>
      </c>
      <c r="AC681" t="s">
        <v>2665</v>
      </c>
      <c r="AD681" t="s">
        <v>2054</v>
      </c>
      <c r="AE681" t="s">
        <v>2054</v>
      </c>
    </row>
    <row r="682" spans="1:31" x14ac:dyDescent="0.25">
      <c r="A682" t="s">
        <v>1782</v>
      </c>
      <c r="B682" t="s">
        <v>457</v>
      </c>
      <c r="C682" t="s">
        <v>4005</v>
      </c>
      <c r="D682" t="s">
        <v>458</v>
      </c>
      <c r="E682" t="s">
        <v>2666</v>
      </c>
      <c r="F682" t="s">
        <v>3978</v>
      </c>
      <c r="G682" t="s">
        <v>2666</v>
      </c>
      <c r="H682" t="s">
        <v>2054</v>
      </c>
      <c r="I682" t="s">
        <v>2778</v>
      </c>
      <c r="J682" t="s">
        <v>2054</v>
      </c>
      <c r="K682" t="s">
        <v>2665</v>
      </c>
      <c r="L682" t="s">
        <v>1179</v>
      </c>
      <c r="M682" t="s">
        <v>2878</v>
      </c>
      <c r="N682" t="s">
        <v>2665</v>
      </c>
      <c r="O682" t="s">
        <v>3576</v>
      </c>
      <c r="P682" t="s">
        <v>2898</v>
      </c>
      <c r="Q682" t="s">
        <v>3617</v>
      </c>
      <c r="R682" t="s">
        <v>2665</v>
      </c>
      <c r="S682" t="s">
        <v>2781</v>
      </c>
      <c r="T682" t="s">
        <v>2922</v>
      </c>
      <c r="U682" t="s">
        <v>2665</v>
      </c>
      <c r="V682" t="s">
        <v>3992</v>
      </c>
      <c r="W682" t="s">
        <v>3993</v>
      </c>
      <c r="X682" t="s">
        <v>2665</v>
      </c>
      <c r="Y682" t="s">
        <v>2054</v>
      </c>
      <c r="Z682" t="s">
        <v>1179</v>
      </c>
      <c r="AA682" t="s">
        <v>2797</v>
      </c>
      <c r="AB682" t="s">
        <v>2797</v>
      </c>
      <c r="AC682" t="s">
        <v>2665</v>
      </c>
      <c r="AD682" t="s">
        <v>2054</v>
      </c>
      <c r="AE682" t="s">
        <v>2054</v>
      </c>
    </row>
    <row r="683" spans="1:31" x14ac:dyDescent="0.25">
      <c r="A683" t="s">
        <v>1783</v>
      </c>
      <c r="B683" t="s">
        <v>459</v>
      </c>
      <c r="C683" t="s">
        <v>4006</v>
      </c>
      <c r="D683" t="s">
        <v>460</v>
      </c>
      <c r="E683" t="s">
        <v>2666</v>
      </c>
      <c r="F683" t="s">
        <v>4007</v>
      </c>
      <c r="G683" t="s">
        <v>2666</v>
      </c>
      <c r="H683" t="s">
        <v>2054</v>
      </c>
      <c r="I683" t="s">
        <v>2778</v>
      </c>
      <c r="J683" t="s">
        <v>2054</v>
      </c>
      <c r="K683" t="s">
        <v>2665</v>
      </c>
      <c r="L683" t="s">
        <v>1179</v>
      </c>
      <c r="M683" t="s">
        <v>2878</v>
      </c>
      <c r="N683" t="s">
        <v>2665</v>
      </c>
      <c r="O683" t="s">
        <v>3576</v>
      </c>
      <c r="P683" t="s">
        <v>2898</v>
      </c>
      <c r="Q683" t="s">
        <v>3617</v>
      </c>
      <c r="R683" t="s">
        <v>2665</v>
      </c>
      <c r="S683" t="s">
        <v>2781</v>
      </c>
      <c r="T683" t="s">
        <v>2922</v>
      </c>
      <c r="U683" t="s">
        <v>2665</v>
      </c>
      <c r="V683" t="s">
        <v>3992</v>
      </c>
      <c r="W683" t="s">
        <v>3993</v>
      </c>
      <c r="X683" t="s">
        <v>2665</v>
      </c>
      <c r="Y683" t="s">
        <v>2054</v>
      </c>
      <c r="Z683" t="s">
        <v>1179</v>
      </c>
      <c r="AA683" t="s">
        <v>2797</v>
      </c>
      <c r="AB683" t="s">
        <v>2797</v>
      </c>
      <c r="AC683" t="s">
        <v>2665</v>
      </c>
      <c r="AD683" t="s">
        <v>2054</v>
      </c>
      <c r="AE683" t="s">
        <v>2054</v>
      </c>
    </row>
    <row r="684" spans="1:31" x14ac:dyDescent="0.25">
      <c r="A684" t="s">
        <v>1784</v>
      </c>
      <c r="B684" t="s">
        <v>420</v>
      </c>
      <c r="C684" t="s">
        <v>4008</v>
      </c>
      <c r="D684" t="s">
        <v>422</v>
      </c>
      <c r="E684" t="s">
        <v>2666</v>
      </c>
      <c r="F684" t="s">
        <v>4009</v>
      </c>
      <c r="G684" t="s">
        <v>2666</v>
      </c>
      <c r="H684" t="s">
        <v>2054</v>
      </c>
      <c r="I684" t="s">
        <v>2778</v>
      </c>
      <c r="J684" t="s">
        <v>2054</v>
      </c>
      <c r="K684" t="s">
        <v>2665</v>
      </c>
      <c r="L684" t="s">
        <v>1179</v>
      </c>
      <c r="M684" t="s">
        <v>2878</v>
      </c>
      <c r="N684" t="s">
        <v>2665</v>
      </c>
      <c r="O684" t="s">
        <v>3576</v>
      </c>
      <c r="P684" t="s">
        <v>2898</v>
      </c>
      <c r="Q684" t="s">
        <v>3617</v>
      </c>
      <c r="R684" t="s">
        <v>2665</v>
      </c>
      <c r="S684" t="s">
        <v>2781</v>
      </c>
      <c r="T684" t="s">
        <v>2922</v>
      </c>
      <c r="U684" t="s">
        <v>2665</v>
      </c>
      <c r="V684" t="s">
        <v>3990</v>
      </c>
      <c r="W684" t="s">
        <v>3991</v>
      </c>
      <c r="X684" t="s">
        <v>2665</v>
      </c>
      <c r="Y684" t="s">
        <v>2054</v>
      </c>
      <c r="Z684" t="s">
        <v>1179</v>
      </c>
      <c r="AA684" t="s">
        <v>2791</v>
      </c>
      <c r="AB684" t="s">
        <v>2791</v>
      </c>
      <c r="AC684" t="s">
        <v>2665</v>
      </c>
      <c r="AD684" t="s">
        <v>2054</v>
      </c>
      <c r="AE684" t="s">
        <v>2054</v>
      </c>
    </row>
    <row r="685" spans="1:31" x14ac:dyDescent="0.25">
      <c r="A685" t="s">
        <v>1786</v>
      </c>
      <c r="B685" t="s">
        <v>1785</v>
      </c>
      <c r="C685" t="s">
        <v>4010</v>
      </c>
      <c r="D685" t="s">
        <v>4011</v>
      </c>
      <c r="E685" t="s">
        <v>2666</v>
      </c>
      <c r="F685" t="s">
        <v>4012</v>
      </c>
      <c r="G685" t="s">
        <v>2666</v>
      </c>
      <c r="H685" t="s">
        <v>2054</v>
      </c>
      <c r="I685" t="s">
        <v>2778</v>
      </c>
      <c r="J685" t="s">
        <v>2054</v>
      </c>
      <c r="K685" t="s">
        <v>2665</v>
      </c>
      <c r="L685" t="s">
        <v>1179</v>
      </c>
      <c r="M685" t="s">
        <v>2878</v>
      </c>
      <c r="N685" t="s">
        <v>2665</v>
      </c>
      <c r="O685" t="s">
        <v>3576</v>
      </c>
      <c r="P685" t="s">
        <v>2898</v>
      </c>
      <c r="Q685" t="s">
        <v>3617</v>
      </c>
      <c r="R685" t="s">
        <v>2665</v>
      </c>
      <c r="S685" t="s">
        <v>2781</v>
      </c>
      <c r="T685" t="s">
        <v>2922</v>
      </c>
      <c r="U685" t="s">
        <v>2665</v>
      </c>
      <c r="V685" t="s">
        <v>3992</v>
      </c>
      <c r="W685" t="s">
        <v>3993</v>
      </c>
      <c r="X685" t="s">
        <v>2665</v>
      </c>
      <c r="Y685" t="s">
        <v>2054</v>
      </c>
      <c r="Z685" t="s">
        <v>1179</v>
      </c>
      <c r="AA685" t="s">
        <v>2797</v>
      </c>
      <c r="AB685" t="s">
        <v>2797</v>
      </c>
      <c r="AC685" t="s">
        <v>2665</v>
      </c>
      <c r="AD685" t="s">
        <v>2054</v>
      </c>
      <c r="AE685" t="s">
        <v>2054</v>
      </c>
    </row>
    <row r="686" spans="1:31" x14ac:dyDescent="0.25">
      <c r="A686" t="s">
        <v>719</v>
      </c>
      <c r="B686" t="s">
        <v>697</v>
      </c>
      <c r="C686" t="s">
        <v>4013</v>
      </c>
      <c r="D686" t="s">
        <v>708</v>
      </c>
      <c r="E686" t="s">
        <v>2666</v>
      </c>
      <c r="F686" t="s">
        <v>2892</v>
      </c>
      <c r="G686" t="s">
        <v>2666</v>
      </c>
      <c r="H686" t="s">
        <v>2054</v>
      </c>
      <c r="I686" t="s">
        <v>2778</v>
      </c>
      <c r="J686" t="s">
        <v>2054</v>
      </c>
      <c r="K686" t="s">
        <v>2665</v>
      </c>
      <c r="L686" t="s">
        <v>1179</v>
      </c>
      <c r="M686" t="s">
        <v>2878</v>
      </c>
      <c r="N686" t="s">
        <v>2665</v>
      </c>
      <c r="O686" t="s">
        <v>3576</v>
      </c>
      <c r="P686" t="s">
        <v>2898</v>
      </c>
      <c r="Q686" t="s">
        <v>3617</v>
      </c>
      <c r="R686" t="s">
        <v>2665</v>
      </c>
      <c r="S686" t="s">
        <v>2781</v>
      </c>
      <c r="T686" t="s">
        <v>2922</v>
      </c>
      <c r="U686" t="s">
        <v>2665</v>
      </c>
      <c r="V686" t="s">
        <v>3964</v>
      </c>
      <c r="W686" t="s">
        <v>3965</v>
      </c>
      <c r="X686" t="s">
        <v>2665</v>
      </c>
      <c r="Y686" t="s">
        <v>2054</v>
      </c>
      <c r="Z686" t="s">
        <v>1179</v>
      </c>
      <c r="AA686" t="s">
        <v>2797</v>
      </c>
      <c r="AB686" t="s">
        <v>2797</v>
      </c>
      <c r="AC686" t="s">
        <v>2665</v>
      </c>
      <c r="AD686" t="s">
        <v>2054</v>
      </c>
      <c r="AE686" t="s">
        <v>2054</v>
      </c>
    </row>
    <row r="687" spans="1:31" x14ac:dyDescent="0.25">
      <c r="A687" t="s">
        <v>720</v>
      </c>
      <c r="B687" t="s">
        <v>698</v>
      </c>
      <c r="C687" t="s">
        <v>4014</v>
      </c>
      <c r="D687" t="s">
        <v>709</v>
      </c>
      <c r="E687" t="s">
        <v>2666</v>
      </c>
      <c r="F687" t="s">
        <v>2748</v>
      </c>
      <c r="G687" t="s">
        <v>2666</v>
      </c>
      <c r="H687" t="s">
        <v>2054</v>
      </c>
      <c r="I687" t="s">
        <v>2778</v>
      </c>
      <c r="J687" t="s">
        <v>2054</v>
      </c>
      <c r="K687" t="s">
        <v>2665</v>
      </c>
      <c r="L687" t="s">
        <v>1179</v>
      </c>
      <c r="M687" t="s">
        <v>2878</v>
      </c>
      <c r="N687" t="s">
        <v>2665</v>
      </c>
      <c r="O687" t="s">
        <v>3576</v>
      </c>
      <c r="P687" t="s">
        <v>2898</v>
      </c>
      <c r="Q687" t="s">
        <v>3617</v>
      </c>
      <c r="R687" t="s">
        <v>2665</v>
      </c>
      <c r="S687" t="s">
        <v>2781</v>
      </c>
      <c r="T687" t="s">
        <v>2922</v>
      </c>
      <c r="U687" t="s">
        <v>2665</v>
      </c>
      <c r="V687" t="s">
        <v>3964</v>
      </c>
      <c r="W687" t="s">
        <v>3965</v>
      </c>
      <c r="X687" t="s">
        <v>2665</v>
      </c>
      <c r="Y687" t="s">
        <v>2054</v>
      </c>
      <c r="Z687" t="s">
        <v>1179</v>
      </c>
      <c r="AA687" t="s">
        <v>2797</v>
      </c>
      <c r="AB687" t="s">
        <v>2797</v>
      </c>
      <c r="AC687" t="s">
        <v>2665</v>
      </c>
      <c r="AD687" t="s">
        <v>2054</v>
      </c>
      <c r="AE687" t="s">
        <v>2054</v>
      </c>
    </row>
    <row r="688" spans="1:31" x14ac:dyDescent="0.25">
      <c r="A688" t="s">
        <v>721</v>
      </c>
      <c r="B688" t="s">
        <v>699</v>
      </c>
      <c r="C688" t="s">
        <v>4015</v>
      </c>
      <c r="D688" t="s">
        <v>710</v>
      </c>
      <c r="E688" t="s">
        <v>2666</v>
      </c>
      <c r="F688" t="s">
        <v>2748</v>
      </c>
      <c r="G688" t="s">
        <v>2666</v>
      </c>
      <c r="H688" t="s">
        <v>2054</v>
      </c>
      <c r="I688" t="s">
        <v>2778</v>
      </c>
      <c r="J688" t="s">
        <v>2054</v>
      </c>
      <c r="K688" t="s">
        <v>2665</v>
      </c>
      <c r="L688" t="s">
        <v>1179</v>
      </c>
      <c r="M688" t="s">
        <v>2878</v>
      </c>
      <c r="N688" t="s">
        <v>2665</v>
      </c>
      <c r="O688" t="s">
        <v>3576</v>
      </c>
      <c r="P688" t="s">
        <v>2898</v>
      </c>
      <c r="Q688" t="s">
        <v>3617</v>
      </c>
      <c r="R688" t="s">
        <v>2665</v>
      </c>
      <c r="S688" t="s">
        <v>2781</v>
      </c>
      <c r="T688" t="s">
        <v>2922</v>
      </c>
      <c r="U688" t="s">
        <v>2665</v>
      </c>
      <c r="V688" t="s">
        <v>3964</v>
      </c>
      <c r="W688" t="s">
        <v>3965</v>
      </c>
      <c r="X688" t="s">
        <v>2665</v>
      </c>
      <c r="Y688" t="s">
        <v>2054</v>
      </c>
      <c r="Z688" t="s">
        <v>1179</v>
      </c>
      <c r="AA688" t="s">
        <v>2797</v>
      </c>
      <c r="AB688" t="s">
        <v>2797</v>
      </c>
      <c r="AC688" t="s">
        <v>2665</v>
      </c>
      <c r="AD688" t="s">
        <v>2054</v>
      </c>
      <c r="AE688" t="s">
        <v>2054</v>
      </c>
    </row>
    <row r="689" spans="1:31" x14ac:dyDescent="0.25">
      <c r="A689" t="s">
        <v>722</v>
      </c>
      <c r="B689" t="s">
        <v>700</v>
      </c>
      <c r="C689" t="s">
        <v>4016</v>
      </c>
      <c r="D689" t="s">
        <v>711</v>
      </c>
      <c r="E689" t="s">
        <v>2666</v>
      </c>
      <c r="F689" t="s">
        <v>2748</v>
      </c>
      <c r="G689" t="s">
        <v>2666</v>
      </c>
      <c r="H689" t="s">
        <v>2054</v>
      </c>
      <c r="I689" t="s">
        <v>2778</v>
      </c>
      <c r="J689" t="s">
        <v>2054</v>
      </c>
      <c r="K689" t="s">
        <v>2665</v>
      </c>
      <c r="L689" t="s">
        <v>1179</v>
      </c>
      <c r="M689" t="s">
        <v>2878</v>
      </c>
      <c r="N689" t="s">
        <v>2665</v>
      </c>
      <c r="O689" t="s">
        <v>3576</v>
      </c>
      <c r="P689" t="s">
        <v>2898</v>
      </c>
      <c r="Q689" t="s">
        <v>3617</v>
      </c>
      <c r="R689" t="s">
        <v>2665</v>
      </c>
      <c r="S689" t="s">
        <v>2781</v>
      </c>
      <c r="T689" t="s">
        <v>2922</v>
      </c>
      <c r="U689" t="s">
        <v>2665</v>
      </c>
      <c r="V689" t="s">
        <v>3964</v>
      </c>
      <c r="W689" t="s">
        <v>3965</v>
      </c>
      <c r="X689" t="s">
        <v>2665</v>
      </c>
      <c r="Y689" t="s">
        <v>2054</v>
      </c>
      <c r="Z689" t="s">
        <v>1179</v>
      </c>
      <c r="AA689" t="s">
        <v>2797</v>
      </c>
      <c r="AB689" t="s">
        <v>2797</v>
      </c>
      <c r="AC689" t="s">
        <v>2665</v>
      </c>
      <c r="AD689" t="s">
        <v>2054</v>
      </c>
      <c r="AE689" t="s">
        <v>2054</v>
      </c>
    </row>
    <row r="690" spans="1:31" x14ac:dyDescent="0.25">
      <c r="A690" t="s">
        <v>723</v>
      </c>
      <c r="B690" t="s">
        <v>701</v>
      </c>
      <c r="C690" t="s">
        <v>4017</v>
      </c>
      <c r="D690" t="s">
        <v>712</v>
      </c>
      <c r="E690" t="s">
        <v>2666</v>
      </c>
      <c r="F690" t="s">
        <v>2962</v>
      </c>
      <c r="G690" t="s">
        <v>2666</v>
      </c>
      <c r="H690" t="s">
        <v>2054</v>
      </c>
      <c r="I690" t="s">
        <v>2778</v>
      </c>
      <c r="J690" t="s">
        <v>2054</v>
      </c>
      <c r="K690" t="s">
        <v>2665</v>
      </c>
      <c r="L690" t="s">
        <v>1179</v>
      </c>
      <c r="M690" t="s">
        <v>2878</v>
      </c>
      <c r="N690" t="s">
        <v>2665</v>
      </c>
      <c r="O690" t="s">
        <v>3576</v>
      </c>
      <c r="P690" t="s">
        <v>2898</v>
      </c>
      <c r="Q690" t="s">
        <v>3617</v>
      </c>
      <c r="R690" t="s">
        <v>2665</v>
      </c>
      <c r="S690" t="s">
        <v>2781</v>
      </c>
      <c r="T690" t="s">
        <v>2922</v>
      </c>
      <c r="U690" t="s">
        <v>2665</v>
      </c>
      <c r="V690" t="s">
        <v>3964</v>
      </c>
      <c r="W690" t="s">
        <v>3965</v>
      </c>
      <c r="X690" t="s">
        <v>2665</v>
      </c>
      <c r="Y690" t="s">
        <v>2054</v>
      </c>
      <c r="Z690" t="s">
        <v>1179</v>
      </c>
      <c r="AA690" t="s">
        <v>2797</v>
      </c>
      <c r="AB690" t="s">
        <v>2797</v>
      </c>
      <c r="AC690" t="s">
        <v>2665</v>
      </c>
      <c r="AD690" t="s">
        <v>2054</v>
      </c>
      <c r="AE690" t="s">
        <v>2054</v>
      </c>
    </row>
    <row r="691" spans="1:31" x14ac:dyDescent="0.25">
      <c r="A691" t="s">
        <v>724</v>
      </c>
      <c r="B691" t="s">
        <v>702</v>
      </c>
      <c r="C691" t="s">
        <v>4018</v>
      </c>
      <c r="D691" t="s">
        <v>713</v>
      </c>
      <c r="E691" t="s">
        <v>2666</v>
      </c>
      <c r="F691" t="s">
        <v>3972</v>
      </c>
      <c r="G691" t="s">
        <v>2666</v>
      </c>
      <c r="H691" t="s">
        <v>2054</v>
      </c>
      <c r="I691" t="s">
        <v>2778</v>
      </c>
      <c r="J691" t="s">
        <v>2054</v>
      </c>
      <c r="K691" t="s">
        <v>2665</v>
      </c>
      <c r="L691" t="s">
        <v>1179</v>
      </c>
      <c r="M691" t="s">
        <v>2878</v>
      </c>
      <c r="N691" t="s">
        <v>2665</v>
      </c>
      <c r="O691" t="s">
        <v>3576</v>
      </c>
      <c r="P691" t="s">
        <v>2898</v>
      </c>
      <c r="Q691" t="s">
        <v>3617</v>
      </c>
      <c r="R691" t="s">
        <v>2665</v>
      </c>
      <c r="S691" t="s">
        <v>2781</v>
      </c>
      <c r="T691" t="s">
        <v>2922</v>
      </c>
      <c r="U691" t="s">
        <v>2665</v>
      </c>
      <c r="V691" t="s">
        <v>3964</v>
      </c>
      <c r="W691" t="s">
        <v>3965</v>
      </c>
      <c r="X691" t="s">
        <v>2665</v>
      </c>
      <c r="Y691" t="s">
        <v>2054</v>
      </c>
      <c r="Z691" t="s">
        <v>1179</v>
      </c>
      <c r="AA691" t="s">
        <v>2797</v>
      </c>
      <c r="AB691" t="s">
        <v>2797</v>
      </c>
      <c r="AC691" t="s">
        <v>2665</v>
      </c>
      <c r="AD691" t="s">
        <v>2054</v>
      </c>
      <c r="AE691" t="s">
        <v>2054</v>
      </c>
    </row>
    <row r="692" spans="1:31" x14ac:dyDescent="0.25">
      <c r="A692" t="s">
        <v>725</v>
      </c>
      <c r="B692" t="s">
        <v>703</v>
      </c>
      <c r="C692" t="s">
        <v>4019</v>
      </c>
      <c r="D692" t="s">
        <v>714</v>
      </c>
      <c r="E692" t="s">
        <v>2666</v>
      </c>
      <c r="F692" t="s">
        <v>2852</v>
      </c>
      <c r="G692" t="s">
        <v>2666</v>
      </c>
      <c r="H692" t="s">
        <v>2054</v>
      </c>
      <c r="I692" t="s">
        <v>2778</v>
      </c>
      <c r="J692" t="s">
        <v>2054</v>
      </c>
      <c r="K692" t="s">
        <v>2665</v>
      </c>
      <c r="L692" t="s">
        <v>1179</v>
      </c>
      <c r="M692" t="s">
        <v>2878</v>
      </c>
      <c r="N692" t="s">
        <v>2665</v>
      </c>
      <c r="O692" t="s">
        <v>3576</v>
      </c>
      <c r="P692" t="s">
        <v>2898</v>
      </c>
      <c r="Q692" t="s">
        <v>3617</v>
      </c>
      <c r="R692" t="s">
        <v>2665</v>
      </c>
      <c r="S692" t="s">
        <v>2781</v>
      </c>
      <c r="T692" t="s">
        <v>2922</v>
      </c>
      <c r="U692" t="s">
        <v>2665</v>
      </c>
      <c r="V692" t="s">
        <v>3964</v>
      </c>
      <c r="W692" t="s">
        <v>3965</v>
      </c>
      <c r="X692" t="s">
        <v>2665</v>
      </c>
      <c r="Y692" t="s">
        <v>2054</v>
      </c>
      <c r="Z692" t="s">
        <v>1179</v>
      </c>
      <c r="AA692" t="s">
        <v>2797</v>
      </c>
      <c r="AB692" t="s">
        <v>2797</v>
      </c>
      <c r="AC692" t="s">
        <v>2665</v>
      </c>
      <c r="AD692" t="s">
        <v>2054</v>
      </c>
      <c r="AE692" t="s">
        <v>2054</v>
      </c>
    </row>
    <row r="693" spans="1:31" x14ac:dyDescent="0.25">
      <c r="A693" t="s">
        <v>726</v>
      </c>
      <c r="B693" t="s">
        <v>704</v>
      </c>
      <c r="C693" t="s">
        <v>4020</v>
      </c>
      <c r="D693" t="s">
        <v>715</v>
      </c>
      <c r="E693" t="s">
        <v>2666</v>
      </c>
      <c r="F693" t="s">
        <v>4021</v>
      </c>
      <c r="G693" t="s">
        <v>2666</v>
      </c>
      <c r="H693" t="s">
        <v>2054</v>
      </c>
      <c r="I693" t="s">
        <v>2778</v>
      </c>
      <c r="J693" t="s">
        <v>2054</v>
      </c>
      <c r="K693" t="s">
        <v>2665</v>
      </c>
      <c r="L693" t="s">
        <v>1179</v>
      </c>
      <c r="M693" t="s">
        <v>2878</v>
      </c>
      <c r="N693" t="s">
        <v>2665</v>
      </c>
      <c r="O693" t="s">
        <v>3576</v>
      </c>
      <c r="P693" t="s">
        <v>2898</v>
      </c>
      <c r="Q693" t="s">
        <v>3617</v>
      </c>
      <c r="R693" t="s">
        <v>2665</v>
      </c>
      <c r="S693" t="s">
        <v>2781</v>
      </c>
      <c r="T693" t="s">
        <v>2922</v>
      </c>
      <c r="U693" t="s">
        <v>2665</v>
      </c>
      <c r="V693" t="s">
        <v>3629</v>
      </c>
      <c r="W693" t="s">
        <v>3630</v>
      </c>
      <c r="X693" t="s">
        <v>2665</v>
      </c>
      <c r="Y693" t="s">
        <v>2054</v>
      </c>
      <c r="Z693" t="s">
        <v>1179</v>
      </c>
      <c r="AA693" t="s">
        <v>2797</v>
      </c>
      <c r="AB693" t="s">
        <v>2797</v>
      </c>
      <c r="AC693" t="s">
        <v>2665</v>
      </c>
      <c r="AD693" t="s">
        <v>2054</v>
      </c>
      <c r="AE693" t="s">
        <v>2054</v>
      </c>
    </row>
    <row r="694" spans="1:31" x14ac:dyDescent="0.25">
      <c r="A694" t="s">
        <v>727</v>
      </c>
      <c r="B694" t="s">
        <v>705</v>
      </c>
      <c r="C694" t="s">
        <v>4022</v>
      </c>
      <c r="D694" t="s">
        <v>716</v>
      </c>
      <c r="E694" t="s">
        <v>2666</v>
      </c>
      <c r="F694" t="s">
        <v>3607</v>
      </c>
      <c r="G694" t="s">
        <v>2666</v>
      </c>
      <c r="H694" t="s">
        <v>2054</v>
      </c>
      <c r="I694" t="s">
        <v>2778</v>
      </c>
      <c r="J694" t="s">
        <v>2054</v>
      </c>
      <c r="K694" t="s">
        <v>2665</v>
      </c>
      <c r="L694" t="s">
        <v>1179</v>
      </c>
      <c r="M694" t="s">
        <v>2878</v>
      </c>
      <c r="N694" t="s">
        <v>2665</v>
      </c>
      <c r="O694" t="s">
        <v>3576</v>
      </c>
      <c r="P694" t="s">
        <v>2898</v>
      </c>
      <c r="Q694" t="s">
        <v>3617</v>
      </c>
      <c r="R694" t="s">
        <v>2665</v>
      </c>
      <c r="S694" t="s">
        <v>2781</v>
      </c>
      <c r="T694" t="s">
        <v>2922</v>
      </c>
      <c r="U694" t="s">
        <v>2665</v>
      </c>
      <c r="V694" t="s">
        <v>3629</v>
      </c>
      <c r="W694" t="s">
        <v>3630</v>
      </c>
      <c r="X694" t="s">
        <v>2665</v>
      </c>
      <c r="Y694" t="s">
        <v>2054</v>
      </c>
      <c r="Z694" t="s">
        <v>1179</v>
      </c>
      <c r="AA694" t="s">
        <v>2959</v>
      </c>
      <c r="AB694" t="s">
        <v>2959</v>
      </c>
      <c r="AC694" t="s">
        <v>2665</v>
      </c>
      <c r="AD694" t="s">
        <v>2054</v>
      </c>
      <c r="AE694" t="s">
        <v>2054</v>
      </c>
    </row>
    <row r="695" spans="1:31" x14ac:dyDescent="0.25">
      <c r="A695" t="s">
        <v>728</v>
      </c>
      <c r="B695" t="s">
        <v>706</v>
      </c>
      <c r="C695" t="s">
        <v>4023</v>
      </c>
      <c r="D695" t="s">
        <v>717</v>
      </c>
      <c r="E695" t="s">
        <v>2666</v>
      </c>
      <c r="F695" t="s">
        <v>4024</v>
      </c>
      <c r="G695" t="s">
        <v>2666</v>
      </c>
      <c r="H695" t="s">
        <v>2054</v>
      </c>
      <c r="I695" t="s">
        <v>2778</v>
      </c>
      <c r="J695" t="s">
        <v>2054</v>
      </c>
      <c r="K695" t="s">
        <v>2665</v>
      </c>
      <c r="L695" t="s">
        <v>1179</v>
      </c>
      <c r="M695" t="s">
        <v>2878</v>
      </c>
      <c r="N695" t="s">
        <v>2665</v>
      </c>
      <c r="O695" t="s">
        <v>3576</v>
      </c>
      <c r="P695" t="s">
        <v>2898</v>
      </c>
      <c r="Q695" t="s">
        <v>3617</v>
      </c>
      <c r="R695" t="s">
        <v>2665</v>
      </c>
      <c r="S695" t="s">
        <v>2781</v>
      </c>
      <c r="T695" t="s">
        <v>2922</v>
      </c>
      <c r="U695" t="s">
        <v>2665</v>
      </c>
      <c r="V695" t="s">
        <v>3629</v>
      </c>
      <c r="W695" t="s">
        <v>3630</v>
      </c>
      <c r="X695" t="s">
        <v>2665</v>
      </c>
      <c r="Y695" t="s">
        <v>2054</v>
      </c>
      <c r="Z695" t="s">
        <v>1179</v>
      </c>
      <c r="AA695" t="s">
        <v>2791</v>
      </c>
      <c r="AB695" t="s">
        <v>2791</v>
      </c>
      <c r="AC695" t="s">
        <v>2665</v>
      </c>
      <c r="AD695" t="s">
        <v>2054</v>
      </c>
      <c r="AE695" t="s">
        <v>2054</v>
      </c>
    </row>
    <row r="696" spans="1:31" x14ac:dyDescent="0.25">
      <c r="A696" t="s">
        <v>729</v>
      </c>
      <c r="B696" t="s">
        <v>707</v>
      </c>
      <c r="C696" t="s">
        <v>4025</v>
      </c>
      <c r="D696" t="s">
        <v>718</v>
      </c>
      <c r="E696" t="s">
        <v>2666</v>
      </c>
      <c r="F696" t="s">
        <v>3039</v>
      </c>
      <c r="G696" t="s">
        <v>2666</v>
      </c>
      <c r="H696" t="s">
        <v>2054</v>
      </c>
      <c r="I696" t="s">
        <v>2778</v>
      </c>
      <c r="J696" t="s">
        <v>2054</v>
      </c>
      <c r="K696" t="s">
        <v>2665</v>
      </c>
      <c r="L696" t="s">
        <v>1179</v>
      </c>
      <c r="M696" t="s">
        <v>2878</v>
      </c>
      <c r="N696" t="s">
        <v>2665</v>
      </c>
      <c r="O696" t="s">
        <v>3576</v>
      </c>
      <c r="P696" t="s">
        <v>2898</v>
      </c>
      <c r="Q696" t="s">
        <v>3617</v>
      </c>
      <c r="R696" t="s">
        <v>2665</v>
      </c>
      <c r="S696" t="s">
        <v>2781</v>
      </c>
      <c r="T696" t="s">
        <v>2922</v>
      </c>
      <c r="U696" t="s">
        <v>2665</v>
      </c>
      <c r="V696" t="s">
        <v>3629</v>
      </c>
      <c r="W696" t="s">
        <v>3630</v>
      </c>
      <c r="X696" t="s">
        <v>2665</v>
      </c>
      <c r="Y696" t="s">
        <v>2054</v>
      </c>
      <c r="Z696" t="s">
        <v>1179</v>
      </c>
      <c r="AA696" t="s">
        <v>2791</v>
      </c>
      <c r="AB696" t="s">
        <v>2791</v>
      </c>
      <c r="AC696" t="s">
        <v>2665</v>
      </c>
      <c r="AD696" t="s">
        <v>2054</v>
      </c>
      <c r="AE696" t="s">
        <v>2054</v>
      </c>
    </row>
    <row r="697" spans="1:31" x14ac:dyDescent="0.25">
      <c r="A697" t="s">
        <v>1787</v>
      </c>
      <c r="B697" t="s">
        <v>921</v>
      </c>
      <c r="C697" t="s">
        <v>4026</v>
      </c>
      <c r="D697" t="s">
        <v>4027</v>
      </c>
      <c r="E697" t="s">
        <v>2666</v>
      </c>
      <c r="F697" t="s">
        <v>3610</v>
      </c>
      <c r="G697" t="s">
        <v>2666</v>
      </c>
      <c r="H697" t="s">
        <v>2054</v>
      </c>
      <c r="I697" t="s">
        <v>2778</v>
      </c>
      <c r="J697" t="s">
        <v>2054</v>
      </c>
      <c r="K697" t="s">
        <v>2665</v>
      </c>
      <c r="L697" t="s">
        <v>1179</v>
      </c>
      <c r="M697" t="s">
        <v>2878</v>
      </c>
      <c r="N697" t="s">
        <v>2665</v>
      </c>
      <c r="O697" t="s">
        <v>3576</v>
      </c>
      <c r="P697" t="s">
        <v>2898</v>
      </c>
      <c r="Q697" t="s">
        <v>3617</v>
      </c>
      <c r="R697" t="s">
        <v>2665</v>
      </c>
      <c r="S697" t="s">
        <v>2781</v>
      </c>
      <c r="T697" t="s">
        <v>2922</v>
      </c>
      <c r="U697" t="s">
        <v>2665</v>
      </c>
      <c r="V697" t="s">
        <v>3875</v>
      </c>
      <c r="W697" t="s">
        <v>3876</v>
      </c>
      <c r="X697" t="s">
        <v>2665</v>
      </c>
      <c r="Y697" t="s">
        <v>2054</v>
      </c>
      <c r="Z697" t="s">
        <v>1179</v>
      </c>
      <c r="AA697" t="s">
        <v>2797</v>
      </c>
      <c r="AB697" t="s">
        <v>2797</v>
      </c>
      <c r="AC697" t="s">
        <v>2665</v>
      </c>
      <c r="AD697" t="s">
        <v>2054</v>
      </c>
      <c r="AE697" t="s">
        <v>2054</v>
      </c>
    </row>
    <row r="698" spans="1:31" x14ac:dyDescent="0.25">
      <c r="A698" t="s">
        <v>1789</v>
      </c>
      <c r="B698" t="s">
        <v>1788</v>
      </c>
      <c r="C698" t="s">
        <v>4028</v>
      </c>
      <c r="D698" t="s">
        <v>1788</v>
      </c>
      <c r="E698" t="s">
        <v>2666</v>
      </c>
      <c r="F698" t="s">
        <v>4029</v>
      </c>
      <c r="G698" t="s">
        <v>2666</v>
      </c>
      <c r="H698" t="s">
        <v>2054</v>
      </c>
      <c r="I698" t="s">
        <v>2778</v>
      </c>
      <c r="J698" t="s">
        <v>2054</v>
      </c>
      <c r="K698" t="s">
        <v>2665</v>
      </c>
      <c r="L698" t="s">
        <v>1179</v>
      </c>
      <c r="M698" t="s">
        <v>2875</v>
      </c>
      <c r="N698" t="s">
        <v>2665</v>
      </c>
      <c r="O698" t="s">
        <v>2876</v>
      </c>
      <c r="P698" t="s">
        <v>2910</v>
      </c>
      <c r="Q698" t="s">
        <v>3758</v>
      </c>
      <c r="R698" t="s">
        <v>2665</v>
      </c>
      <c r="S698" t="s">
        <v>2779</v>
      </c>
      <c r="T698" t="s">
        <v>2780</v>
      </c>
      <c r="U698" t="s">
        <v>2665</v>
      </c>
      <c r="V698" t="s">
        <v>3629</v>
      </c>
      <c r="W698" t="s">
        <v>3630</v>
      </c>
      <c r="X698" t="s">
        <v>2665</v>
      </c>
      <c r="Y698" t="s">
        <v>2054</v>
      </c>
      <c r="Z698" t="s">
        <v>1179</v>
      </c>
      <c r="AA698" t="s">
        <v>3820</v>
      </c>
      <c r="AB698" t="s">
        <v>3820</v>
      </c>
      <c r="AC698" t="s">
        <v>2665</v>
      </c>
      <c r="AD698" t="s">
        <v>2054</v>
      </c>
      <c r="AE698" t="s">
        <v>2054</v>
      </c>
    </row>
    <row r="699" spans="1:31" x14ac:dyDescent="0.25">
      <c r="A699" t="s">
        <v>1791</v>
      </c>
      <c r="B699" t="s">
        <v>1790</v>
      </c>
      <c r="C699" t="s">
        <v>4030</v>
      </c>
      <c r="D699" t="s">
        <v>1790</v>
      </c>
      <c r="E699" t="s">
        <v>2666</v>
      </c>
      <c r="F699" t="s">
        <v>3314</v>
      </c>
      <c r="G699" t="s">
        <v>2666</v>
      </c>
      <c r="H699" t="s">
        <v>2054</v>
      </c>
      <c r="I699" t="s">
        <v>2778</v>
      </c>
      <c r="J699" t="s">
        <v>2054</v>
      </c>
      <c r="K699" t="s">
        <v>2665</v>
      </c>
      <c r="L699" t="s">
        <v>1179</v>
      </c>
      <c r="M699" t="s">
        <v>2875</v>
      </c>
      <c r="N699" t="s">
        <v>2665</v>
      </c>
      <c r="O699" t="s">
        <v>2876</v>
      </c>
      <c r="P699" t="s">
        <v>2898</v>
      </c>
      <c r="Q699" t="s">
        <v>3617</v>
      </c>
      <c r="R699" t="s">
        <v>2665</v>
      </c>
      <c r="S699" t="s">
        <v>2779</v>
      </c>
      <c r="T699" t="s">
        <v>2780</v>
      </c>
      <c r="U699" t="s">
        <v>2665</v>
      </c>
      <c r="V699" t="s">
        <v>3629</v>
      </c>
      <c r="W699" t="s">
        <v>3630</v>
      </c>
      <c r="X699" t="s">
        <v>2665</v>
      </c>
      <c r="Y699" t="s">
        <v>2054</v>
      </c>
      <c r="Z699" t="s">
        <v>1179</v>
      </c>
      <c r="AA699" t="s">
        <v>2791</v>
      </c>
      <c r="AB699" t="s">
        <v>2791</v>
      </c>
      <c r="AC699" t="s">
        <v>2665</v>
      </c>
      <c r="AD699" t="s">
        <v>2054</v>
      </c>
      <c r="AE699" t="s">
        <v>2054</v>
      </c>
    </row>
    <row r="700" spans="1:31" x14ac:dyDescent="0.25">
      <c r="A700" t="s">
        <v>1793</v>
      </c>
      <c r="B700" t="s">
        <v>1792</v>
      </c>
      <c r="C700" t="s">
        <v>4031</v>
      </c>
      <c r="D700" t="s">
        <v>1792</v>
      </c>
      <c r="E700" t="s">
        <v>2666</v>
      </c>
      <c r="F700" t="s">
        <v>3522</v>
      </c>
      <c r="G700" t="s">
        <v>2666</v>
      </c>
      <c r="H700" t="s">
        <v>2054</v>
      </c>
      <c r="I700" t="s">
        <v>2778</v>
      </c>
      <c r="J700" t="s">
        <v>2054</v>
      </c>
      <c r="K700" t="s">
        <v>2665</v>
      </c>
      <c r="L700" t="s">
        <v>1179</v>
      </c>
      <c r="M700" t="s">
        <v>2875</v>
      </c>
      <c r="N700" t="s">
        <v>2665</v>
      </c>
      <c r="O700" t="s">
        <v>2876</v>
      </c>
      <c r="P700" t="s">
        <v>2910</v>
      </c>
      <c r="Q700" t="s">
        <v>3758</v>
      </c>
      <c r="R700" t="s">
        <v>2665</v>
      </c>
      <c r="S700" t="s">
        <v>2779</v>
      </c>
      <c r="T700" t="s">
        <v>2780</v>
      </c>
      <c r="U700" t="s">
        <v>2665</v>
      </c>
      <c r="V700" t="s">
        <v>3629</v>
      </c>
      <c r="W700" t="s">
        <v>3630</v>
      </c>
      <c r="X700" t="s">
        <v>2665</v>
      </c>
      <c r="Y700" t="s">
        <v>2054</v>
      </c>
      <c r="Z700" t="s">
        <v>1179</v>
      </c>
      <c r="AA700" t="s">
        <v>2795</v>
      </c>
      <c r="AB700" t="s">
        <v>2795</v>
      </c>
      <c r="AC700" t="s">
        <v>2665</v>
      </c>
      <c r="AD700" t="s">
        <v>2054</v>
      </c>
      <c r="AE700" t="s">
        <v>2054</v>
      </c>
    </row>
    <row r="701" spans="1:31" x14ac:dyDescent="0.25">
      <c r="A701" t="s">
        <v>1795</v>
      </c>
      <c r="B701" t="s">
        <v>1794</v>
      </c>
      <c r="C701" t="s">
        <v>4032</v>
      </c>
      <c r="D701" t="s">
        <v>1794</v>
      </c>
      <c r="E701" t="s">
        <v>2666</v>
      </c>
      <c r="F701" t="s">
        <v>2805</v>
      </c>
      <c r="G701" t="s">
        <v>2666</v>
      </c>
      <c r="H701" t="s">
        <v>2054</v>
      </c>
      <c r="I701" t="s">
        <v>2778</v>
      </c>
      <c r="J701" t="s">
        <v>2054</v>
      </c>
      <c r="K701" t="s">
        <v>2665</v>
      </c>
      <c r="L701" t="s">
        <v>1179</v>
      </c>
      <c r="M701" t="s">
        <v>2875</v>
      </c>
      <c r="N701" t="s">
        <v>2665</v>
      </c>
      <c r="O701" t="s">
        <v>2876</v>
      </c>
      <c r="P701" t="s">
        <v>2910</v>
      </c>
      <c r="Q701" t="s">
        <v>3758</v>
      </c>
      <c r="R701" t="s">
        <v>2665</v>
      </c>
      <c r="S701" t="s">
        <v>2779</v>
      </c>
      <c r="T701" t="s">
        <v>2780</v>
      </c>
      <c r="U701" t="s">
        <v>2665</v>
      </c>
      <c r="V701" t="s">
        <v>3629</v>
      </c>
      <c r="W701" t="s">
        <v>3630</v>
      </c>
      <c r="X701" t="s">
        <v>2665</v>
      </c>
      <c r="Y701" t="s">
        <v>2054</v>
      </c>
      <c r="Z701" t="s">
        <v>1179</v>
      </c>
      <c r="AA701" t="s">
        <v>2795</v>
      </c>
      <c r="AB701" t="s">
        <v>2795</v>
      </c>
      <c r="AC701" t="s">
        <v>2665</v>
      </c>
      <c r="AD701" t="s">
        <v>2054</v>
      </c>
      <c r="AE701" t="s">
        <v>2054</v>
      </c>
    </row>
    <row r="702" spans="1:31" x14ac:dyDescent="0.25">
      <c r="A702" t="s">
        <v>1797</v>
      </c>
      <c r="B702" t="s">
        <v>1796</v>
      </c>
      <c r="C702" t="s">
        <v>4033</v>
      </c>
      <c r="D702" t="s">
        <v>1796</v>
      </c>
      <c r="E702" t="s">
        <v>2666</v>
      </c>
      <c r="F702" t="s">
        <v>4034</v>
      </c>
      <c r="G702" t="s">
        <v>2666</v>
      </c>
      <c r="H702" t="s">
        <v>2054</v>
      </c>
      <c r="I702" t="s">
        <v>2778</v>
      </c>
      <c r="J702" t="s">
        <v>2054</v>
      </c>
      <c r="K702" t="s">
        <v>2665</v>
      </c>
      <c r="L702" t="s">
        <v>1179</v>
      </c>
      <c r="M702" t="s">
        <v>2875</v>
      </c>
      <c r="N702" t="s">
        <v>2665</v>
      </c>
      <c r="O702" t="s">
        <v>2876</v>
      </c>
      <c r="P702" t="s">
        <v>2910</v>
      </c>
      <c r="Q702" t="s">
        <v>3758</v>
      </c>
      <c r="R702" t="s">
        <v>2665</v>
      </c>
      <c r="S702" t="s">
        <v>2779</v>
      </c>
      <c r="T702" t="s">
        <v>2780</v>
      </c>
      <c r="U702" t="s">
        <v>2665</v>
      </c>
      <c r="V702" t="s">
        <v>3629</v>
      </c>
      <c r="W702" t="s">
        <v>3630</v>
      </c>
      <c r="X702" t="s">
        <v>2665</v>
      </c>
      <c r="Y702" t="s">
        <v>2054</v>
      </c>
      <c r="Z702" t="s">
        <v>1179</v>
      </c>
      <c r="AA702" t="s">
        <v>2850</v>
      </c>
      <c r="AB702" t="s">
        <v>2850</v>
      </c>
      <c r="AC702" t="s">
        <v>2665</v>
      </c>
      <c r="AD702" t="s">
        <v>2054</v>
      </c>
      <c r="AE702" t="s">
        <v>2054</v>
      </c>
    </row>
    <row r="703" spans="1:31" x14ac:dyDescent="0.25">
      <c r="A703" t="s">
        <v>1799</v>
      </c>
      <c r="B703" t="s">
        <v>1798</v>
      </c>
      <c r="C703" t="s">
        <v>4035</v>
      </c>
      <c r="D703" t="s">
        <v>1798</v>
      </c>
      <c r="E703" t="s">
        <v>2666</v>
      </c>
      <c r="F703" t="s">
        <v>4036</v>
      </c>
      <c r="G703" t="s">
        <v>2666</v>
      </c>
      <c r="H703" t="s">
        <v>2054</v>
      </c>
      <c r="I703" t="s">
        <v>2778</v>
      </c>
      <c r="J703" t="s">
        <v>2054</v>
      </c>
      <c r="K703" t="s">
        <v>2665</v>
      </c>
      <c r="L703" t="s">
        <v>1179</v>
      </c>
      <c r="M703" t="s">
        <v>2875</v>
      </c>
      <c r="N703" t="s">
        <v>2665</v>
      </c>
      <c r="O703" t="s">
        <v>2876</v>
      </c>
      <c r="P703" t="s">
        <v>2910</v>
      </c>
      <c r="Q703" t="s">
        <v>3758</v>
      </c>
      <c r="R703" t="s">
        <v>2665</v>
      </c>
      <c r="S703" t="s">
        <v>2779</v>
      </c>
      <c r="T703" t="s">
        <v>2780</v>
      </c>
      <c r="U703" t="s">
        <v>2665</v>
      </c>
      <c r="V703" t="s">
        <v>3629</v>
      </c>
      <c r="W703" t="s">
        <v>3630</v>
      </c>
      <c r="X703" t="s">
        <v>2665</v>
      </c>
      <c r="Y703" t="s">
        <v>2054</v>
      </c>
      <c r="Z703" t="s">
        <v>1179</v>
      </c>
      <c r="AA703" t="s">
        <v>4037</v>
      </c>
      <c r="AB703" t="s">
        <v>4037</v>
      </c>
      <c r="AC703" t="s">
        <v>2665</v>
      </c>
      <c r="AD703" t="s">
        <v>2054</v>
      </c>
      <c r="AE703" t="s">
        <v>2054</v>
      </c>
    </row>
    <row r="704" spans="1:31" x14ac:dyDescent="0.25">
      <c r="A704" t="s">
        <v>1801</v>
      </c>
      <c r="B704" t="s">
        <v>1800</v>
      </c>
      <c r="C704" t="s">
        <v>4038</v>
      </c>
      <c r="D704" t="s">
        <v>1800</v>
      </c>
      <c r="E704" t="s">
        <v>2666</v>
      </c>
      <c r="F704" t="s">
        <v>4039</v>
      </c>
      <c r="G704" t="s">
        <v>2666</v>
      </c>
      <c r="H704" t="s">
        <v>2054</v>
      </c>
      <c r="I704" t="s">
        <v>2778</v>
      </c>
      <c r="J704" t="s">
        <v>2054</v>
      </c>
      <c r="K704" t="s">
        <v>2665</v>
      </c>
      <c r="L704" t="s">
        <v>1179</v>
      </c>
      <c r="M704" t="s">
        <v>2875</v>
      </c>
      <c r="N704" t="s">
        <v>2665</v>
      </c>
      <c r="O704" t="s">
        <v>2876</v>
      </c>
      <c r="P704" t="s">
        <v>2910</v>
      </c>
      <c r="Q704" t="s">
        <v>3758</v>
      </c>
      <c r="R704" t="s">
        <v>2665</v>
      </c>
      <c r="S704" t="s">
        <v>2779</v>
      </c>
      <c r="T704" t="s">
        <v>2780</v>
      </c>
      <c r="U704" t="s">
        <v>2665</v>
      </c>
      <c r="V704" t="s">
        <v>3629</v>
      </c>
      <c r="W704" t="s">
        <v>3630</v>
      </c>
      <c r="X704" t="s">
        <v>2665</v>
      </c>
      <c r="Y704" t="s">
        <v>2054</v>
      </c>
      <c r="Z704" t="s">
        <v>1179</v>
      </c>
      <c r="AA704" t="s">
        <v>2959</v>
      </c>
      <c r="AB704" t="s">
        <v>2959</v>
      </c>
      <c r="AC704" t="s">
        <v>2665</v>
      </c>
      <c r="AD704" t="s">
        <v>2054</v>
      </c>
      <c r="AE704" t="s">
        <v>2054</v>
      </c>
    </row>
    <row r="705" spans="1:31" x14ac:dyDescent="0.25">
      <c r="A705" t="s">
        <v>1803</v>
      </c>
      <c r="B705" t="s">
        <v>1802</v>
      </c>
      <c r="C705" t="s">
        <v>4040</v>
      </c>
      <c r="D705" t="s">
        <v>1802</v>
      </c>
      <c r="E705" t="s">
        <v>2666</v>
      </c>
      <c r="F705" t="s">
        <v>2756</v>
      </c>
      <c r="G705" t="s">
        <v>2666</v>
      </c>
      <c r="H705" t="s">
        <v>2054</v>
      </c>
      <c r="I705" t="s">
        <v>2778</v>
      </c>
      <c r="J705" t="s">
        <v>2054</v>
      </c>
      <c r="K705" t="s">
        <v>2665</v>
      </c>
      <c r="L705" t="s">
        <v>1179</v>
      </c>
      <c r="M705" t="s">
        <v>2875</v>
      </c>
      <c r="N705" t="s">
        <v>2665</v>
      </c>
      <c r="O705" t="s">
        <v>2876</v>
      </c>
      <c r="P705" t="s">
        <v>2910</v>
      </c>
      <c r="Q705" t="s">
        <v>3758</v>
      </c>
      <c r="R705" t="s">
        <v>2665</v>
      </c>
      <c r="S705" t="s">
        <v>2779</v>
      </c>
      <c r="T705" t="s">
        <v>2780</v>
      </c>
      <c r="U705" t="s">
        <v>2665</v>
      </c>
      <c r="V705" t="s">
        <v>3629</v>
      </c>
      <c r="W705" t="s">
        <v>3630</v>
      </c>
      <c r="X705" t="s">
        <v>2665</v>
      </c>
      <c r="Y705" t="s">
        <v>2054</v>
      </c>
      <c r="Z705" t="s">
        <v>1179</v>
      </c>
      <c r="AA705" t="s">
        <v>2959</v>
      </c>
      <c r="AB705" t="s">
        <v>2959</v>
      </c>
      <c r="AC705" t="s">
        <v>2665</v>
      </c>
      <c r="AD705" t="s">
        <v>2054</v>
      </c>
      <c r="AE705" t="s">
        <v>2054</v>
      </c>
    </row>
    <row r="706" spans="1:31" x14ac:dyDescent="0.25">
      <c r="A706" t="s">
        <v>1805</v>
      </c>
      <c r="B706" t="s">
        <v>1804</v>
      </c>
      <c r="C706" t="s">
        <v>4041</v>
      </c>
      <c r="D706" t="s">
        <v>1804</v>
      </c>
      <c r="E706" t="s">
        <v>2666</v>
      </c>
      <c r="F706" t="s">
        <v>4042</v>
      </c>
      <c r="G706" t="s">
        <v>2666</v>
      </c>
      <c r="H706" t="s">
        <v>2054</v>
      </c>
      <c r="I706" t="s">
        <v>2778</v>
      </c>
      <c r="J706" t="s">
        <v>2054</v>
      </c>
      <c r="K706" t="s">
        <v>2665</v>
      </c>
      <c r="L706" t="s">
        <v>1179</v>
      </c>
      <c r="M706" t="s">
        <v>2875</v>
      </c>
      <c r="N706" t="s">
        <v>2665</v>
      </c>
      <c r="O706" t="s">
        <v>2876</v>
      </c>
      <c r="P706" t="s">
        <v>2910</v>
      </c>
      <c r="Q706" t="s">
        <v>3758</v>
      </c>
      <c r="R706" t="s">
        <v>2665</v>
      </c>
      <c r="S706" t="s">
        <v>2779</v>
      </c>
      <c r="T706" t="s">
        <v>2780</v>
      </c>
      <c r="U706" t="s">
        <v>2665</v>
      </c>
      <c r="V706" t="s">
        <v>3629</v>
      </c>
      <c r="W706" t="s">
        <v>3630</v>
      </c>
      <c r="X706" t="s">
        <v>2665</v>
      </c>
      <c r="Y706" t="s">
        <v>2054</v>
      </c>
      <c r="Z706" t="s">
        <v>1179</v>
      </c>
      <c r="AA706" t="s">
        <v>4037</v>
      </c>
      <c r="AB706" t="s">
        <v>4037</v>
      </c>
      <c r="AC706" t="s">
        <v>2665</v>
      </c>
      <c r="AD706" t="s">
        <v>2054</v>
      </c>
      <c r="AE706" t="s">
        <v>2054</v>
      </c>
    </row>
    <row r="707" spans="1:31" x14ac:dyDescent="0.25">
      <c r="A707" t="s">
        <v>1807</v>
      </c>
      <c r="B707" t="s">
        <v>1806</v>
      </c>
      <c r="C707" t="s">
        <v>4043</v>
      </c>
      <c r="D707" t="s">
        <v>1806</v>
      </c>
      <c r="E707" t="s">
        <v>2666</v>
      </c>
      <c r="F707" t="s">
        <v>4044</v>
      </c>
      <c r="G707" t="s">
        <v>2666</v>
      </c>
      <c r="H707" t="s">
        <v>2054</v>
      </c>
      <c r="I707" t="s">
        <v>2778</v>
      </c>
      <c r="J707" t="s">
        <v>2054</v>
      </c>
      <c r="K707" t="s">
        <v>2665</v>
      </c>
      <c r="L707" t="s">
        <v>1179</v>
      </c>
      <c r="M707" t="s">
        <v>2875</v>
      </c>
      <c r="N707" t="s">
        <v>2665</v>
      </c>
      <c r="O707" t="s">
        <v>2876</v>
      </c>
      <c r="P707" t="s">
        <v>2910</v>
      </c>
      <c r="Q707" t="s">
        <v>3758</v>
      </c>
      <c r="R707" t="s">
        <v>2665</v>
      </c>
      <c r="S707" t="s">
        <v>2779</v>
      </c>
      <c r="T707" t="s">
        <v>2780</v>
      </c>
      <c r="U707" t="s">
        <v>2665</v>
      </c>
      <c r="V707" t="s">
        <v>3629</v>
      </c>
      <c r="W707" t="s">
        <v>3630</v>
      </c>
      <c r="X707" t="s">
        <v>2665</v>
      </c>
      <c r="Y707" t="s">
        <v>2054</v>
      </c>
      <c r="Z707" t="s">
        <v>1179</v>
      </c>
      <c r="AA707" t="s">
        <v>2959</v>
      </c>
      <c r="AB707" t="s">
        <v>2959</v>
      </c>
      <c r="AC707" t="s">
        <v>2665</v>
      </c>
      <c r="AD707" t="s">
        <v>2054</v>
      </c>
      <c r="AE707" t="s">
        <v>2054</v>
      </c>
    </row>
    <row r="708" spans="1:31" x14ac:dyDescent="0.25">
      <c r="A708" t="s">
        <v>1809</v>
      </c>
      <c r="B708" t="s">
        <v>1808</v>
      </c>
      <c r="C708" t="s">
        <v>4045</v>
      </c>
      <c r="D708" t="s">
        <v>1808</v>
      </c>
      <c r="E708" t="s">
        <v>2666</v>
      </c>
      <c r="F708" t="s">
        <v>4046</v>
      </c>
      <c r="G708" t="s">
        <v>2666</v>
      </c>
      <c r="H708" t="s">
        <v>2054</v>
      </c>
      <c r="I708" t="s">
        <v>2778</v>
      </c>
      <c r="J708" t="s">
        <v>2054</v>
      </c>
      <c r="K708" t="s">
        <v>2665</v>
      </c>
      <c r="L708" t="s">
        <v>1179</v>
      </c>
      <c r="M708" t="s">
        <v>2875</v>
      </c>
      <c r="N708" t="s">
        <v>2665</v>
      </c>
      <c r="O708" t="s">
        <v>2876</v>
      </c>
      <c r="P708" t="s">
        <v>2910</v>
      </c>
      <c r="Q708" t="s">
        <v>3758</v>
      </c>
      <c r="R708" t="s">
        <v>2665</v>
      </c>
      <c r="S708" t="s">
        <v>2779</v>
      </c>
      <c r="T708" t="s">
        <v>2780</v>
      </c>
      <c r="U708" t="s">
        <v>2665</v>
      </c>
      <c r="V708" t="s">
        <v>3629</v>
      </c>
      <c r="W708" t="s">
        <v>3630</v>
      </c>
      <c r="X708" t="s">
        <v>2665</v>
      </c>
      <c r="Y708" t="s">
        <v>2054</v>
      </c>
      <c r="Z708" t="s">
        <v>1179</v>
      </c>
      <c r="AA708" t="s">
        <v>4037</v>
      </c>
      <c r="AB708" t="s">
        <v>4037</v>
      </c>
      <c r="AC708" t="s">
        <v>2665</v>
      </c>
      <c r="AD708" t="s">
        <v>2054</v>
      </c>
      <c r="AE708" t="s">
        <v>2054</v>
      </c>
    </row>
    <row r="709" spans="1:31" x14ac:dyDescent="0.25">
      <c r="A709" t="s">
        <v>1811</v>
      </c>
      <c r="B709" t="s">
        <v>1810</v>
      </c>
      <c r="C709" t="s">
        <v>4047</v>
      </c>
      <c r="D709" t="s">
        <v>1810</v>
      </c>
      <c r="E709" t="s">
        <v>2666</v>
      </c>
      <c r="F709" t="s">
        <v>2962</v>
      </c>
      <c r="G709" t="s">
        <v>2666</v>
      </c>
      <c r="H709" t="s">
        <v>2054</v>
      </c>
      <c r="I709" t="s">
        <v>2778</v>
      </c>
      <c r="J709" t="s">
        <v>2054</v>
      </c>
      <c r="K709" t="s">
        <v>2665</v>
      </c>
      <c r="L709" t="s">
        <v>1179</v>
      </c>
      <c r="M709" t="s">
        <v>2875</v>
      </c>
      <c r="N709" t="s">
        <v>2665</v>
      </c>
      <c r="O709" t="s">
        <v>2876</v>
      </c>
      <c r="P709" t="s">
        <v>2910</v>
      </c>
      <c r="Q709" t="s">
        <v>3758</v>
      </c>
      <c r="R709" t="s">
        <v>2665</v>
      </c>
      <c r="S709" t="s">
        <v>2779</v>
      </c>
      <c r="T709" t="s">
        <v>2780</v>
      </c>
      <c r="U709" t="s">
        <v>2665</v>
      </c>
      <c r="V709" t="s">
        <v>3629</v>
      </c>
      <c r="W709" t="s">
        <v>3630</v>
      </c>
      <c r="X709" t="s">
        <v>2665</v>
      </c>
      <c r="Y709" t="s">
        <v>2054</v>
      </c>
      <c r="Z709" t="s">
        <v>1179</v>
      </c>
      <c r="AA709" t="s">
        <v>2959</v>
      </c>
      <c r="AB709" t="s">
        <v>2959</v>
      </c>
      <c r="AC709" t="s">
        <v>2665</v>
      </c>
      <c r="AD709" t="s">
        <v>2054</v>
      </c>
      <c r="AE709" t="s">
        <v>2054</v>
      </c>
    </row>
    <row r="710" spans="1:31" x14ac:dyDescent="0.25">
      <c r="A710" t="s">
        <v>1813</v>
      </c>
      <c r="B710" t="s">
        <v>1812</v>
      </c>
      <c r="C710" t="s">
        <v>4048</v>
      </c>
      <c r="D710" t="s">
        <v>1812</v>
      </c>
      <c r="E710" t="s">
        <v>2666</v>
      </c>
      <c r="F710" t="s">
        <v>3658</v>
      </c>
      <c r="G710" t="s">
        <v>2666</v>
      </c>
      <c r="H710" t="s">
        <v>2054</v>
      </c>
      <c r="I710" t="s">
        <v>2778</v>
      </c>
      <c r="J710" t="s">
        <v>2054</v>
      </c>
      <c r="K710" t="s">
        <v>2665</v>
      </c>
      <c r="L710" t="s">
        <v>1179</v>
      </c>
      <c r="M710" t="s">
        <v>2875</v>
      </c>
      <c r="N710" t="s">
        <v>2665</v>
      </c>
      <c r="O710" t="s">
        <v>2876</v>
      </c>
      <c r="P710" t="s">
        <v>2910</v>
      </c>
      <c r="Q710" t="s">
        <v>3758</v>
      </c>
      <c r="R710" t="s">
        <v>2665</v>
      </c>
      <c r="S710" t="s">
        <v>2779</v>
      </c>
      <c r="T710" t="s">
        <v>2780</v>
      </c>
      <c r="U710" t="s">
        <v>2665</v>
      </c>
      <c r="V710" t="s">
        <v>3629</v>
      </c>
      <c r="W710" t="s">
        <v>3630</v>
      </c>
      <c r="X710" t="s">
        <v>2665</v>
      </c>
      <c r="Y710" t="s">
        <v>2054</v>
      </c>
      <c r="Z710" t="s">
        <v>1179</v>
      </c>
      <c r="AA710" t="s">
        <v>2797</v>
      </c>
      <c r="AB710" t="s">
        <v>2797</v>
      </c>
      <c r="AC710" t="s">
        <v>2665</v>
      </c>
      <c r="AD710" t="s">
        <v>2054</v>
      </c>
      <c r="AE710" t="s">
        <v>2054</v>
      </c>
    </row>
    <row r="711" spans="1:31" x14ac:dyDescent="0.25">
      <c r="A711" t="s">
        <v>1815</v>
      </c>
      <c r="B711" t="s">
        <v>1814</v>
      </c>
      <c r="C711" t="s">
        <v>4049</v>
      </c>
      <c r="D711" t="s">
        <v>1814</v>
      </c>
      <c r="E711" t="s">
        <v>2666</v>
      </c>
      <c r="F711" t="s">
        <v>4050</v>
      </c>
      <c r="G711" t="s">
        <v>2666</v>
      </c>
      <c r="H711" t="s">
        <v>2054</v>
      </c>
      <c r="I711" t="s">
        <v>2778</v>
      </c>
      <c r="J711" t="s">
        <v>2054</v>
      </c>
      <c r="K711" t="s">
        <v>2665</v>
      </c>
      <c r="L711" t="s">
        <v>1179</v>
      </c>
      <c r="M711" t="s">
        <v>2875</v>
      </c>
      <c r="N711" t="s">
        <v>2665</v>
      </c>
      <c r="O711" t="s">
        <v>2876</v>
      </c>
      <c r="P711" t="s">
        <v>2910</v>
      </c>
      <c r="Q711" t="s">
        <v>3758</v>
      </c>
      <c r="R711" t="s">
        <v>2665</v>
      </c>
      <c r="S711" t="s">
        <v>2779</v>
      </c>
      <c r="T711" t="s">
        <v>2780</v>
      </c>
      <c r="U711" t="s">
        <v>2665</v>
      </c>
      <c r="V711" t="s">
        <v>3629</v>
      </c>
      <c r="W711" t="s">
        <v>3630</v>
      </c>
      <c r="X711" t="s">
        <v>2665</v>
      </c>
      <c r="Y711" t="s">
        <v>2054</v>
      </c>
      <c r="Z711" t="s">
        <v>1179</v>
      </c>
      <c r="AA711" t="s">
        <v>3742</v>
      </c>
      <c r="AB711" t="s">
        <v>3742</v>
      </c>
      <c r="AC711" t="s">
        <v>2665</v>
      </c>
      <c r="AD711" t="s">
        <v>2054</v>
      </c>
      <c r="AE711" t="s">
        <v>2054</v>
      </c>
    </row>
    <row r="712" spans="1:31" x14ac:dyDescent="0.25">
      <c r="A712" t="s">
        <v>1817</v>
      </c>
      <c r="B712" t="s">
        <v>1816</v>
      </c>
      <c r="C712" t="s">
        <v>4051</v>
      </c>
      <c r="D712" t="s">
        <v>1816</v>
      </c>
      <c r="E712" t="s">
        <v>2666</v>
      </c>
      <c r="F712" t="s">
        <v>4052</v>
      </c>
      <c r="G712" t="s">
        <v>2666</v>
      </c>
      <c r="H712" t="s">
        <v>2054</v>
      </c>
      <c r="I712" t="s">
        <v>2778</v>
      </c>
      <c r="J712" t="s">
        <v>2054</v>
      </c>
      <c r="K712" t="s">
        <v>2665</v>
      </c>
      <c r="L712" t="s">
        <v>1179</v>
      </c>
      <c r="M712" t="s">
        <v>2875</v>
      </c>
      <c r="N712" t="s">
        <v>2665</v>
      </c>
      <c r="O712" t="s">
        <v>2876</v>
      </c>
      <c r="P712" t="s">
        <v>2910</v>
      </c>
      <c r="Q712" t="s">
        <v>3758</v>
      </c>
      <c r="R712" t="s">
        <v>2665</v>
      </c>
      <c r="S712" t="s">
        <v>2779</v>
      </c>
      <c r="T712" t="s">
        <v>2780</v>
      </c>
      <c r="U712" t="s">
        <v>2665</v>
      </c>
      <c r="V712" t="s">
        <v>3629</v>
      </c>
      <c r="W712" t="s">
        <v>3630</v>
      </c>
      <c r="X712" t="s">
        <v>2665</v>
      </c>
      <c r="Y712" t="s">
        <v>2054</v>
      </c>
      <c r="Z712" t="s">
        <v>1179</v>
      </c>
      <c r="AA712" t="s">
        <v>3742</v>
      </c>
      <c r="AB712" t="s">
        <v>3742</v>
      </c>
      <c r="AC712" t="s">
        <v>2665</v>
      </c>
      <c r="AD712" t="s">
        <v>2054</v>
      </c>
      <c r="AE712" t="s">
        <v>2054</v>
      </c>
    </row>
    <row r="713" spans="1:31" x14ac:dyDescent="0.25">
      <c r="A713" t="s">
        <v>1819</v>
      </c>
      <c r="B713" t="s">
        <v>1818</v>
      </c>
      <c r="C713" t="s">
        <v>4053</v>
      </c>
      <c r="D713" t="s">
        <v>1818</v>
      </c>
      <c r="E713" t="s">
        <v>2666</v>
      </c>
      <c r="F713" t="s">
        <v>3912</v>
      </c>
      <c r="G713" t="s">
        <v>2666</v>
      </c>
      <c r="H713" t="s">
        <v>2054</v>
      </c>
      <c r="I713" t="s">
        <v>2778</v>
      </c>
      <c r="J713" t="s">
        <v>2054</v>
      </c>
      <c r="K713" t="s">
        <v>2665</v>
      </c>
      <c r="L713" t="s">
        <v>1179</v>
      </c>
      <c r="M713" t="s">
        <v>2875</v>
      </c>
      <c r="N713" t="s">
        <v>2665</v>
      </c>
      <c r="O713" t="s">
        <v>2876</v>
      </c>
      <c r="P713" t="s">
        <v>2910</v>
      </c>
      <c r="Q713" t="s">
        <v>3758</v>
      </c>
      <c r="R713" t="s">
        <v>2665</v>
      </c>
      <c r="S713" t="s">
        <v>2779</v>
      </c>
      <c r="T713" t="s">
        <v>2780</v>
      </c>
      <c r="U713" t="s">
        <v>2665</v>
      </c>
      <c r="V713" t="s">
        <v>3629</v>
      </c>
      <c r="W713" t="s">
        <v>3630</v>
      </c>
      <c r="X713" t="s">
        <v>2665</v>
      </c>
      <c r="Y713" t="s">
        <v>2054</v>
      </c>
      <c r="Z713" t="s">
        <v>1179</v>
      </c>
      <c r="AA713" t="s">
        <v>2797</v>
      </c>
      <c r="AB713" t="s">
        <v>2797</v>
      </c>
      <c r="AC713" t="s">
        <v>2665</v>
      </c>
      <c r="AD713" t="s">
        <v>2054</v>
      </c>
      <c r="AE713" t="s">
        <v>2054</v>
      </c>
    </row>
    <row r="714" spans="1:31" x14ac:dyDescent="0.25">
      <c r="A714" t="s">
        <v>1821</v>
      </c>
      <c r="B714" t="s">
        <v>1820</v>
      </c>
      <c r="C714" t="s">
        <v>4054</v>
      </c>
      <c r="D714" t="s">
        <v>1820</v>
      </c>
      <c r="E714" t="s">
        <v>2666</v>
      </c>
      <c r="F714" t="s">
        <v>2929</v>
      </c>
      <c r="G714" t="s">
        <v>2666</v>
      </c>
      <c r="H714" t="s">
        <v>2054</v>
      </c>
      <c r="I714" t="s">
        <v>2778</v>
      </c>
      <c r="J714" t="s">
        <v>2054</v>
      </c>
      <c r="K714" t="s">
        <v>2665</v>
      </c>
      <c r="L714" t="s">
        <v>1179</v>
      </c>
      <c r="M714" t="s">
        <v>2875</v>
      </c>
      <c r="N714" t="s">
        <v>2665</v>
      </c>
      <c r="O714" t="s">
        <v>2876</v>
      </c>
      <c r="P714" t="s">
        <v>2910</v>
      </c>
      <c r="Q714" t="s">
        <v>3758</v>
      </c>
      <c r="R714" t="s">
        <v>2665</v>
      </c>
      <c r="S714" t="s">
        <v>2779</v>
      </c>
      <c r="T714" t="s">
        <v>2780</v>
      </c>
      <c r="U714" t="s">
        <v>2665</v>
      </c>
      <c r="V714" t="s">
        <v>3629</v>
      </c>
      <c r="W714" t="s">
        <v>3630</v>
      </c>
      <c r="X714" t="s">
        <v>2665</v>
      </c>
      <c r="Y714" t="s">
        <v>2054</v>
      </c>
      <c r="Z714" t="s">
        <v>1179</v>
      </c>
      <c r="AA714" t="s">
        <v>2797</v>
      </c>
      <c r="AB714" t="s">
        <v>2797</v>
      </c>
      <c r="AC714" t="s">
        <v>2665</v>
      </c>
      <c r="AD714" t="s">
        <v>2054</v>
      </c>
      <c r="AE714" t="s">
        <v>2054</v>
      </c>
    </row>
    <row r="715" spans="1:31" x14ac:dyDescent="0.25">
      <c r="A715" t="s">
        <v>1823</v>
      </c>
      <c r="B715" t="s">
        <v>1822</v>
      </c>
      <c r="C715" t="s">
        <v>4055</v>
      </c>
      <c r="D715" t="s">
        <v>1822</v>
      </c>
      <c r="E715" t="s">
        <v>2666</v>
      </c>
      <c r="F715" t="s">
        <v>2819</v>
      </c>
      <c r="G715" t="s">
        <v>2666</v>
      </c>
      <c r="H715" t="s">
        <v>2054</v>
      </c>
      <c r="I715" t="s">
        <v>2778</v>
      </c>
      <c r="J715" t="s">
        <v>2054</v>
      </c>
      <c r="K715" t="s">
        <v>2665</v>
      </c>
      <c r="L715" t="s">
        <v>1179</v>
      </c>
      <c r="M715" t="s">
        <v>2875</v>
      </c>
      <c r="N715" t="s">
        <v>2665</v>
      </c>
      <c r="O715" t="s">
        <v>2876</v>
      </c>
      <c r="P715" t="s">
        <v>2827</v>
      </c>
      <c r="Q715" t="s">
        <v>3397</v>
      </c>
      <c r="R715" t="s">
        <v>2665</v>
      </c>
      <c r="S715" t="s">
        <v>2779</v>
      </c>
      <c r="T715" t="s">
        <v>2780</v>
      </c>
      <c r="U715" t="s">
        <v>2665</v>
      </c>
      <c r="V715" t="s">
        <v>3629</v>
      </c>
      <c r="W715" t="s">
        <v>3630</v>
      </c>
      <c r="X715" t="s">
        <v>2665</v>
      </c>
      <c r="Y715" t="s">
        <v>2054</v>
      </c>
      <c r="Z715" t="s">
        <v>1179</v>
      </c>
      <c r="AA715" t="s">
        <v>3742</v>
      </c>
      <c r="AB715" t="s">
        <v>3742</v>
      </c>
      <c r="AC715" t="s">
        <v>2665</v>
      </c>
      <c r="AD715" t="s">
        <v>2054</v>
      </c>
      <c r="AE715" t="s">
        <v>2054</v>
      </c>
    </row>
    <row r="716" spans="1:31" x14ac:dyDescent="0.25">
      <c r="A716" t="s">
        <v>1825</v>
      </c>
      <c r="B716" t="s">
        <v>1824</v>
      </c>
      <c r="C716" t="s">
        <v>4056</v>
      </c>
      <c r="D716" t="s">
        <v>1824</v>
      </c>
      <c r="E716" t="s">
        <v>2666</v>
      </c>
      <c r="F716" t="s">
        <v>4057</v>
      </c>
      <c r="G716" t="s">
        <v>2666</v>
      </c>
      <c r="H716" t="s">
        <v>2054</v>
      </c>
      <c r="I716" t="s">
        <v>2778</v>
      </c>
      <c r="J716" t="s">
        <v>2054</v>
      </c>
      <c r="K716" t="s">
        <v>2665</v>
      </c>
      <c r="L716" t="s">
        <v>1179</v>
      </c>
      <c r="M716" t="s">
        <v>2875</v>
      </c>
      <c r="N716" t="s">
        <v>2665</v>
      </c>
      <c r="O716" t="s">
        <v>2876</v>
      </c>
      <c r="P716" t="s">
        <v>2827</v>
      </c>
      <c r="Q716" t="s">
        <v>3397</v>
      </c>
      <c r="R716" t="s">
        <v>2665</v>
      </c>
      <c r="S716" t="s">
        <v>2779</v>
      </c>
      <c r="T716" t="s">
        <v>2780</v>
      </c>
      <c r="U716" t="s">
        <v>2665</v>
      </c>
      <c r="V716" t="s">
        <v>3629</v>
      </c>
      <c r="W716" t="s">
        <v>3630</v>
      </c>
      <c r="X716" t="s">
        <v>2665</v>
      </c>
      <c r="Y716" t="s">
        <v>2054</v>
      </c>
      <c r="Z716" t="s">
        <v>1179</v>
      </c>
      <c r="AA716" t="s">
        <v>3668</v>
      </c>
      <c r="AB716" t="s">
        <v>3668</v>
      </c>
      <c r="AC716" t="s">
        <v>2665</v>
      </c>
      <c r="AD716" t="s">
        <v>2054</v>
      </c>
      <c r="AE716" t="s">
        <v>2054</v>
      </c>
    </row>
    <row r="717" spans="1:31" x14ac:dyDescent="0.25">
      <c r="A717" t="s">
        <v>1827</v>
      </c>
      <c r="B717" t="s">
        <v>1826</v>
      </c>
      <c r="C717" t="s">
        <v>4058</v>
      </c>
      <c r="D717" t="s">
        <v>1826</v>
      </c>
      <c r="E717" t="s">
        <v>2666</v>
      </c>
      <c r="F717" t="s">
        <v>2971</v>
      </c>
      <c r="G717" t="s">
        <v>2666</v>
      </c>
      <c r="H717" t="s">
        <v>2054</v>
      </c>
      <c r="I717" t="s">
        <v>2778</v>
      </c>
      <c r="J717" t="s">
        <v>2054</v>
      </c>
      <c r="K717" t="s">
        <v>2665</v>
      </c>
      <c r="L717" t="s">
        <v>1179</v>
      </c>
      <c r="M717" t="s">
        <v>2875</v>
      </c>
      <c r="N717" t="s">
        <v>2665</v>
      </c>
      <c r="O717" t="s">
        <v>2876</v>
      </c>
      <c r="P717" t="s">
        <v>2827</v>
      </c>
      <c r="Q717" t="s">
        <v>3397</v>
      </c>
      <c r="R717" t="s">
        <v>2665</v>
      </c>
      <c r="S717" t="s">
        <v>2779</v>
      </c>
      <c r="T717" t="s">
        <v>2780</v>
      </c>
      <c r="U717" t="s">
        <v>2665</v>
      </c>
      <c r="V717" t="s">
        <v>4059</v>
      </c>
      <c r="W717" t="s">
        <v>4060</v>
      </c>
      <c r="X717" t="s">
        <v>2665</v>
      </c>
      <c r="Y717" t="s">
        <v>2054</v>
      </c>
      <c r="Z717" t="s">
        <v>1179</v>
      </c>
      <c r="AA717" t="s">
        <v>2797</v>
      </c>
      <c r="AB717" t="s">
        <v>2797</v>
      </c>
      <c r="AC717" t="s">
        <v>2665</v>
      </c>
      <c r="AD717" t="s">
        <v>2054</v>
      </c>
      <c r="AE717" t="s">
        <v>2054</v>
      </c>
    </row>
    <row r="718" spans="1:31" x14ac:dyDescent="0.25">
      <c r="A718" t="s">
        <v>1829</v>
      </c>
      <c r="B718" t="s">
        <v>1828</v>
      </c>
      <c r="C718" t="s">
        <v>4061</v>
      </c>
      <c r="D718" t="s">
        <v>1828</v>
      </c>
      <c r="E718" t="s">
        <v>2666</v>
      </c>
      <c r="F718" t="s">
        <v>4057</v>
      </c>
      <c r="G718" t="s">
        <v>2666</v>
      </c>
      <c r="H718" t="s">
        <v>2054</v>
      </c>
      <c r="I718" t="s">
        <v>2778</v>
      </c>
      <c r="J718" t="s">
        <v>2054</v>
      </c>
      <c r="K718" t="s">
        <v>2665</v>
      </c>
      <c r="L718" t="s">
        <v>1179</v>
      </c>
      <c r="M718" t="s">
        <v>2875</v>
      </c>
      <c r="N718" t="s">
        <v>2665</v>
      </c>
      <c r="O718" t="s">
        <v>2876</v>
      </c>
      <c r="P718" t="s">
        <v>2827</v>
      </c>
      <c r="Q718" t="s">
        <v>3397</v>
      </c>
      <c r="R718" t="s">
        <v>2665</v>
      </c>
      <c r="S718" t="s">
        <v>2779</v>
      </c>
      <c r="T718" t="s">
        <v>2780</v>
      </c>
      <c r="U718" t="s">
        <v>2665</v>
      </c>
      <c r="V718" t="s">
        <v>4059</v>
      </c>
      <c r="W718" t="s">
        <v>4060</v>
      </c>
      <c r="X718" t="s">
        <v>2665</v>
      </c>
      <c r="Y718" t="s">
        <v>2054</v>
      </c>
      <c r="Z718" t="s">
        <v>1179</v>
      </c>
      <c r="AA718" t="s">
        <v>2797</v>
      </c>
      <c r="AB718" t="s">
        <v>2797</v>
      </c>
      <c r="AC718" t="s">
        <v>2665</v>
      </c>
      <c r="AD718" t="s">
        <v>2054</v>
      </c>
      <c r="AE718" t="s">
        <v>2054</v>
      </c>
    </row>
    <row r="719" spans="1:31" x14ac:dyDescent="0.25">
      <c r="A719" t="s">
        <v>1831</v>
      </c>
      <c r="B719" t="s">
        <v>1830</v>
      </c>
      <c r="C719" t="s">
        <v>3382</v>
      </c>
      <c r="D719" t="s">
        <v>1830</v>
      </c>
      <c r="E719" t="s">
        <v>2666</v>
      </c>
      <c r="F719" t="s">
        <v>4062</v>
      </c>
      <c r="G719" t="s">
        <v>2666</v>
      </c>
      <c r="H719" t="s">
        <v>2054</v>
      </c>
      <c r="I719" t="s">
        <v>2778</v>
      </c>
      <c r="J719" t="s">
        <v>2054</v>
      </c>
      <c r="K719" t="s">
        <v>2665</v>
      </c>
      <c r="L719" t="s">
        <v>1179</v>
      </c>
      <c r="M719" t="s">
        <v>2875</v>
      </c>
      <c r="N719" t="s">
        <v>2665</v>
      </c>
      <c r="O719" t="s">
        <v>2876</v>
      </c>
      <c r="P719" t="s">
        <v>2827</v>
      </c>
      <c r="Q719" t="s">
        <v>3397</v>
      </c>
      <c r="R719" t="s">
        <v>2665</v>
      </c>
      <c r="S719" t="s">
        <v>2779</v>
      </c>
      <c r="T719" t="s">
        <v>2780</v>
      </c>
      <c r="U719" t="s">
        <v>2665</v>
      </c>
      <c r="V719" t="s">
        <v>4059</v>
      </c>
      <c r="W719" t="s">
        <v>4060</v>
      </c>
      <c r="X719" t="s">
        <v>2665</v>
      </c>
      <c r="Y719" t="s">
        <v>2054</v>
      </c>
      <c r="Z719" t="s">
        <v>1179</v>
      </c>
      <c r="AA719" t="s">
        <v>2797</v>
      </c>
      <c r="AB719" t="s">
        <v>2797</v>
      </c>
      <c r="AC719" t="s">
        <v>2665</v>
      </c>
      <c r="AD719" t="s">
        <v>2054</v>
      </c>
      <c r="AE719" t="s">
        <v>2054</v>
      </c>
    </row>
    <row r="720" spans="1:31" x14ac:dyDescent="0.25">
      <c r="A720" t="s">
        <v>1833</v>
      </c>
      <c r="B720" t="s">
        <v>1832</v>
      </c>
      <c r="C720" t="s">
        <v>4063</v>
      </c>
      <c r="D720" t="s">
        <v>1832</v>
      </c>
      <c r="E720" t="s">
        <v>2666</v>
      </c>
      <c r="F720" t="s">
        <v>3607</v>
      </c>
      <c r="G720" t="s">
        <v>2666</v>
      </c>
      <c r="H720" t="s">
        <v>2054</v>
      </c>
      <c r="I720" t="s">
        <v>2778</v>
      </c>
      <c r="J720" t="s">
        <v>2054</v>
      </c>
      <c r="K720" t="s">
        <v>2665</v>
      </c>
      <c r="L720" t="s">
        <v>1179</v>
      </c>
      <c r="M720" t="s">
        <v>2875</v>
      </c>
      <c r="N720" t="s">
        <v>2665</v>
      </c>
      <c r="O720" t="s">
        <v>2876</v>
      </c>
      <c r="P720" t="s">
        <v>2827</v>
      </c>
      <c r="Q720" t="s">
        <v>3397</v>
      </c>
      <c r="R720" t="s">
        <v>2665</v>
      </c>
      <c r="S720" t="s">
        <v>2779</v>
      </c>
      <c r="T720" t="s">
        <v>2780</v>
      </c>
      <c r="U720" t="s">
        <v>2665</v>
      </c>
      <c r="V720" t="s">
        <v>4059</v>
      </c>
      <c r="W720" t="s">
        <v>4060</v>
      </c>
      <c r="X720" t="s">
        <v>2665</v>
      </c>
      <c r="Y720" t="s">
        <v>2054</v>
      </c>
      <c r="Z720" t="s">
        <v>1179</v>
      </c>
      <c r="AA720" t="s">
        <v>2795</v>
      </c>
      <c r="AB720" t="s">
        <v>2795</v>
      </c>
      <c r="AC720" t="s">
        <v>2665</v>
      </c>
      <c r="AD720" t="s">
        <v>2054</v>
      </c>
      <c r="AE720" t="s">
        <v>2054</v>
      </c>
    </row>
    <row r="721" spans="1:31" x14ac:dyDescent="0.25">
      <c r="A721" t="s">
        <v>1834</v>
      </c>
      <c r="B721" t="s">
        <v>645</v>
      </c>
      <c r="C721" t="s">
        <v>4064</v>
      </c>
      <c r="D721" t="s">
        <v>656</v>
      </c>
      <c r="E721" t="s">
        <v>2666</v>
      </c>
      <c r="F721" t="s">
        <v>3904</v>
      </c>
      <c r="G721" t="s">
        <v>2666</v>
      </c>
      <c r="H721" t="s">
        <v>2054</v>
      </c>
      <c r="I721" t="s">
        <v>2778</v>
      </c>
      <c r="J721" t="s">
        <v>2054</v>
      </c>
      <c r="K721" t="s">
        <v>2665</v>
      </c>
      <c r="L721" t="s">
        <v>1179</v>
      </c>
      <c r="M721" t="s">
        <v>2878</v>
      </c>
      <c r="N721" t="s">
        <v>2665</v>
      </c>
      <c r="O721" t="s">
        <v>3576</v>
      </c>
      <c r="P721" t="s">
        <v>2898</v>
      </c>
      <c r="Q721" t="s">
        <v>3617</v>
      </c>
      <c r="R721" t="s">
        <v>2665</v>
      </c>
      <c r="S721" t="s">
        <v>2781</v>
      </c>
      <c r="T721" t="s">
        <v>2922</v>
      </c>
      <c r="U721" t="s">
        <v>2665</v>
      </c>
      <c r="V721" t="s">
        <v>4059</v>
      </c>
      <c r="W721" t="s">
        <v>4060</v>
      </c>
      <c r="X721" t="s">
        <v>2665</v>
      </c>
      <c r="Y721" t="s">
        <v>2054</v>
      </c>
      <c r="Z721" t="s">
        <v>1179</v>
      </c>
      <c r="AA721" t="s">
        <v>2745</v>
      </c>
      <c r="AB721" t="s">
        <v>2745</v>
      </c>
      <c r="AC721" t="s">
        <v>2665</v>
      </c>
      <c r="AD721" t="s">
        <v>2054</v>
      </c>
      <c r="AE721" t="s">
        <v>2054</v>
      </c>
    </row>
    <row r="722" spans="1:31" x14ac:dyDescent="0.25">
      <c r="A722" t="s">
        <v>1835</v>
      </c>
      <c r="B722" t="s">
        <v>646</v>
      </c>
      <c r="C722" t="s">
        <v>4065</v>
      </c>
      <c r="D722" t="s">
        <v>657</v>
      </c>
      <c r="E722" t="s">
        <v>2666</v>
      </c>
      <c r="F722" t="s">
        <v>4066</v>
      </c>
      <c r="G722" t="s">
        <v>2666</v>
      </c>
      <c r="H722" t="s">
        <v>2054</v>
      </c>
      <c r="I722" t="s">
        <v>2778</v>
      </c>
      <c r="J722" t="s">
        <v>2054</v>
      </c>
      <c r="K722" t="s">
        <v>2665</v>
      </c>
      <c r="L722" t="s">
        <v>1179</v>
      </c>
      <c r="M722" t="s">
        <v>2878</v>
      </c>
      <c r="N722" t="s">
        <v>2665</v>
      </c>
      <c r="O722" t="s">
        <v>3576</v>
      </c>
      <c r="P722" t="s">
        <v>2898</v>
      </c>
      <c r="Q722" t="s">
        <v>3617</v>
      </c>
      <c r="R722" t="s">
        <v>2665</v>
      </c>
      <c r="S722" t="s">
        <v>2781</v>
      </c>
      <c r="T722" t="s">
        <v>2922</v>
      </c>
      <c r="U722" t="s">
        <v>2665</v>
      </c>
      <c r="V722" t="s">
        <v>4059</v>
      </c>
      <c r="W722" t="s">
        <v>4060</v>
      </c>
      <c r="X722" t="s">
        <v>2665</v>
      </c>
      <c r="Y722" t="s">
        <v>2054</v>
      </c>
      <c r="Z722" t="s">
        <v>1179</v>
      </c>
      <c r="AA722" t="s">
        <v>2745</v>
      </c>
      <c r="AB722" t="s">
        <v>2745</v>
      </c>
      <c r="AC722" t="s">
        <v>2665</v>
      </c>
      <c r="AD722" t="s">
        <v>2054</v>
      </c>
      <c r="AE722" t="s">
        <v>2054</v>
      </c>
    </row>
    <row r="723" spans="1:31" x14ac:dyDescent="0.25">
      <c r="A723" t="s">
        <v>1836</v>
      </c>
      <c r="B723" t="s">
        <v>647</v>
      </c>
      <c r="C723" t="s">
        <v>4067</v>
      </c>
      <c r="D723" t="s">
        <v>658</v>
      </c>
      <c r="E723" t="s">
        <v>2666</v>
      </c>
      <c r="F723" t="s">
        <v>4068</v>
      </c>
      <c r="G723" t="s">
        <v>2666</v>
      </c>
      <c r="H723" t="s">
        <v>2054</v>
      </c>
      <c r="I723" t="s">
        <v>2778</v>
      </c>
      <c r="J723" t="s">
        <v>2054</v>
      </c>
      <c r="K723" t="s">
        <v>2665</v>
      </c>
      <c r="L723" t="s">
        <v>1179</v>
      </c>
      <c r="M723" t="s">
        <v>2878</v>
      </c>
      <c r="N723" t="s">
        <v>2665</v>
      </c>
      <c r="O723" t="s">
        <v>3576</v>
      </c>
      <c r="P723" t="s">
        <v>2898</v>
      </c>
      <c r="Q723" t="s">
        <v>3617</v>
      </c>
      <c r="R723" t="s">
        <v>2665</v>
      </c>
      <c r="S723" t="s">
        <v>2781</v>
      </c>
      <c r="T723" t="s">
        <v>2922</v>
      </c>
      <c r="U723" t="s">
        <v>2665</v>
      </c>
      <c r="V723" t="s">
        <v>4059</v>
      </c>
      <c r="W723" t="s">
        <v>4060</v>
      </c>
      <c r="X723" t="s">
        <v>2665</v>
      </c>
      <c r="Y723" t="s">
        <v>2054</v>
      </c>
      <c r="Z723" t="s">
        <v>1179</v>
      </c>
      <c r="AA723" t="s">
        <v>2745</v>
      </c>
      <c r="AB723" t="s">
        <v>2745</v>
      </c>
      <c r="AC723" t="s">
        <v>2665</v>
      </c>
      <c r="AD723" t="s">
        <v>2054</v>
      </c>
      <c r="AE723" t="s">
        <v>2054</v>
      </c>
    </row>
    <row r="724" spans="1:31" x14ac:dyDescent="0.25">
      <c r="A724" t="s">
        <v>1837</v>
      </c>
      <c r="B724" t="s">
        <v>648</v>
      </c>
      <c r="C724" t="s">
        <v>4069</v>
      </c>
      <c r="D724" t="s">
        <v>659</v>
      </c>
      <c r="E724" t="s">
        <v>2666</v>
      </c>
      <c r="F724" t="s">
        <v>3276</v>
      </c>
      <c r="G724" t="s">
        <v>2666</v>
      </c>
      <c r="H724" t="s">
        <v>2054</v>
      </c>
      <c r="I724" t="s">
        <v>2778</v>
      </c>
      <c r="J724" t="s">
        <v>2054</v>
      </c>
      <c r="K724" t="s">
        <v>2665</v>
      </c>
      <c r="L724" t="s">
        <v>1179</v>
      </c>
      <c r="M724" t="s">
        <v>2878</v>
      </c>
      <c r="N724" t="s">
        <v>2665</v>
      </c>
      <c r="O724" t="s">
        <v>3576</v>
      </c>
      <c r="P724" t="s">
        <v>2898</v>
      </c>
      <c r="Q724" t="s">
        <v>3617</v>
      </c>
      <c r="R724" t="s">
        <v>2665</v>
      </c>
      <c r="S724" t="s">
        <v>2781</v>
      </c>
      <c r="T724" t="s">
        <v>2922</v>
      </c>
      <c r="U724" t="s">
        <v>2665</v>
      </c>
      <c r="V724" t="s">
        <v>4070</v>
      </c>
      <c r="W724" t="s">
        <v>4071</v>
      </c>
      <c r="X724" t="s">
        <v>2665</v>
      </c>
      <c r="Y724" t="s">
        <v>2054</v>
      </c>
      <c r="Z724" t="s">
        <v>1179</v>
      </c>
      <c r="AA724" t="s">
        <v>2745</v>
      </c>
      <c r="AB724" t="s">
        <v>2745</v>
      </c>
      <c r="AC724" t="s">
        <v>2665</v>
      </c>
      <c r="AD724" t="s">
        <v>2054</v>
      </c>
      <c r="AE724" t="s">
        <v>2054</v>
      </c>
    </row>
    <row r="725" spans="1:31" x14ac:dyDescent="0.25">
      <c r="A725" t="s">
        <v>1838</v>
      </c>
      <c r="B725" t="s">
        <v>649</v>
      </c>
      <c r="C725" t="s">
        <v>4072</v>
      </c>
      <c r="D725" t="s">
        <v>660</v>
      </c>
      <c r="E725" t="s">
        <v>2666</v>
      </c>
      <c r="F725" t="s">
        <v>3906</v>
      </c>
      <c r="G725" t="s">
        <v>2666</v>
      </c>
      <c r="H725" t="s">
        <v>2054</v>
      </c>
      <c r="I725" t="s">
        <v>2778</v>
      </c>
      <c r="J725" t="s">
        <v>2054</v>
      </c>
      <c r="K725" t="s">
        <v>2665</v>
      </c>
      <c r="L725" t="s">
        <v>1179</v>
      </c>
      <c r="M725" t="s">
        <v>2878</v>
      </c>
      <c r="N725" t="s">
        <v>2665</v>
      </c>
      <c r="O725" t="s">
        <v>3576</v>
      </c>
      <c r="P725" t="s">
        <v>2898</v>
      </c>
      <c r="Q725" t="s">
        <v>3617</v>
      </c>
      <c r="R725" t="s">
        <v>2665</v>
      </c>
      <c r="S725" t="s">
        <v>2781</v>
      </c>
      <c r="T725" t="s">
        <v>2922</v>
      </c>
      <c r="U725" t="s">
        <v>2665</v>
      </c>
      <c r="V725" t="s">
        <v>4070</v>
      </c>
      <c r="W725" t="s">
        <v>4071</v>
      </c>
      <c r="X725" t="s">
        <v>2665</v>
      </c>
      <c r="Y725" t="s">
        <v>2054</v>
      </c>
      <c r="Z725" t="s">
        <v>1179</v>
      </c>
      <c r="AA725" t="s">
        <v>2745</v>
      </c>
      <c r="AB725" t="s">
        <v>2745</v>
      </c>
      <c r="AC725" t="s">
        <v>2665</v>
      </c>
      <c r="AD725" t="s">
        <v>2054</v>
      </c>
      <c r="AE725" t="s">
        <v>2054</v>
      </c>
    </row>
    <row r="726" spans="1:31" x14ac:dyDescent="0.25">
      <c r="A726" t="s">
        <v>1839</v>
      </c>
      <c r="B726" t="s">
        <v>650</v>
      </c>
      <c r="C726" t="s">
        <v>4073</v>
      </c>
      <c r="D726" t="s">
        <v>661</v>
      </c>
      <c r="E726" t="s">
        <v>2666</v>
      </c>
      <c r="F726" t="s">
        <v>3968</v>
      </c>
      <c r="G726" t="s">
        <v>2666</v>
      </c>
      <c r="H726" t="s">
        <v>2054</v>
      </c>
      <c r="I726" t="s">
        <v>2778</v>
      </c>
      <c r="J726" t="s">
        <v>2054</v>
      </c>
      <c r="K726" t="s">
        <v>2665</v>
      </c>
      <c r="L726" t="s">
        <v>1179</v>
      </c>
      <c r="M726" t="s">
        <v>2878</v>
      </c>
      <c r="N726" t="s">
        <v>2665</v>
      </c>
      <c r="O726" t="s">
        <v>3576</v>
      </c>
      <c r="P726" t="s">
        <v>2898</v>
      </c>
      <c r="Q726" t="s">
        <v>3617</v>
      </c>
      <c r="R726" t="s">
        <v>2665</v>
      </c>
      <c r="S726" t="s">
        <v>2781</v>
      </c>
      <c r="T726" t="s">
        <v>2922</v>
      </c>
      <c r="U726" t="s">
        <v>2665</v>
      </c>
      <c r="V726" t="s">
        <v>4059</v>
      </c>
      <c r="W726" t="s">
        <v>4060</v>
      </c>
      <c r="X726" t="s">
        <v>2665</v>
      </c>
      <c r="Y726" t="s">
        <v>2054</v>
      </c>
      <c r="Z726" t="s">
        <v>1179</v>
      </c>
      <c r="AA726" t="s">
        <v>2745</v>
      </c>
      <c r="AB726" t="s">
        <v>2745</v>
      </c>
      <c r="AC726" t="s">
        <v>2665</v>
      </c>
      <c r="AD726" t="s">
        <v>2054</v>
      </c>
      <c r="AE726" t="s">
        <v>2054</v>
      </c>
    </row>
    <row r="727" spans="1:31" x14ac:dyDescent="0.25">
      <c r="A727" t="s">
        <v>1840</v>
      </c>
      <c r="B727" t="s">
        <v>651</v>
      </c>
      <c r="C727" t="s">
        <v>4074</v>
      </c>
      <c r="D727" t="s">
        <v>662</v>
      </c>
      <c r="E727" t="s">
        <v>2666</v>
      </c>
      <c r="F727" t="s">
        <v>3095</v>
      </c>
      <c r="G727" t="s">
        <v>2666</v>
      </c>
      <c r="H727" t="s">
        <v>2054</v>
      </c>
      <c r="I727" t="s">
        <v>2778</v>
      </c>
      <c r="J727" t="s">
        <v>2054</v>
      </c>
      <c r="K727" t="s">
        <v>2665</v>
      </c>
      <c r="L727" t="s">
        <v>1179</v>
      </c>
      <c r="M727" t="s">
        <v>2878</v>
      </c>
      <c r="N727" t="s">
        <v>2665</v>
      </c>
      <c r="O727" t="s">
        <v>3576</v>
      </c>
      <c r="P727" t="s">
        <v>2898</v>
      </c>
      <c r="Q727" t="s">
        <v>3617</v>
      </c>
      <c r="R727" t="s">
        <v>2665</v>
      </c>
      <c r="S727" t="s">
        <v>2781</v>
      </c>
      <c r="T727" t="s">
        <v>2922</v>
      </c>
      <c r="U727" t="s">
        <v>2665</v>
      </c>
      <c r="V727" t="s">
        <v>4059</v>
      </c>
      <c r="W727" t="s">
        <v>4060</v>
      </c>
      <c r="X727" t="s">
        <v>2665</v>
      </c>
      <c r="Y727" t="s">
        <v>2054</v>
      </c>
      <c r="Z727" t="s">
        <v>1179</v>
      </c>
      <c r="AA727" t="s">
        <v>2745</v>
      </c>
      <c r="AB727" t="s">
        <v>2745</v>
      </c>
      <c r="AC727" t="s">
        <v>2665</v>
      </c>
      <c r="AD727" t="s">
        <v>2054</v>
      </c>
      <c r="AE727" t="s">
        <v>2054</v>
      </c>
    </row>
    <row r="728" spans="1:31" x14ac:dyDescent="0.25">
      <c r="A728" t="s">
        <v>4075</v>
      </c>
      <c r="B728" t="s">
        <v>977</v>
      </c>
      <c r="C728" t="s">
        <v>4076</v>
      </c>
      <c r="D728" t="s">
        <v>978</v>
      </c>
      <c r="E728" t="s">
        <v>2666</v>
      </c>
      <c r="F728" t="s">
        <v>4077</v>
      </c>
      <c r="G728" t="s">
        <v>2666</v>
      </c>
      <c r="H728" t="s">
        <v>2054</v>
      </c>
      <c r="I728" t="s">
        <v>2778</v>
      </c>
      <c r="J728" t="s">
        <v>2054</v>
      </c>
      <c r="K728" t="s">
        <v>2665</v>
      </c>
      <c r="L728" t="s">
        <v>1179</v>
      </c>
      <c r="M728" t="s">
        <v>2878</v>
      </c>
      <c r="N728" t="s">
        <v>2665</v>
      </c>
      <c r="O728" t="s">
        <v>3576</v>
      </c>
      <c r="P728" t="s">
        <v>2898</v>
      </c>
      <c r="Q728" t="s">
        <v>3617</v>
      </c>
      <c r="R728" t="s">
        <v>2665</v>
      </c>
      <c r="S728" t="s">
        <v>2781</v>
      </c>
      <c r="T728" t="s">
        <v>2922</v>
      </c>
      <c r="U728" t="s">
        <v>2665</v>
      </c>
      <c r="V728" t="s">
        <v>4059</v>
      </c>
      <c r="W728" t="s">
        <v>4060</v>
      </c>
      <c r="X728" t="s">
        <v>2665</v>
      </c>
      <c r="Y728" t="s">
        <v>2054</v>
      </c>
      <c r="Z728" t="s">
        <v>1179</v>
      </c>
      <c r="AA728" t="s">
        <v>2745</v>
      </c>
      <c r="AB728" t="s">
        <v>2745</v>
      </c>
      <c r="AC728" t="s">
        <v>2665</v>
      </c>
      <c r="AD728" t="s">
        <v>2054</v>
      </c>
      <c r="AE728" t="s">
        <v>2054</v>
      </c>
    </row>
    <row r="729" spans="1:31" x14ac:dyDescent="0.25">
      <c r="A729" t="s">
        <v>984</v>
      </c>
      <c r="B729" t="s">
        <v>979</v>
      </c>
      <c r="C729" t="s">
        <v>4078</v>
      </c>
      <c r="D729" t="s">
        <v>980</v>
      </c>
      <c r="E729" t="s">
        <v>2666</v>
      </c>
      <c r="F729" t="s">
        <v>2842</v>
      </c>
      <c r="G729" t="s">
        <v>2666</v>
      </c>
      <c r="H729" t="s">
        <v>2054</v>
      </c>
      <c r="I729" t="s">
        <v>2778</v>
      </c>
      <c r="J729" t="s">
        <v>2054</v>
      </c>
      <c r="K729" t="s">
        <v>2665</v>
      </c>
      <c r="L729" t="s">
        <v>1179</v>
      </c>
      <c r="M729" t="s">
        <v>2878</v>
      </c>
      <c r="N729" t="s">
        <v>2665</v>
      </c>
      <c r="O729" t="s">
        <v>3576</v>
      </c>
      <c r="P729" t="s">
        <v>2898</v>
      </c>
      <c r="Q729" t="s">
        <v>3617</v>
      </c>
      <c r="R729" t="s">
        <v>2665</v>
      </c>
      <c r="S729" t="s">
        <v>2781</v>
      </c>
      <c r="T729" t="s">
        <v>2922</v>
      </c>
      <c r="U729" t="s">
        <v>2665</v>
      </c>
      <c r="V729" t="s">
        <v>4059</v>
      </c>
      <c r="W729" t="s">
        <v>4060</v>
      </c>
      <c r="X729" t="s">
        <v>2665</v>
      </c>
      <c r="Y729" t="s">
        <v>2054</v>
      </c>
      <c r="Z729" t="s">
        <v>1179</v>
      </c>
      <c r="AA729" t="s">
        <v>2745</v>
      </c>
      <c r="AB729" t="s">
        <v>2745</v>
      </c>
      <c r="AC729" t="s">
        <v>2665</v>
      </c>
      <c r="AD729" t="s">
        <v>2054</v>
      </c>
      <c r="AE729" t="s">
        <v>2054</v>
      </c>
    </row>
    <row r="730" spans="1:31" x14ac:dyDescent="0.25">
      <c r="A730" t="s">
        <v>4079</v>
      </c>
      <c r="B730" t="s">
        <v>4080</v>
      </c>
      <c r="C730" t="s">
        <v>4081</v>
      </c>
      <c r="D730" t="s">
        <v>4082</v>
      </c>
      <c r="E730" t="s">
        <v>2666</v>
      </c>
      <c r="F730" t="s">
        <v>2966</v>
      </c>
      <c r="G730" t="s">
        <v>2666</v>
      </c>
      <c r="H730" t="s">
        <v>2054</v>
      </c>
      <c r="I730" t="s">
        <v>2778</v>
      </c>
      <c r="J730" t="s">
        <v>2054</v>
      </c>
      <c r="K730" t="s">
        <v>2665</v>
      </c>
      <c r="L730" t="s">
        <v>1179</v>
      </c>
      <c r="M730" t="s">
        <v>2878</v>
      </c>
      <c r="N730" t="s">
        <v>2665</v>
      </c>
      <c r="O730" t="s">
        <v>3576</v>
      </c>
      <c r="P730" t="s">
        <v>2898</v>
      </c>
      <c r="Q730" t="s">
        <v>3617</v>
      </c>
      <c r="R730" t="s">
        <v>2665</v>
      </c>
      <c r="S730" t="s">
        <v>2781</v>
      </c>
      <c r="T730" t="s">
        <v>2922</v>
      </c>
      <c r="U730" t="s">
        <v>2665</v>
      </c>
      <c r="V730" t="s">
        <v>4059</v>
      </c>
      <c r="W730" t="s">
        <v>4060</v>
      </c>
      <c r="X730" t="s">
        <v>2665</v>
      </c>
      <c r="Y730" t="s">
        <v>2054</v>
      </c>
      <c r="Z730" t="s">
        <v>1179</v>
      </c>
      <c r="AA730" t="s">
        <v>2745</v>
      </c>
      <c r="AB730" t="s">
        <v>2745</v>
      </c>
      <c r="AC730" t="s">
        <v>2665</v>
      </c>
      <c r="AD730" t="s">
        <v>2054</v>
      </c>
      <c r="AE730" t="s">
        <v>2054</v>
      </c>
    </row>
    <row r="731" spans="1:31" x14ac:dyDescent="0.25">
      <c r="A731" t="s">
        <v>985</v>
      </c>
      <c r="B731" t="s">
        <v>981</v>
      </c>
      <c r="C731" t="s">
        <v>4083</v>
      </c>
      <c r="D731" t="s">
        <v>982</v>
      </c>
      <c r="E731" t="s">
        <v>2666</v>
      </c>
      <c r="F731" t="s">
        <v>3181</v>
      </c>
      <c r="G731" t="s">
        <v>2666</v>
      </c>
      <c r="H731" t="s">
        <v>2054</v>
      </c>
      <c r="I731" t="s">
        <v>2778</v>
      </c>
      <c r="J731" t="s">
        <v>2054</v>
      </c>
      <c r="K731" t="s">
        <v>2665</v>
      </c>
      <c r="L731" t="s">
        <v>1179</v>
      </c>
      <c r="M731" t="s">
        <v>2878</v>
      </c>
      <c r="N731" t="s">
        <v>2665</v>
      </c>
      <c r="O731" t="s">
        <v>3576</v>
      </c>
      <c r="P731" t="s">
        <v>2898</v>
      </c>
      <c r="Q731" t="s">
        <v>3617</v>
      </c>
      <c r="R731" t="s">
        <v>2665</v>
      </c>
      <c r="S731" t="s">
        <v>2781</v>
      </c>
      <c r="T731" t="s">
        <v>2922</v>
      </c>
      <c r="U731" t="s">
        <v>2665</v>
      </c>
      <c r="V731" t="s">
        <v>4059</v>
      </c>
      <c r="W731" t="s">
        <v>4060</v>
      </c>
      <c r="X731" t="s">
        <v>2665</v>
      </c>
      <c r="Y731" t="s">
        <v>2054</v>
      </c>
      <c r="Z731" t="s">
        <v>1179</v>
      </c>
      <c r="AA731" t="s">
        <v>2745</v>
      </c>
      <c r="AB731" t="s">
        <v>2745</v>
      </c>
      <c r="AC731" t="s">
        <v>2665</v>
      </c>
      <c r="AD731" t="s">
        <v>2054</v>
      </c>
      <c r="AE731" t="s">
        <v>2054</v>
      </c>
    </row>
    <row r="732" spans="1:31" x14ac:dyDescent="0.25">
      <c r="A732" t="s">
        <v>1842</v>
      </c>
      <c r="B732" t="s">
        <v>1841</v>
      </c>
      <c r="C732" t="s">
        <v>4084</v>
      </c>
      <c r="D732" t="s">
        <v>1841</v>
      </c>
      <c r="E732" t="s">
        <v>2666</v>
      </c>
      <c r="F732" t="s">
        <v>4057</v>
      </c>
      <c r="G732" t="s">
        <v>2666</v>
      </c>
      <c r="H732" t="s">
        <v>2054</v>
      </c>
      <c r="I732" t="s">
        <v>2778</v>
      </c>
      <c r="J732" t="s">
        <v>2054</v>
      </c>
      <c r="K732" t="s">
        <v>2665</v>
      </c>
      <c r="L732" t="s">
        <v>1179</v>
      </c>
      <c r="M732" t="s">
        <v>2875</v>
      </c>
      <c r="N732" t="s">
        <v>2665</v>
      </c>
      <c r="O732" t="s">
        <v>2876</v>
      </c>
      <c r="P732" t="s">
        <v>2910</v>
      </c>
      <c r="Q732" t="s">
        <v>3758</v>
      </c>
      <c r="R732" t="s">
        <v>2665</v>
      </c>
      <c r="S732" t="s">
        <v>2779</v>
      </c>
      <c r="T732" t="s">
        <v>2780</v>
      </c>
      <c r="U732" t="s">
        <v>2665</v>
      </c>
      <c r="V732" t="s">
        <v>4070</v>
      </c>
      <c r="W732" t="s">
        <v>4071</v>
      </c>
      <c r="X732" t="s">
        <v>2665</v>
      </c>
      <c r="Y732" t="s">
        <v>2054</v>
      </c>
      <c r="Z732" t="s">
        <v>1179</v>
      </c>
      <c r="AA732" t="s">
        <v>3742</v>
      </c>
      <c r="AB732" t="s">
        <v>3742</v>
      </c>
      <c r="AC732" t="s">
        <v>2665</v>
      </c>
      <c r="AD732" t="s">
        <v>2054</v>
      </c>
      <c r="AE732" t="s">
        <v>2054</v>
      </c>
    </row>
    <row r="733" spans="1:31" x14ac:dyDescent="0.25">
      <c r="A733" t="s">
        <v>1844</v>
      </c>
      <c r="B733" t="s">
        <v>1843</v>
      </c>
      <c r="C733" t="s">
        <v>4085</v>
      </c>
      <c r="D733" t="s">
        <v>1843</v>
      </c>
      <c r="E733" t="s">
        <v>2666</v>
      </c>
      <c r="F733" t="s">
        <v>4086</v>
      </c>
      <c r="G733" t="s">
        <v>2666</v>
      </c>
      <c r="H733" t="s">
        <v>2054</v>
      </c>
      <c r="I733" t="s">
        <v>2778</v>
      </c>
      <c r="J733" t="s">
        <v>2054</v>
      </c>
      <c r="K733" t="s">
        <v>2665</v>
      </c>
      <c r="L733" t="s">
        <v>1179</v>
      </c>
      <c r="M733" t="s">
        <v>2875</v>
      </c>
      <c r="N733" t="s">
        <v>2665</v>
      </c>
      <c r="O733" t="s">
        <v>2876</v>
      </c>
      <c r="P733" t="s">
        <v>2910</v>
      </c>
      <c r="Q733" t="s">
        <v>3758</v>
      </c>
      <c r="R733" t="s">
        <v>2665</v>
      </c>
      <c r="S733" t="s">
        <v>2779</v>
      </c>
      <c r="T733" t="s">
        <v>2780</v>
      </c>
      <c r="U733" t="s">
        <v>2665</v>
      </c>
      <c r="V733" t="s">
        <v>4070</v>
      </c>
      <c r="W733" t="s">
        <v>4071</v>
      </c>
      <c r="X733" t="s">
        <v>2665</v>
      </c>
      <c r="Y733" t="s">
        <v>2054</v>
      </c>
      <c r="Z733" t="s">
        <v>1179</v>
      </c>
      <c r="AA733" t="s">
        <v>3668</v>
      </c>
      <c r="AB733" t="s">
        <v>3668</v>
      </c>
      <c r="AC733" t="s">
        <v>2665</v>
      </c>
      <c r="AD733" t="s">
        <v>2054</v>
      </c>
      <c r="AE733" t="s">
        <v>2054</v>
      </c>
    </row>
    <row r="734" spans="1:31" x14ac:dyDescent="0.25">
      <c r="A734" t="s">
        <v>1846</v>
      </c>
      <c r="B734" t="s">
        <v>1845</v>
      </c>
      <c r="C734" t="s">
        <v>4087</v>
      </c>
      <c r="D734" t="s">
        <v>1845</v>
      </c>
      <c r="E734" t="s">
        <v>2666</v>
      </c>
      <c r="F734" t="s">
        <v>4088</v>
      </c>
      <c r="G734" t="s">
        <v>2666</v>
      </c>
      <c r="H734" t="s">
        <v>2054</v>
      </c>
      <c r="I734" t="s">
        <v>2778</v>
      </c>
      <c r="J734" t="s">
        <v>2054</v>
      </c>
      <c r="K734" t="s">
        <v>2665</v>
      </c>
      <c r="L734" t="s">
        <v>1179</v>
      </c>
      <c r="M734" t="s">
        <v>2875</v>
      </c>
      <c r="N734" t="s">
        <v>2665</v>
      </c>
      <c r="O734" t="s">
        <v>2876</v>
      </c>
      <c r="P734" t="s">
        <v>2910</v>
      </c>
      <c r="Q734" t="s">
        <v>3758</v>
      </c>
      <c r="R734" t="s">
        <v>2665</v>
      </c>
      <c r="S734" t="s">
        <v>2779</v>
      </c>
      <c r="T734" t="s">
        <v>2780</v>
      </c>
      <c r="U734" t="s">
        <v>2665</v>
      </c>
      <c r="V734" t="s">
        <v>4070</v>
      </c>
      <c r="W734" t="s">
        <v>4071</v>
      </c>
      <c r="X734" t="s">
        <v>2665</v>
      </c>
      <c r="Y734" t="s">
        <v>2054</v>
      </c>
      <c r="Z734" t="s">
        <v>1179</v>
      </c>
      <c r="AA734" t="s">
        <v>2797</v>
      </c>
      <c r="AB734" t="s">
        <v>2797</v>
      </c>
      <c r="AC734" t="s">
        <v>2665</v>
      </c>
      <c r="AD734" t="s">
        <v>2054</v>
      </c>
      <c r="AE734" t="s">
        <v>2054</v>
      </c>
    </row>
    <row r="735" spans="1:31" x14ac:dyDescent="0.25">
      <c r="A735" t="s">
        <v>1848</v>
      </c>
      <c r="B735" t="s">
        <v>1847</v>
      </c>
      <c r="C735" t="s">
        <v>4089</v>
      </c>
      <c r="D735" t="s">
        <v>1847</v>
      </c>
      <c r="E735" t="s">
        <v>2666</v>
      </c>
      <c r="F735" t="s">
        <v>3785</v>
      </c>
      <c r="G735" t="s">
        <v>2666</v>
      </c>
      <c r="H735" t="s">
        <v>2054</v>
      </c>
      <c r="I735" t="s">
        <v>2778</v>
      </c>
      <c r="J735" t="s">
        <v>2054</v>
      </c>
      <c r="K735" t="s">
        <v>2665</v>
      </c>
      <c r="L735" t="s">
        <v>1179</v>
      </c>
      <c r="M735" t="s">
        <v>2875</v>
      </c>
      <c r="N735" t="s">
        <v>2665</v>
      </c>
      <c r="O735" t="s">
        <v>2876</v>
      </c>
      <c r="P735" t="s">
        <v>2910</v>
      </c>
      <c r="Q735" t="s">
        <v>3758</v>
      </c>
      <c r="R735" t="s">
        <v>2665</v>
      </c>
      <c r="S735" t="s">
        <v>2779</v>
      </c>
      <c r="T735" t="s">
        <v>2780</v>
      </c>
      <c r="U735" t="s">
        <v>2665</v>
      </c>
      <c r="V735" t="s">
        <v>4070</v>
      </c>
      <c r="W735" t="s">
        <v>4071</v>
      </c>
      <c r="X735" t="s">
        <v>2665</v>
      </c>
      <c r="Y735" t="s">
        <v>2054</v>
      </c>
      <c r="Z735" t="s">
        <v>1179</v>
      </c>
      <c r="AA735" t="s">
        <v>2797</v>
      </c>
      <c r="AB735" t="s">
        <v>2797</v>
      </c>
      <c r="AC735" t="s">
        <v>2665</v>
      </c>
      <c r="AD735" t="s">
        <v>2054</v>
      </c>
      <c r="AE735" t="s">
        <v>2054</v>
      </c>
    </row>
    <row r="736" spans="1:31" x14ac:dyDescent="0.25">
      <c r="A736" t="s">
        <v>1850</v>
      </c>
      <c r="B736" t="s">
        <v>1849</v>
      </c>
      <c r="C736" t="s">
        <v>4090</v>
      </c>
      <c r="D736" t="s">
        <v>1849</v>
      </c>
      <c r="E736" t="s">
        <v>2666</v>
      </c>
      <c r="F736" t="s">
        <v>3770</v>
      </c>
      <c r="G736" t="s">
        <v>2666</v>
      </c>
      <c r="H736" t="s">
        <v>2054</v>
      </c>
      <c r="I736" t="s">
        <v>2778</v>
      </c>
      <c r="J736" t="s">
        <v>2054</v>
      </c>
      <c r="K736" t="s">
        <v>2665</v>
      </c>
      <c r="L736" t="s">
        <v>1179</v>
      </c>
      <c r="M736" t="s">
        <v>2875</v>
      </c>
      <c r="N736" t="s">
        <v>2665</v>
      </c>
      <c r="O736" t="s">
        <v>2876</v>
      </c>
      <c r="P736" t="s">
        <v>2910</v>
      </c>
      <c r="Q736" t="s">
        <v>3758</v>
      </c>
      <c r="R736" t="s">
        <v>2665</v>
      </c>
      <c r="S736" t="s">
        <v>2779</v>
      </c>
      <c r="T736" t="s">
        <v>2780</v>
      </c>
      <c r="U736" t="s">
        <v>2665</v>
      </c>
      <c r="V736" t="s">
        <v>4070</v>
      </c>
      <c r="W736" t="s">
        <v>4071</v>
      </c>
      <c r="X736" t="s">
        <v>2665</v>
      </c>
      <c r="Y736" t="s">
        <v>2054</v>
      </c>
      <c r="Z736" t="s">
        <v>1179</v>
      </c>
      <c r="AA736" t="s">
        <v>2797</v>
      </c>
      <c r="AB736" t="s">
        <v>2797</v>
      </c>
      <c r="AC736" t="s">
        <v>2665</v>
      </c>
      <c r="AD736" t="s">
        <v>2054</v>
      </c>
      <c r="AE736" t="s">
        <v>2054</v>
      </c>
    </row>
    <row r="737" spans="1:31" x14ac:dyDescent="0.25">
      <c r="A737" t="s">
        <v>1852</v>
      </c>
      <c r="B737" t="s">
        <v>1851</v>
      </c>
      <c r="C737" t="s">
        <v>4091</v>
      </c>
      <c r="D737" t="s">
        <v>1851</v>
      </c>
      <c r="E737" t="s">
        <v>2666</v>
      </c>
      <c r="F737" t="s">
        <v>2903</v>
      </c>
      <c r="G737" t="s">
        <v>2666</v>
      </c>
      <c r="H737" t="s">
        <v>2054</v>
      </c>
      <c r="I737" t="s">
        <v>2778</v>
      </c>
      <c r="J737" t="s">
        <v>2054</v>
      </c>
      <c r="K737" t="s">
        <v>2665</v>
      </c>
      <c r="L737" t="s">
        <v>1179</v>
      </c>
      <c r="M737" t="s">
        <v>2875</v>
      </c>
      <c r="N737" t="s">
        <v>2665</v>
      </c>
      <c r="O737" t="s">
        <v>2876</v>
      </c>
      <c r="P737" t="s">
        <v>2910</v>
      </c>
      <c r="Q737" t="s">
        <v>3758</v>
      </c>
      <c r="R737" t="s">
        <v>2665</v>
      </c>
      <c r="S737" t="s">
        <v>2779</v>
      </c>
      <c r="T737" t="s">
        <v>2780</v>
      </c>
      <c r="U737" t="s">
        <v>2665</v>
      </c>
      <c r="V737" t="s">
        <v>4070</v>
      </c>
      <c r="W737" t="s">
        <v>4071</v>
      </c>
      <c r="X737" t="s">
        <v>2665</v>
      </c>
      <c r="Y737" t="s">
        <v>2054</v>
      </c>
      <c r="Z737" t="s">
        <v>1179</v>
      </c>
      <c r="AA737" t="s">
        <v>2797</v>
      </c>
      <c r="AB737" t="s">
        <v>2797</v>
      </c>
      <c r="AC737" t="s">
        <v>2665</v>
      </c>
      <c r="AD737" t="s">
        <v>2054</v>
      </c>
      <c r="AE737" t="s">
        <v>2054</v>
      </c>
    </row>
    <row r="738" spans="1:31" x14ac:dyDescent="0.25">
      <c r="A738" t="s">
        <v>1854</v>
      </c>
      <c r="B738" t="s">
        <v>1853</v>
      </c>
      <c r="C738" t="s">
        <v>4092</v>
      </c>
      <c r="D738" t="s">
        <v>1853</v>
      </c>
      <c r="E738" t="s">
        <v>2666</v>
      </c>
      <c r="F738" t="s">
        <v>2897</v>
      </c>
      <c r="G738" t="s">
        <v>2666</v>
      </c>
      <c r="H738" t="s">
        <v>2054</v>
      </c>
      <c r="I738" t="s">
        <v>2778</v>
      </c>
      <c r="J738" t="s">
        <v>2054</v>
      </c>
      <c r="K738" t="s">
        <v>2665</v>
      </c>
      <c r="L738" t="s">
        <v>1179</v>
      </c>
      <c r="M738" t="s">
        <v>2875</v>
      </c>
      <c r="N738" t="s">
        <v>2665</v>
      </c>
      <c r="O738" t="s">
        <v>2876</v>
      </c>
      <c r="P738" t="s">
        <v>2910</v>
      </c>
      <c r="Q738" t="s">
        <v>3758</v>
      </c>
      <c r="R738" t="s">
        <v>2665</v>
      </c>
      <c r="S738" t="s">
        <v>2779</v>
      </c>
      <c r="T738" t="s">
        <v>2780</v>
      </c>
      <c r="U738" t="s">
        <v>2665</v>
      </c>
      <c r="V738" t="s">
        <v>4070</v>
      </c>
      <c r="W738" t="s">
        <v>4071</v>
      </c>
      <c r="X738" t="s">
        <v>2665</v>
      </c>
      <c r="Y738" t="s">
        <v>2054</v>
      </c>
      <c r="Z738" t="s">
        <v>1179</v>
      </c>
      <c r="AA738" t="s">
        <v>2797</v>
      </c>
      <c r="AB738" t="s">
        <v>2797</v>
      </c>
      <c r="AC738" t="s">
        <v>2665</v>
      </c>
      <c r="AD738" t="s">
        <v>2054</v>
      </c>
      <c r="AE738" t="s">
        <v>2054</v>
      </c>
    </row>
    <row r="739" spans="1:31" x14ac:dyDescent="0.25">
      <c r="A739" t="s">
        <v>1856</v>
      </c>
      <c r="B739" t="s">
        <v>1855</v>
      </c>
      <c r="C739" t="s">
        <v>4093</v>
      </c>
      <c r="D739" t="s">
        <v>1855</v>
      </c>
      <c r="E739" t="s">
        <v>2666</v>
      </c>
      <c r="F739" t="s">
        <v>3825</v>
      </c>
      <c r="G739" t="s">
        <v>2666</v>
      </c>
      <c r="H739" t="s">
        <v>2054</v>
      </c>
      <c r="I739" t="s">
        <v>2778</v>
      </c>
      <c r="J739" t="s">
        <v>2054</v>
      </c>
      <c r="K739" t="s">
        <v>2665</v>
      </c>
      <c r="L739" t="s">
        <v>1179</v>
      </c>
      <c r="M739" t="s">
        <v>2875</v>
      </c>
      <c r="N739" t="s">
        <v>2665</v>
      </c>
      <c r="O739" t="s">
        <v>2876</v>
      </c>
      <c r="P739" t="s">
        <v>2910</v>
      </c>
      <c r="Q739" t="s">
        <v>3758</v>
      </c>
      <c r="R739" t="s">
        <v>2665</v>
      </c>
      <c r="S739" t="s">
        <v>2779</v>
      </c>
      <c r="T739" t="s">
        <v>2780</v>
      </c>
      <c r="U739" t="s">
        <v>2665</v>
      </c>
      <c r="V739" t="s">
        <v>4070</v>
      </c>
      <c r="W739" t="s">
        <v>4071</v>
      </c>
      <c r="X739" t="s">
        <v>2665</v>
      </c>
      <c r="Y739" t="s">
        <v>2054</v>
      </c>
      <c r="Z739" t="s">
        <v>1179</v>
      </c>
      <c r="AA739" t="s">
        <v>2797</v>
      </c>
      <c r="AB739" t="s">
        <v>2797</v>
      </c>
      <c r="AC739" t="s">
        <v>2665</v>
      </c>
      <c r="AD739" t="s">
        <v>2054</v>
      </c>
      <c r="AE739" t="s">
        <v>2054</v>
      </c>
    </row>
    <row r="740" spans="1:31" x14ac:dyDescent="0.25">
      <c r="A740" t="s">
        <v>1858</v>
      </c>
      <c r="B740" t="s">
        <v>1857</v>
      </c>
      <c r="C740" t="s">
        <v>4094</v>
      </c>
      <c r="D740" t="s">
        <v>1857</v>
      </c>
      <c r="E740" t="s">
        <v>2666</v>
      </c>
      <c r="F740" t="s">
        <v>4095</v>
      </c>
      <c r="G740" t="s">
        <v>2666</v>
      </c>
      <c r="H740" t="s">
        <v>2054</v>
      </c>
      <c r="I740" t="s">
        <v>2778</v>
      </c>
      <c r="J740" t="s">
        <v>2054</v>
      </c>
      <c r="K740" t="s">
        <v>2665</v>
      </c>
      <c r="L740" t="s">
        <v>1179</v>
      </c>
      <c r="M740" t="s">
        <v>2875</v>
      </c>
      <c r="N740" t="s">
        <v>2665</v>
      </c>
      <c r="O740" t="s">
        <v>2876</v>
      </c>
      <c r="P740" t="s">
        <v>2910</v>
      </c>
      <c r="Q740" t="s">
        <v>3758</v>
      </c>
      <c r="R740" t="s">
        <v>2665</v>
      </c>
      <c r="S740" t="s">
        <v>2779</v>
      </c>
      <c r="T740" t="s">
        <v>2780</v>
      </c>
      <c r="U740" t="s">
        <v>2665</v>
      </c>
      <c r="V740" t="s">
        <v>4070</v>
      </c>
      <c r="W740" t="s">
        <v>4071</v>
      </c>
      <c r="X740" t="s">
        <v>2665</v>
      </c>
      <c r="Y740" t="s">
        <v>2054</v>
      </c>
      <c r="Z740" t="s">
        <v>1179</v>
      </c>
      <c r="AA740" t="s">
        <v>2797</v>
      </c>
      <c r="AB740" t="s">
        <v>2797</v>
      </c>
      <c r="AC740" t="s">
        <v>2665</v>
      </c>
      <c r="AD740" t="s">
        <v>2054</v>
      </c>
      <c r="AE740" t="s">
        <v>2054</v>
      </c>
    </row>
    <row r="741" spans="1:31" x14ac:dyDescent="0.25">
      <c r="A741" t="s">
        <v>1860</v>
      </c>
      <c r="B741" t="s">
        <v>1859</v>
      </c>
      <c r="C741" t="s">
        <v>4096</v>
      </c>
      <c r="D741" t="s">
        <v>1859</v>
      </c>
      <c r="E741" t="s">
        <v>2666</v>
      </c>
      <c r="F741" t="s">
        <v>4097</v>
      </c>
      <c r="G741" t="s">
        <v>2666</v>
      </c>
      <c r="H741" t="s">
        <v>2054</v>
      </c>
      <c r="I741" t="s">
        <v>2778</v>
      </c>
      <c r="J741" t="s">
        <v>2054</v>
      </c>
      <c r="K741" t="s">
        <v>2665</v>
      </c>
      <c r="L741" t="s">
        <v>1179</v>
      </c>
      <c r="M741" t="s">
        <v>2875</v>
      </c>
      <c r="N741" t="s">
        <v>2665</v>
      </c>
      <c r="O741" t="s">
        <v>2876</v>
      </c>
      <c r="P741" t="s">
        <v>2910</v>
      </c>
      <c r="Q741" t="s">
        <v>3758</v>
      </c>
      <c r="R741" t="s">
        <v>2665</v>
      </c>
      <c r="S741" t="s">
        <v>2779</v>
      </c>
      <c r="T741" t="s">
        <v>2780</v>
      </c>
      <c r="U741" t="s">
        <v>2665</v>
      </c>
      <c r="V741" t="s">
        <v>4070</v>
      </c>
      <c r="W741" t="s">
        <v>4071</v>
      </c>
      <c r="X741" t="s">
        <v>2665</v>
      </c>
      <c r="Y741" t="s">
        <v>2054</v>
      </c>
      <c r="Z741" t="s">
        <v>1179</v>
      </c>
      <c r="AA741" t="s">
        <v>2797</v>
      </c>
      <c r="AB741" t="s">
        <v>2797</v>
      </c>
      <c r="AC741" t="s">
        <v>2665</v>
      </c>
      <c r="AD741" t="s">
        <v>2054</v>
      </c>
      <c r="AE741" t="s">
        <v>2054</v>
      </c>
    </row>
    <row r="742" spans="1:31" x14ac:dyDescent="0.25">
      <c r="A742" t="s">
        <v>1862</v>
      </c>
      <c r="B742" t="s">
        <v>1861</v>
      </c>
      <c r="C742" t="s">
        <v>4098</v>
      </c>
      <c r="D742" t="s">
        <v>1861</v>
      </c>
      <c r="E742" t="s">
        <v>2666</v>
      </c>
      <c r="F742" t="s">
        <v>2805</v>
      </c>
      <c r="G742" t="s">
        <v>2666</v>
      </c>
      <c r="H742" t="s">
        <v>2054</v>
      </c>
      <c r="I742" t="s">
        <v>2778</v>
      </c>
      <c r="J742" t="s">
        <v>2054</v>
      </c>
      <c r="K742" t="s">
        <v>2665</v>
      </c>
      <c r="L742" t="s">
        <v>1179</v>
      </c>
      <c r="M742" t="s">
        <v>2875</v>
      </c>
      <c r="N742" t="s">
        <v>2665</v>
      </c>
      <c r="O742" t="s">
        <v>2876</v>
      </c>
      <c r="P742" t="s">
        <v>2910</v>
      </c>
      <c r="Q742" t="s">
        <v>3758</v>
      </c>
      <c r="R742" t="s">
        <v>2665</v>
      </c>
      <c r="S742" t="s">
        <v>2779</v>
      </c>
      <c r="T742" t="s">
        <v>2780</v>
      </c>
      <c r="U742" t="s">
        <v>2665</v>
      </c>
      <c r="V742" t="s">
        <v>4070</v>
      </c>
      <c r="W742" t="s">
        <v>4071</v>
      </c>
      <c r="X742" t="s">
        <v>2665</v>
      </c>
      <c r="Y742" t="s">
        <v>2054</v>
      </c>
      <c r="Z742" t="s">
        <v>1179</v>
      </c>
      <c r="AA742" t="s">
        <v>2766</v>
      </c>
      <c r="AB742" t="s">
        <v>2766</v>
      </c>
      <c r="AC742" t="s">
        <v>2665</v>
      </c>
      <c r="AD742" t="s">
        <v>2054</v>
      </c>
      <c r="AE742" t="s">
        <v>2054</v>
      </c>
    </row>
    <row r="743" spans="1:31" x14ac:dyDescent="0.25">
      <c r="A743" t="s">
        <v>1864</v>
      </c>
      <c r="B743" t="s">
        <v>1863</v>
      </c>
      <c r="C743" t="s">
        <v>4099</v>
      </c>
      <c r="D743" t="s">
        <v>1863</v>
      </c>
      <c r="E743" t="s">
        <v>2666</v>
      </c>
      <c r="F743" t="s">
        <v>3583</v>
      </c>
      <c r="G743" t="s">
        <v>2666</v>
      </c>
      <c r="H743" t="s">
        <v>2054</v>
      </c>
      <c r="I743" t="s">
        <v>2778</v>
      </c>
      <c r="J743" t="s">
        <v>2054</v>
      </c>
      <c r="K743" t="s">
        <v>2665</v>
      </c>
      <c r="L743" t="s">
        <v>1179</v>
      </c>
      <c r="M743" t="s">
        <v>2875</v>
      </c>
      <c r="N743" t="s">
        <v>2665</v>
      </c>
      <c r="O743" t="s">
        <v>2876</v>
      </c>
      <c r="P743" t="s">
        <v>2910</v>
      </c>
      <c r="Q743" t="s">
        <v>3758</v>
      </c>
      <c r="R743" t="s">
        <v>2665</v>
      </c>
      <c r="S743" t="s">
        <v>2779</v>
      </c>
      <c r="T743" t="s">
        <v>2780</v>
      </c>
      <c r="U743" t="s">
        <v>2665</v>
      </c>
      <c r="V743" t="s">
        <v>4070</v>
      </c>
      <c r="W743" t="s">
        <v>4071</v>
      </c>
      <c r="X743" t="s">
        <v>2665</v>
      </c>
      <c r="Y743" t="s">
        <v>2054</v>
      </c>
      <c r="Z743" t="s">
        <v>1179</v>
      </c>
      <c r="AA743" t="s">
        <v>2795</v>
      </c>
      <c r="AB743" t="s">
        <v>2795</v>
      </c>
      <c r="AC743" t="s">
        <v>2665</v>
      </c>
      <c r="AD743" t="s">
        <v>2054</v>
      </c>
      <c r="AE743" t="s">
        <v>2054</v>
      </c>
    </row>
    <row r="744" spans="1:31" x14ac:dyDescent="0.25">
      <c r="A744" t="s">
        <v>1866</v>
      </c>
      <c r="B744" t="s">
        <v>1865</v>
      </c>
      <c r="C744" t="s">
        <v>4100</v>
      </c>
      <c r="D744" t="s">
        <v>1865</v>
      </c>
      <c r="E744" t="s">
        <v>2666</v>
      </c>
      <c r="F744" t="s">
        <v>2712</v>
      </c>
      <c r="G744" t="s">
        <v>2666</v>
      </c>
      <c r="H744" t="s">
        <v>2054</v>
      </c>
      <c r="I744" t="s">
        <v>2778</v>
      </c>
      <c r="J744" t="s">
        <v>2054</v>
      </c>
      <c r="K744" t="s">
        <v>2665</v>
      </c>
      <c r="L744" t="s">
        <v>1179</v>
      </c>
      <c r="M744" t="s">
        <v>2875</v>
      </c>
      <c r="N744" t="s">
        <v>2665</v>
      </c>
      <c r="O744" t="s">
        <v>2876</v>
      </c>
      <c r="P744" t="s">
        <v>2910</v>
      </c>
      <c r="Q744" t="s">
        <v>3758</v>
      </c>
      <c r="R744" t="s">
        <v>2665</v>
      </c>
      <c r="S744" t="s">
        <v>2779</v>
      </c>
      <c r="T744" t="s">
        <v>2780</v>
      </c>
      <c r="U744" t="s">
        <v>2665</v>
      </c>
      <c r="V744" t="s">
        <v>4070</v>
      </c>
      <c r="W744" t="s">
        <v>4071</v>
      </c>
      <c r="X744" t="s">
        <v>2665</v>
      </c>
      <c r="Y744" t="s">
        <v>2054</v>
      </c>
      <c r="Z744" t="s">
        <v>1179</v>
      </c>
      <c r="AA744" t="s">
        <v>2795</v>
      </c>
      <c r="AB744" t="s">
        <v>2795</v>
      </c>
      <c r="AC744" t="s">
        <v>2665</v>
      </c>
      <c r="AD744" t="s">
        <v>2054</v>
      </c>
      <c r="AE744" t="s">
        <v>2054</v>
      </c>
    </row>
    <row r="745" spans="1:31" x14ac:dyDescent="0.25">
      <c r="A745" t="s">
        <v>1868</v>
      </c>
      <c r="B745" t="s">
        <v>1867</v>
      </c>
      <c r="C745" t="s">
        <v>4101</v>
      </c>
      <c r="D745" t="s">
        <v>1867</v>
      </c>
      <c r="E745" t="s">
        <v>2666</v>
      </c>
      <c r="F745" t="s">
        <v>2712</v>
      </c>
      <c r="G745" t="s">
        <v>2666</v>
      </c>
      <c r="H745" t="s">
        <v>2054</v>
      </c>
      <c r="I745" t="s">
        <v>2778</v>
      </c>
      <c r="J745" t="s">
        <v>2054</v>
      </c>
      <c r="K745" t="s">
        <v>2665</v>
      </c>
      <c r="L745" t="s">
        <v>1179</v>
      </c>
      <c r="M745" t="s">
        <v>2875</v>
      </c>
      <c r="N745" t="s">
        <v>2665</v>
      </c>
      <c r="O745" t="s">
        <v>2876</v>
      </c>
      <c r="P745" t="s">
        <v>2910</v>
      </c>
      <c r="Q745" t="s">
        <v>3758</v>
      </c>
      <c r="R745" t="s">
        <v>2665</v>
      </c>
      <c r="S745" t="s">
        <v>2779</v>
      </c>
      <c r="T745" t="s">
        <v>2780</v>
      </c>
      <c r="U745" t="s">
        <v>2665</v>
      </c>
      <c r="V745" t="s">
        <v>4070</v>
      </c>
      <c r="W745" t="s">
        <v>4071</v>
      </c>
      <c r="X745" t="s">
        <v>2665</v>
      </c>
      <c r="Y745" t="s">
        <v>2054</v>
      </c>
      <c r="Z745" t="s">
        <v>1179</v>
      </c>
      <c r="AA745" t="s">
        <v>2795</v>
      </c>
      <c r="AB745" t="s">
        <v>2795</v>
      </c>
      <c r="AC745" t="s">
        <v>2665</v>
      </c>
      <c r="AD745" t="s">
        <v>2054</v>
      </c>
      <c r="AE745" t="s">
        <v>2054</v>
      </c>
    </row>
    <row r="746" spans="1:31" x14ac:dyDescent="0.25">
      <c r="A746" t="s">
        <v>1870</v>
      </c>
      <c r="B746" t="s">
        <v>1869</v>
      </c>
      <c r="C746" t="s">
        <v>4102</v>
      </c>
      <c r="D746" t="s">
        <v>1869</v>
      </c>
      <c r="E746" t="s">
        <v>2666</v>
      </c>
      <c r="F746" t="s">
        <v>2748</v>
      </c>
      <c r="G746" t="s">
        <v>2666</v>
      </c>
      <c r="H746" t="s">
        <v>2054</v>
      </c>
      <c r="I746" t="s">
        <v>2778</v>
      </c>
      <c r="J746" t="s">
        <v>2054</v>
      </c>
      <c r="K746" t="s">
        <v>2665</v>
      </c>
      <c r="L746" t="s">
        <v>1179</v>
      </c>
      <c r="M746" t="s">
        <v>2898</v>
      </c>
      <c r="N746" t="s">
        <v>2665</v>
      </c>
      <c r="O746" t="s">
        <v>2984</v>
      </c>
      <c r="P746" t="s">
        <v>2985</v>
      </c>
      <c r="Q746" t="s">
        <v>4103</v>
      </c>
      <c r="R746" t="s">
        <v>2665</v>
      </c>
      <c r="S746" t="s">
        <v>2779</v>
      </c>
      <c r="T746" t="s">
        <v>2780</v>
      </c>
      <c r="U746" t="s">
        <v>2665</v>
      </c>
      <c r="V746" t="s">
        <v>3711</v>
      </c>
      <c r="W746" t="s">
        <v>3712</v>
      </c>
      <c r="X746" t="s">
        <v>2665</v>
      </c>
      <c r="Y746" t="s">
        <v>2054</v>
      </c>
      <c r="Z746" t="s">
        <v>1179</v>
      </c>
      <c r="AA746" t="s">
        <v>2742</v>
      </c>
      <c r="AB746" t="s">
        <v>2742</v>
      </c>
      <c r="AC746" t="s">
        <v>2665</v>
      </c>
      <c r="AD746" t="s">
        <v>2054</v>
      </c>
      <c r="AE746" t="s">
        <v>2054</v>
      </c>
    </row>
    <row r="747" spans="1:31" x14ac:dyDescent="0.25">
      <c r="A747" t="s">
        <v>1872</v>
      </c>
      <c r="B747" t="s">
        <v>1871</v>
      </c>
      <c r="C747" t="s">
        <v>4104</v>
      </c>
      <c r="D747" t="s">
        <v>1871</v>
      </c>
      <c r="E747" t="s">
        <v>2666</v>
      </c>
      <c r="F747" t="s">
        <v>3157</v>
      </c>
      <c r="G747" t="s">
        <v>2666</v>
      </c>
      <c r="H747" t="s">
        <v>2054</v>
      </c>
      <c r="I747" t="s">
        <v>2778</v>
      </c>
      <c r="J747" t="s">
        <v>2054</v>
      </c>
      <c r="K747" t="s">
        <v>2665</v>
      </c>
      <c r="L747" t="s">
        <v>1179</v>
      </c>
      <c r="M747" t="s">
        <v>2898</v>
      </c>
      <c r="N747" t="s">
        <v>2665</v>
      </c>
      <c r="O747" t="s">
        <v>2984</v>
      </c>
      <c r="P747" t="s">
        <v>2985</v>
      </c>
      <c r="Q747" t="s">
        <v>4103</v>
      </c>
      <c r="R747" t="s">
        <v>2665</v>
      </c>
      <c r="S747" t="s">
        <v>2779</v>
      </c>
      <c r="T747" t="s">
        <v>2780</v>
      </c>
      <c r="U747" t="s">
        <v>2665</v>
      </c>
      <c r="V747" t="s">
        <v>3711</v>
      </c>
      <c r="W747" t="s">
        <v>3712</v>
      </c>
      <c r="X747" t="s">
        <v>2665</v>
      </c>
      <c r="Y747" t="s">
        <v>2054</v>
      </c>
      <c r="Z747" t="s">
        <v>1179</v>
      </c>
      <c r="AA747" t="s">
        <v>2850</v>
      </c>
      <c r="AB747" t="s">
        <v>2850</v>
      </c>
      <c r="AC747" t="s">
        <v>2665</v>
      </c>
      <c r="AD747" t="s">
        <v>2054</v>
      </c>
      <c r="AE747" t="s">
        <v>2054</v>
      </c>
    </row>
    <row r="748" spans="1:31" x14ac:dyDescent="0.25">
      <c r="A748" t="s">
        <v>1874</v>
      </c>
      <c r="B748" t="s">
        <v>1873</v>
      </c>
      <c r="C748" t="s">
        <v>4105</v>
      </c>
      <c r="D748" t="s">
        <v>1873</v>
      </c>
      <c r="E748" t="s">
        <v>2666</v>
      </c>
      <c r="F748" t="s">
        <v>3833</v>
      </c>
      <c r="G748" t="s">
        <v>2666</v>
      </c>
      <c r="H748" t="s">
        <v>2054</v>
      </c>
      <c r="I748" t="s">
        <v>2778</v>
      </c>
      <c r="J748" t="s">
        <v>2054</v>
      </c>
      <c r="K748" t="s">
        <v>2665</v>
      </c>
      <c r="L748" t="s">
        <v>1179</v>
      </c>
      <c r="M748" t="s">
        <v>2898</v>
      </c>
      <c r="N748" t="s">
        <v>2665</v>
      </c>
      <c r="O748" t="s">
        <v>2984</v>
      </c>
      <c r="P748" t="s">
        <v>2985</v>
      </c>
      <c r="Q748" t="s">
        <v>4103</v>
      </c>
      <c r="R748" t="s">
        <v>2665</v>
      </c>
      <c r="S748" t="s">
        <v>2779</v>
      </c>
      <c r="T748" t="s">
        <v>2780</v>
      </c>
      <c r="U748" t="s">
        <v>2665</v>
      </c>
      <c r="V748" t="s">
        <v>3711</v>
      </c>
      <c r="W748" t="s">
        <v>3712</v>
      </c>
      <c r="X748" t="s">
        <v>2665</v>
      </c>
      <c r="Y748" t="s">
        <v>2054</v>
      </c>
      <c r="Z748" t="s">
        <v>1179</v>
      </c>
      <c r="AA748" t="s">
        <v>2763</v>
      </c>
      <c r="AB748" t="s">
        <v>2763</v>
      </c>
      <c r="AC748" t="s">
        <v>2665</v>
      </c>
      <c r="AD748" t="s">
        <v>2054</v>
      </c>
      <c r="AE748" t="s">
        <v>2054</v>
      </c>
    </row>
    <row r="749" spans="1:31" x14ac:dyDescent="0.25">
      <c r="A749" t="s">
        <v>1876</v>
      </c>
      <c r="B749" t="s">
        <v>1875</v>
      </c>
      <c r="C749" t="s">
        <v>4106</v>
      </c>
      <c r="D749" t="s">
        <v>1875</v>
      </c>
      <c r="E749" t="s">
        <v>2666</v>
      </c>
      <c r="F749" t="s">
        <v>3830</v>
      </c>
      <c r="G749" t="s">
        <v>2666</v>
      </c>
      <c r="H749" t="s">
        <v>2054</v>
      </c>
      <c r="I749" t="s">
        <v>2778</v>
      </c>
      <c r="J749" t="s">
        <v>2054</v>
      </c>
      <c r="K749" t="s">
        <v>2665</v>
      </c>
      <c r="L749" t="s">
        <v>1179</v>
      </c>
      <c r="M749" t="s">
        <v>2898</v>
      </c>
      <c r="N749" t="s">
        <v>2665</v>
      </c>
      <c r="O749" t="s">
        <v>2984</v>
      </c>
      <c r="P749" t="s">
        <v>2985</v>
      </c>
      <c r="Q749" t="s">
        <v>4103</v>
      </c>
      <c r="R749" t="s">
        <v>2665</v>
      </c>
      <c r="S749" t="s">
        <v>2779</v>
      </c>
      <c r="T749" t="s">
        <v>2780</v>
      </c>
      <c r="U749" t="s">
        <v>2665</v>
      </c>
      <c r="V749" t="s">
        <v>3711</v>
      </c>
      <c r="W749" t="s">
        <v>3712</v>
      </c>
      <c r="X749" t="s">
        <v>2665</v>
      </c>
      <c r="Y749" t="s">
        <v>2054</v>
      </c>
      <c r="Z749" t="s">
        <v>1179</v>
      </c>
      <c r="AA749" t="s">
        <v>2797</v>
      </c>
      <c r="AB749" t="s">
        <v>2797</v>
      </c>
      <c r="AC749" t="s">
        <v>2665</v>
      </c>
      <c r="AD749" t="s">
        <v>2054</v>
      </c>
      <c r="AE749" t="s">
        <v>2054</v>
      </c>
    </row>
    <row r="750" spans="1:31" x14ac:dyDescent="0.25">
      <c r="A750" t="s">
        <v>1878</v>
      </c>
      <c r="B750" t="s">
        <v>1877</v>
      </c>
      <c r="C750" t="s">
        <v>2791</v>
      </c>
      <c r="D750" t="s">
        <v>1877</v>
      </c>
      <c r="E750" t="s">
        <v>2666</v>
      </c>
      <c r="F750" t="s">
        <v>2712</v>
      </c>
      <c r="G750" t="s">
        <v>2666</v>
      </c>
      <c r="H750" t="s">
        <v>2054</v>
      </c>
      <c r="I750" t="s">
        <v>2778</v>
      </c>
      <c r="J750" t="s">
        <v>2054</v>
      </c>
      <c r="K750" t="s">
        <v>2665</v>
      </c>
      <c r="L750" t="s">
        <v>1179</v>
      </c>
      <c r="M750" t="s">
        <v>2898</v>
      </c>
      <c r="N750" t="s">
        <v>2665</v>
      </c>
      <c r="O750" t="s">
        <v>2984</v>
      </c>
      <c r="P750" t="s">
        <v>2985</v>
      </c>
      <c r="Q750" t="s">
        <v>4103</v>
      </c>
      <c r="R750" t="s">
        <v>2665</v>
      </c>
      <c r="S750" t="s">
        <v>2779</v>
      </c>
      <c r="T750" t="s">
        <v>2780</v>
      </c>
      <c r="U750" t="s">
        <v>2665</v>
      </c>
      <c r="V750" t="s">
        <v>3711</v>
      </c>
      <c r="W750" t="s">
        <v>3712</v>
      </c>
      <c r="X750" t="s">
        <v>2665</v>
      </c>
      <c r="Y750" t="s">
        <v>2054</v>
      </c>
      <c r="Z750" t="s">
        <v>1179</v>
      </c>
      <c r="AA750" t="s">
        <v>2850</v>
      </c>
      <c r="AB750" t="s">
        <v>2850</v>
      </c>
      <c r="AC750" t="s">
        <v>2665</v>
      </c>
      <c r="AD750" t="s">
        <v>2054</v>
      </c>
      <c r="AE750" t="s">
        <v>2054</v>
      </c>
    </row>
    <row r="751" spans="1:31" x14ac:dyDescent="0.25">
      <c r="A751" t="s">
        <v>1880</v>
      </c>
      <c r="B751" t="s">
        <v>1879</v>
      </c>
      <c r="C751" t="s">
        <v>4107</v>
      </c>
      <c r="D751" t="s">
        <v>1879</v>
      </c>
      <c r="E751" t="s">
        <v>2666</v>
      </c>
      <c r="F751" t="s">
        <v>2787</v>
      </c>
      <c r="G751" t="s">
        <v>2666</v>
      </c>
      <c r="H751" t="s">
        <v>2054</v>
      </c>
      <c r="I751" t="s">
        <v>2778</v>
      </c>
      <c r="J751" t="s">
        <v>2054</v>
      </c>
      <c r="K751" t="s">
        <v>2665</v>
      </c>
      <c r="L751" t="s">
        <v>1179</v>
      </c>
      <c r="M751" t="s">
        <v>2898</v>
      </c>
      <c r="N751" t="s">
        <v>2665</v>
      </c>
      <c r="O751" t="s">
        <v>2984</v>
      </c>
      <c r="P751" t="s">
        <v>2985</v>
      </c>
      <c r="Q751" t="s">
        <v>4103</v>
      </c>
      <c r="R751" t="s">
        <v>2665</v>
      </c>
      <c r="S751" t="s">
        <v>2779</v>
      </c>
      <c r="T751" t="s">
        <v>2780</v>
      </c>
      <c r="U751" t="s">
        <v>2665</v>
      </c>
      <c r="V751" t="s">
        <v>3711</v>
      </c>
      <c r="W751" t="s">
        <v>3712</v>
      </c>
      <c r="X751" t="s">
        <v>2665</v>
      </c>
      <c r="Y751" t="s">
        <v>2054</v>
      </c>
      <c r="Z751" t="s">
        <v>1179</v>
      </c>
      <c r="AA751" t="s">
        <v>2797</v>
      </c>
      <c r="AB751" t="s">
        <v>2797</v>
      </c>
      <c r="AC751" t="s">
        <v>2665</v>
      </c>
      <c r="AD751" t="s">
        <v>2054</v>
      </c>
      <c r="AE751" t="s">
        <v>2054</v>
      </c>
    </row>
    <row r="752" spans="1:31" x14ac:dyDescent="0.25">
      <c r="A752" t="s">
        <v>1882</v>
      </c>
      <c r="B752" t="s">
        <v>1881</v>
      </c>
      <c r="C752" t="s">
        <v>4108</v>
      </c>
      <c r="D752" t="s">
        <v>1881</v>
      </c>
      <c r="E752" t="s">
        <v>2666</v>
      </c>
      <c r="F752" t="s">
        <v>4109</v>
      </c>
      <c r="G752" t="s">
        <v>2666</v>
      </c>
      <c r="H752" t="s">
        <v>2054</v>
      </c>
      <c r="I752" t="s">
        <v>2778</v>
      </c>
      <c r="J752" t="s">
        <v>2054</v>
      </c>
      <c r="K752" t="s">
        <v>2665</v>
      </c>
      <c r="L752" t="s">
        <v>1179</v>
      </c>
      <c r="M752" t="s">
        <v>2898</v>
      </c>
      <c r="N752" t="s">
        <v>2665</v>
      </c>
      <c r="O752" t="s">
        <v>2984</v>
      </c>
      <c r="P752" t="s">
        <v>2985</v>
      </c>
      <c r="Q752" t="s">
        <v>4103</v>
      </c>
      <c r="R752" t="s">
        <v>2665</v>
      </c>
      <c r="S752" t="s">
        <v>2779</v>
      </c>
      <c r="T752" t="s">
        <v>2780</v>
      </c>
      <c r="U752" t="s">
        <v>2665</v>
      </c>
      <c r="V752" t="s">
        <v>4110</v>
      </c>
      <c r="W752" t="s">
        <v>4111</v>
      </c>
      <c r="X752" t="s">
        <v>2665</v>
      </c>
      <c r="Y752" t="s">
        <v>2054</v>
      </c>
      <c r="Z752" t="s">
        <v>1179</v>
      </c>
      <c r="AA752" t="s">
        <v>2797</v>
      </c>
      <c r="AB752" t="s">
        <v>2797</v>
      </c>
      <c r="AC752" t="s">
        <v>2665</v>
      </c>
      <c r="AD752" t="s">
        <v>2054</v>
      </c>
      <c r="AE752" t="s">
        <v>2054</v>
      </c>
    </row>
    <row r="753" spans="1:31" x14ac:dyDescent="0.25">
      <c r="A753" t="s">
        <v>1884</v>
      </c>
      <c r="B753" t="s">
        <v>1883</v>
      </c>
      <c r="C753" t="s">
        <v>4112</v>
      </c>
      <c r="D753" t="s">
        <v>1883</v>
      </c>
      <c r="E753" t="s">
        <v>2666</v>
      </c>
      <c r="F753" t="s">
        <v>3710</v>
      </c>
      <c r="G753" t="s">
        <v>2666</v>
      </c>
      <c r="H753" t="s">
        <v>2054</v>
      </c>
      <c r="I753" t="s">
        <v>2778</v>
      </c>
      <c r="J753" t="s">
        <v>2054</v>
      </c>
      <c r="K753" t="s">
        <v>2665</v>
      </c>
      <c r="L753" t="s">
        <v>1179</v>
      </c>
      <c r="M753" t="s">
        <v>2898</v>
      </c>
      <c r="N753" t="s">
        <v>2665</v>
      </c>
      <c r="O753" t="s">
        <v>2984</v>
      </c>
      <c r="P753" t="s">
        <v>2985</v>
      </c>
      <c r="Q753" t="s">
        <v>4103</v>
      </c>
      <c r="R753" t="s">
        <v>2665</v>
      </c>
      <c r="S753" t="s">
        <v>2779</v>
      </c>
      <c r="T753" t="s">
        <v>2780</v>
      </c>
      <c r="U753" t="s">
        <v>2665</v>
      </c>
      <c r="V753" t="s">
        <v>4110</v>
      </c>
      <c r="W753" t="s">
        <v>4111</v>
      </c>
      <c r="X753" t="s">
        <v>2665</v>
      </c>
      <c r="Y753" t="s">
        <v>2054</v>
      </c>
      <c r="Z753" t="s">
        <v>1179</v>
      </c>
      <c r="AA753" t="s">
        <v>3561</v>
      </c>
      <c r="AB753" t="s">
        <v>3561</v>
      </c>
      <c r="AC753" t="s">
        <v>2665</v>
      </c>
      <c r="AD753" t="s">
        <v>2054</v>
      </c>
      <c r="AE753" t="s">
        <v>2054</v>
      </c>
    </row>
    <row r="754" spans="1:31" x14ac:dyDescent="0.25">
      <c r="A754" t="s">
        <v>1886</v>
      </c>
      <c r="B754" t="s">
        <v>1885</v>
      </c>
      <c r="C754" t="s">
        <v>4113</v>
      </c>
      <c r="D754" t="s">
        <v>536</v>
      </c>
      <c r="E754" t="s">
        <v>2666</v>
      </c>
      <c r="F754" t="s">
        <v>3754</v>
      </c>
      <c r="G754" t="s">
        <v>2666</v>
      </c>
      <c r="H754" t="s">
        <v>2054</v>
      </c>
      <c r="I754" t="s">
        <v>2741</v>
      </c>
      <c r="J754" t="s">
        <v>2054</v>
      </c>
      <c r="K754" t="s">
        <v>2665</v>
      </c>
      <c r="L754" t="s">
        <v>1136</v>
      </c>
      <c r="M754" t="s">
        <v>3318</v>
      </c>
      <c r="N754" t="s">
        <v>2665</v>
      </c>
      <c r="O754" t="s">
        <v>4114</v>
      </c>
      <c r="P754" t="s">
        <v>2985</v>
      </c>
      <c r="Q754" t="s">
        <v>4103</v>
      </c>
      <c r="R754" t="s">
        <v>2665</v>
      </c>
      <c r="S754" t="s">
        <v>2781</v>
      </c>
      <c r="T754" t="s">
        <v>2922</v>
      </c>
      <c r="U754" t="s">
        <v>2665</v>
      </c>
      <c r="V754" t="s">
        <v>3711</v>
      </c>
      <c r="W754" t="s">
        <v>3712</v>
      </c>
      <c r="X754" t="s">
        <v>2665</v>
      </c>
      <c r="Y754" t="s">
        <v>2054</v>
      </c>
      <c r="Z754" t="s">
        <v>1136</v>
      </c>
      <c r="AA754" t="s">
        <v>2745</v>
      </c>
      <c r="AB754" t="s">
        <v>2745</v>
      </c>
      <c r="AC754" t="s">
        <v>2665</v>
      </c>
      <c r="AD754" t="s">
        <v>2054</v>
      </c>
      <c r="AE754" t="s">
        <v>2054</v>
      </c>
    </row>
    <row r="755" spans="1:31" x14ac:dyDescent="0.25">
      <c r="A755" t="s">
        <v>1887</v>
      </c>
      <c r="B755" t="s">
        <v>555</v>
      </c>
      <c r="C755" t="s">
        <v>4115</v>
      </c>
      <c r="D755" t="s">
        <v>524</v>
      </c>
      <c r="E755" t="s">
        <v>2666</v>
      </c>
      <c r="F755" t="s">
        <v>4116</v>
      </c>
      <c r="G755" t="s">
        <v>2666</v>
      </c>
      <c r="H755" t="s">
        <v>2054</v>
      </c>
      <c r="I755" t="s">
        <v>2741</v>
      </c>
      <c r="J755" t="s">
        <v>2054</v>
      </c>
      <c r="K755" t="s">
        <v>2665</v>
      </c>
      <c r="L755" t="s">
        <v>1136</v>
      </c>
      <c r="M755" t="s">
        <v>3318</v>
      </c>
      <c r="N755" t="s">
        <v>2665</v>
      </c>
      <c r="O755" t="s">
        <v>4114</v>
      </c>
      <c r="P755" t="s">
        <v>2985</v>
      </c>
      <c r="Q755" t="s">
        <v>4103</v>
      </c>
      <c r="R755" t="s">
        <v>2665</v>
      </c>
      <c r="S755" t="s">
        <v>2781</v>
      </c>
      <c r="T755" t="s">
        <v>2922</v>
      </c>
      <c r="U755" t="s">
        <v>2665</v>
      </c>
      <c r="V755" t="s">
        <v>3711</v>
      </c>
      <c r="W755" t="s">
        <v>3712</v>
      </c>
      <c r="X755" t="s">
        <v>2665</v>
      </c>
      <c r="Y755" t="s">
        <v>2054</v>
      </c>
      <c r="Z755" t="s">
        <v>1136</v>
      </c>
      <c r="AA755" t="s">
        <v>2795</v>
      </c>
      <c r="AB755" t="s">
        <v>2795</v>
      </c>
      <c r="AC755" t="s">
        <v>2665</v>
      </c>
      <c r="AD755" t="s">
        <v>2054</v>
      </c>
      <c r="AE755" t="s">
        <v>2054</v>
      </c>
    </row>
    <row r="756" spans="1:31" x14ac:dyDescent="0.25">
      <c r="A756" t="s">
        <v>1888</v>
      </c>
      <c r="B756" t="s">
        <v>563</v>
      </c>
      <c r="C756" t="s">
        <v>4117</v>
      </c>
      <c r="D756" t="s">
        <v>533</v>
      </c>
      <c r="E756" t="s">
        <v>2666</v>
      </c>
      <c r="F756" t="s">
        <v>4118</v>
      </c>
      <c r="G756" t="s">
        <v>2666</v>
      </c>
      <c r="H756" t="s">
        <v>2054</v>
      </c>
      <c r="I756" t="s">
        <v>2741</v>
      </c>
      <c r="J756" t="s">
        <v>2054</v>
      </c>
      <c r="K756" t="s">
        <v>2665</v>
      </c>
      <c r="L756" t="s">
        <v>1136</v>
      </c>
      <c r="M756" t="s">
        <v>3318</v>
      </c>
      <c r="N756" t="s">
        <v>2665</v>
      </c>
      <c r="O756" t="s">
        <v>4114</v>
      </c>
      <c r="P756" t="s">
        <v>2985</v>
      </c>
      <c r="Q756" t="s">
        <v>4103</v>
      </c>
      <c r="R756" t="s">
        <v>2665</v>
      </c>
      <c r="S756" t="s">
        <v>2781</v>
      </c>
      <c r="T756" t="s">
        <v>2922</v>
      </c>
      <c r="U756" t="s">
        <v>2665</v>
      </c>
      <c r="V756" t="s">
        <v>3711</v>
      </c>
      <c r="W756" t="s">
        <v>3712</v>
      </c>
      <c r="X756" t="s">
        <v>2665</v>
      </c>
      <c r="Y756" t="s">
        <v>2054</v>
      </c>
      <c r="Z756" t="s">
        <v>1136</v>
      </c>
      <c r="AA756" t="s">
        <v>2797</v>
      </c>
      <c r="AB756" t="s">
        <v>2797</v>
      </c>
      <c r="AC756" t="s">
        <v>2665</v>
      </c>
      <c r="AD756" t="s">
        <v>2054</v>
      </c>
      <c r="AE756" t="s">
        <v>2054</v>
      </c>
    </row>
    <row r="757" spans="1:31" x14ac:dyDescent="0.25">
      <c r="A757" t="s">
        <v>1889</v>
      </c>
      <c r="B757" t="s">
        <v>554</v>
      </c>
      <c r="C757" t="s">
        <v>4119</v>
      </c>
      <c r="D757" t="s">
        <v>526</v>
      </c>
      <c r="E757" t="s">
        <v>2666</v>
      </c>
      <c r="F757" t="s">
        <v>2801</v>
      </c>
      <c r="G757" t="s">
        <v>2666</v>
      </c>
      <c r="H757" t="s">
        <v>2054</v>
      </c>
      <c r="I757" t="s">
        <v>2741</v>
      </c>
      <c r="J757" t="s">
        <v>2054</v>
      </c>
      <c r="K757" t="s">
        <v>2665</v>
      </c>
      <c r="L757" t="s">
        <v>1136</v>
      </c>
      <c r="M757" t="s">
        <v>3318</v>
      </c>
      <c r="N757" t="s">
        <v>2665</v>
      </c>
      <c r="O757" t="s">
        <v>4114</v>
      </c>
      <c r="P757" t="s">
        <v>2985</v>
      </c>
      <c r="Q757" t="s">
        <v>4103</v>
      </c>
      <c r="R757" t="s">
        <v>2665</v>
      </c>
      <c r="S757" t="s">
        <v>2781</v>
      </c>
      <c r="T757" t="s">
        <v>2922</v>
      </c>
      <c r="U757" t="s">
        <v>2665</v>
      </c>
      <c r="V757" t="s">
        <v>3711</v>
      </c>
      <c r="W757" t="s">
        <v>3712</v>
      </c>
      <c r="X757" t="s">
        <v>2665</v>
      </c>
      <c r="Y757" t="s">
        <v>2054</v>
      </c>
      <c r="Z757" t="s">
        <v>1136</v>
      </c>
      <c r="AA757" t="s">
        <v>2795</v>
      </c>
      <c r="AB757" t="s">
        <v>2795</v>
      </c>
      <c r="AC757" t="s">
        <v>2665</v>
      </c>
      <c r="AD757" t="s">
        <v>2054</v>
      </c>
      <c r="AE757" t="s">
        <v>2054</v>
      </c>
    </row>
    <row r="758" spans="1:31" x14ac:dyDescent="0.25">
      <c r="A758" t="s">
        <v>1890</v>
      </c>
      <c r="B758" t="s">
        <v>560</v>
      </c>
      <c r="C758" t="s">
        <v>4120</v>
      </c>
      <c r="D758" t="s">
        <v>565</v>
      </c>
      <c r="E758" t="s">
        <v>2666</v>
      </c>
      <c r="F758" t="s">
        <v>4121</v>
      </c>
      <c r="G758" t="s">
        <v>2666</v>
      </c>
      <c r="H758" t="s">
        <v>2054</v>
      </c>
      <c r="I758" t="s">
        <v>2741</v>
      </c>
      <c r="J758" t="s">
        <v>2054</v>
      </c>
      <c r="K758" t="s">
        <v>2665</v>
      </c>
      <c r="L758" t="s">
        <v>1136</v>
      </c>
      <c r="M758" t="s">
        <v>3318</v>
      </c>
      <c r="N758" t="s">
        <v>2665</v>
      </c>
      <c r="O758" t="s">
        <v>4114</v>
      </c>
      <c r="P758" t="s">
        <v>2985</v>
      </c>
      <c r="Q758" t="s">
        <v>4103</v>
      </c>
      <c r="R758" t="s">
        <v>2665</v>
      </c>
      <c r="S758" t="s">
        <v>2781</v>
      </c>
      <c r="T758" t="s">
        <v>2922</v>
      </c>
      <c r="U758" t="s">
        <v>2665</v>
      </c>
      <c r="V758" t="s">
        <v>3711</v>
      </c>
      <c r="W758" t="s">
        <v>3712</v>
      </c>
      <c r="X758" t="s">
        <v>2665</v>
      </c>
      <c r="Y758" t="s">
        <v>2054</v>
      </c>
      <c r="Z758" t="s">
        <v>1136</v>
      </c>
      <c r="AA758" t="s">
        <v>2685</v>
      </c>
      <c r="AB758" t="s">
        <v>2685</v>
      </c>
      <c r="AC758" t="s">
        <v>2665</v>
      </c>
      <c r="AD758" t="s">
        <v>2054</v>
      </c>
      <c r="AE758" t="s">
        <v>2054</v>
      </c>
    </row>
    <row r="759" spans="1:31" x14ac:dyDescent="0.25">
      <c r="A759" t="s">
        <v>1891</v>
      </c>
      <c r="B759" t="s">
        <v>553</v>
      </c>
      <c r="C759" t="s">
        <v>4122</v>
      </c>
      <c r="D759" t="s">
        <v>525</v>
      </c>
      <c r="E759" t="s">
        <v>2666</v>
      </c>
      <c r="F759" t="s">
        <v>2825</v>
      </c>
      <c r="G759" t="s">
        <v>2666</v>
      </c>
      <c r="H759" t="s">
        <v>2054</v>
      </c>
      <c r="I759" t="s">
        <v>2741</v>
      </c>
      <c r="J759" t="s">
        <v>2054</v>
      </c>
      <c r="K759" t="s">
        <v>2665</v>
      </c>
      <c r="L759" t="s">
        <v>1136</v>
      </c>
      <c r="M759" t="s">
        <v>3318</v>
      </c>
      <c r="N759" t="s">
        <v>2665</v>
      </c>
      <c r="O759" t="s">
        <v>4114</v>
      </c>
      <c r="P759" t="s">
        <v>2985</v>
      </c>
      <c r="Q759" t="s">
        <v>4103</v>
      </c>
      <c r="R759" t="s">
        <v>2665</v>
      </c>
      <c r="S759" t="s">
        <v>2781</v>
      </c>
      <c r="T759" t="s">
        <v>2922</v>
      </c>
      <c r="U759" t="s">
        <v>2665</v>
      </c>
      <c r="V759" t="s">
        <v>3711</v>
      </c>
      <c r="W759" t="s">
        <v>3712</v>
      </c>
      <c r="X759" t="s">
        <v>2665</v>
      </c>
      <c r="Y759" t="s">
        <v>2054</v>
      </c>
      <c r="Z759" t="s">
        <v>1136</v>
      </c>
      <c r="AA759" t="s">
        <v>2795</v>
      </c>
      <c r="AB759" t="s">
        <v>2795</v>
      </c>
      <c r="AC759" t="s">
        <v>2665</v>
      </c>
      <c r="AD759" t="s">
        <v>2054</v>
      </c>
      <c r="AE759" t="s">
        <v>2054</v>
      </c>
    </row>
    <row r="760" spans="1:31" x14ac:dyDescent="0.25">
      <c r="A760" t="s">
        <v>1892</v>
      </c>
      <c r="B760" t="s">
        <v>562</v>
      </c>
      <c r="C760" t="s">
        <v>4123</v>
      </c>
      <c r="D760" t="s">
        <v>521</v>
      </c>
      <c r="E760" t="s">
        <v>2666</v>
      </c>
      <c r="F760" t="s">
        <v>4124</v>
      </c>
      <c r="G760" t="s">
        <v>2666</v>
      </c>
      <c r="H760" t="s">
        <v>2054</v>
      </c>
      <c r="I760" t="s">
        <v>2741</v>
      </c>
      <c r="J760" t="s">
        <v>2054</v>
      </c>
      <c r="K760" t="s">
        <v>2665</v>
      </c>
      <c r="L760" t="s">
        <v>1136</v>
      </c>
      <c r="M760" t="s">
        <v>3318</v>
      </c>
      <c r="N760" t="s">
        <v>2665</v>
      </c>
      <c r="O760" t="s">
        <v>4114</v>
      </c>
      <c r="P760" t="s">
        <v>2985</v>
      </c>
      <c r="Q760" t="s">
        <v>4103</v>
      </c>
      <c r="R760" t="s">
        <v>2665</v>
      </c>
      <c r="S760" t="s">
        <v>2781</v>
      </c>
      <c r="T760" t="s">
        <v>2922</v>
      </c>
      <c r="U760" t="s">
        <v>2665</v>
      </c>
      <c r="V760" t="s">
        <v>3711</v>
      </c>
      <c r="W760" t="s">
        <v>3712</v>
      </c>
      <c r="X760" t="s">
        <v>2665</v>
      </c>
      <c r="Y760" t="s">
        <v>2054</v>
      </c>
      <c r="Z760" t="s">
        <v>1136</v>
      </c>
      <c r="AA760" t="s">
        <v>2795</v>
      </c>
      <c r="AB760" t="s">
        <v>2795</v>
      </c>
      <c r="AC760" t="s">
        <v>2665</v>
      </c>
      <c r="AD760" t="s">
        <v>2054</v>
      </c>
      <c r="AE760" t="s">
        <v>2054</v>
      </c>
    </row>
    <row r="761" spans="1:31" x14ac:dyDescent="0.25">
      <c r="A761" t="s">
        <v>1893</v>
      </c>
      <c r="B761" t="s">
        <v>552</v>
      </c>
      <c r="C761" t="s">
        <v>4125</v>
      </c>
      <c r="D761" t="s">
        <v>528</v>
      </c>
      <c r="E761" t="s">
        <v>2666</v>
      </c>
      <c r="F761" t="s">
        <v>4126</v>
      </c>
      <c r="G761" t="s">
        <v>2666</v>
      </c>
      <c r="H761" t="s">
        <v>2054</v>
      </c>
      <c r="I761" t="s">
        <v>2741</v>
      </c>
      <c r="J761" t="s">
        <v>2054</v>
      </c>
      <c r="K761" t="s">
        <v>2665</v>
      </c>
      <c r="L761" t="s">
        <v>1136</v>
      </c>
      <c r="M761" t="s">
        <v>3318</v>
      </c>
      <c r="N761" t="s">
        <v>2665</v>
      </c>
      <c r="O761" t="s">
        <v>4114</v>
      </c>
      <c r="P761" t="s">
        <v>2985</v>
      </c>
      <c r="Q761" t="s">
        <v>4103</v>
      </c>
      <c r="R761" t="s">
        <v>2665</v>
      </c>
      <c r="S761" t="s">
        <v>2781</v>
      </c>
      <c r="T761" t="s">
        <v>2922</v>
      </c>
      <c r="U761" t="s">
        <v>2665</v>
      </c>
      <c r="V761" t="s">
        <v>3711</v>
      </c>
      <c r="W761" t="s">
        <v>3712</v>
      </c>
      <c r="X761" t="s">
        <v>2665</v>
      </c>
      <c r="Y761" t="s">
        <v>2054</v>
      </c>
      <c r="Z761" t="s">
        <v>1136</v>
      </c>
      <c r="AA761" t="s">
        <v>2795</v>
      </c>
      <c r="AB761" t="s">
        <v>2795</v>
      </c>
      <c r="AC761" t="s">
        <v>2665</v>
      </c>
      <c r="AD761" t="s">
        <v>2054</v>
      </c>
      <c r="AE761" t="s">
        <v>2054</v>
      </c>
    </row>
    <row r="762" spans="1:31" x14ac:dyDescent="0.25">
      <c r="A762" t="s">
        <v>1894</v>
      </c>
      <c r="B762" t="s">
        <v>551</v>
      </c>
      <c r="C762" t="s">
        <v>4127</v>
      </c>
      <c r="D762" t="s">
        <v>527</v>
      </c>
      <c r="E762" t="s">
        <v>2666</v>
      </c>
      <c r="F762" t="s">
        <v>4128</v>
      </c>
      <c r="G762" t="s">
        <v>2666</v>
      </c>
      <c r="H762" t="s">
        <v>2054</v>
      </c>
      <c r="I762" t="s">
        <v>2741</v>
      </c>
      <c r="J762" t="s">
        <v>2054</v>
      </c>
      <c r="K762" t="s">
        <v>2665</v>
      </c>
      <c r="L762" t="s">
        <v>1136</v>
      </c>
      <c r="M762" t="s">
        <v>3318</v>
      </c>
      <c r="N762" t="s">
        <v>2665</v>
      </c>
      <c r="O762" t="s">
        <v>4114</v>
      </c>
      <c r="P762" t="s">
        <v>2985</v>
      </c>
      <c r="Q762" t="s">
        <v>4103</v>
      </c>
      <c r="R762" t="s">
        <v>2665</v>
      </c>
      <c r="S762" t="s">
        <v>2781</v>
      </c>
      <c r="T762" t="s">
        <v>2922</v>
      </c>
      <c r="U762" t="s">
        <v>2665</v>
      </c>
      <c r="V762" t="s">
        <v>3711</v>
      </c>
      <c r="W762" t="s">
        <v>3712</v>
      </c>
      <c r="X762" t="s">
        <v>2665</v>
      </c>
      <c r="Y762" t="s">
        <v>2054</v>
      </c>
      <c r="Z762" t="s">
        <v>1136</v>
      </c>
      <c r="AA762" t="s">
        <v>2795</v>
      </c>
      <c r="AB762" t="s">
        <v>2795</v>
      </c>
      <c r="AC762" t="s">
        <v>2665</v>
      </c>
      <c r="AD762" t="s">
        <v>2054</v>
      </c>
      <c r="AE762" t="s">
        <v>2054</v>
      </c>
    </row>
    <row r="763" spans="1:31" x14ac:dyDescent="0.25">
      <c r="A763" t="s">
        <v>1895</v>
      </c>
      <c r="B763" t="s">
        <v>550</v>
      </c>
      <c r="C763" t="s">
        <v>4129</v>
      </c>
      <c r="D763" t="s">
        <v>523</v>
      </c>
      <c r="E763" t="s">
        <v>2666</v>
      </c>
      <c r="F763" t="s">
        <v>4130</v>
      </c>
      <c r="G763" t="s">
        <v>2666</v>
      </c>
      <c r="H763" t="s">
        <v>2054</v>
      </c>
      <c r="I763" t="s">
        <v>2741</v>
      </c>
      <c r="J763" t="s">
        <v>2054</v>
      </c>
      <c r="K763" t="s">
        <v>2665</v>
      </c>
      <c r="L763" t="s">
        <v>1136</v>
      </c>
      <c r="M763" t="s">
        <v>3318</v>
      </c>
      <c r="N763" t="s">
        <v>2665</v>
      </c>
      <c r="O763" t="s">
        <v>4114</v>
      </c>
      <c r="P763" t="s">
        <v>2985</v>
      </c>
      <c r="Q763" t="s">
        <v>4103</v>
      </c>
      <c r="R763" t="s">
        <v>2665</v>
      </c>
      <c r="S763" t="s">
        <v>2781</v>
      </c>
      <c r="T763" t="s">
        <v>2922</v>
      </c>
      <c r="U763" t="s">
        <v>2665</v>
      </c>
      <c r="V763" t="s">
        <v>3711</v>
      </c>
      <c r="W763" t="s">
        <v>3712</v>
      </c>
      <c r="X763" t="s">
        <v>2665</v>
      </c>
      <c r="Y763" t="s">
        <v>2054</v>
      </c>
      <c r="Z763" t="s">
        <v>1136</v>
      </c>
      <c r="AA763" t="s">
        <v>2795</v>
      </c>
      <c r="AB763" t="s">
        <v>2795</v>
      </c>
      <c r="AC763" t="s">
        <v>2665</v>
      </c>
      <c r="AD763" t="s">
        <v>2054</v>
      </c>
      <c r="AE763" t="s">
        <v>2054</v>
      </c>
    </row>
    <row r="764" spans="1:31" x14ac:dyDescent="0.25">
      <c r="A764" t="s">
        <v>1896</v>
      </c>
      <c r="B764" t="s">
        <v>549</v>
      </c>
      <c r="C764" t="s">
        <v>4131</v>
      </c>
      <c r="D764" t="s">
        <v>522</v>
      </c>
      <c r="E764" t="s">
        <v>2666</v>
      </c>
      <c r="F764" t="s">
        <v>4132</v>
      </c>
      <c r="G764" t="s">
        <v>2666</v>
      </c>
      <c r="H764" t="s">
        <v>2054</v>
      </c>
      <c r="I764" t="s">
        <v>2741</v>
      </c>
      <c r="J764" t="s">
        <v>2054</v>
      </c>
      <c r="K764" t="s">
        <v>2665</v>
      </c>
      <c r="L764" t="s">
        <v>1136</v>
      </c>
      <c r="M764" t="s">
        <v>3318</v>
      </c>
      <c r="N764" t="s">
        <v>2665</v>
      </c>
      <c r="O764" t="s">
        <v>4114</v>
      </c>
      <c r="P764" t="s">
        <v>2985</v>
      </c>
      <c r="Q764" t="s">
        <v>4103</v>
      </c>
      <c r="R764" t="s">
        <v>2665</v>
      </c>
      <c r="S764" t="s">
        <v>2781</v>
      </c>
      <c r="T764" t="s">
        <v>2922</v>
      </c>
      <c r="U764" t="s">
        <v>2665</v>
      </c>
      <c r="V764" t="s">
        <v>3711</v>
      </c>
      <c r="W764" t="s">
        <v>3712</v>
      </c>
      <c r="X764" t="s">
        <v>2665</v>
      </c>
      <c r="Y764" t="s">
        <v>2054</v>
      </c>
      <c r="Z764" t="s">
        <v>1136</v>
      </c>
      <c r="AA764" t="s">
        <v>2795</v>
      </c>
      <c r="AB764" t="s">
        <v>2795</v>
      </c>
      <c r="AC764" t="s">
        <v>2665</v>
      </c>
      <c r="AD764" t="s">
        <v>2054</v>
      </c>
      <c r="AE764" t="s">
        <v>2054</v>
      </c>
    </row>
    <row r="765" spans="1:31" x14ac:dyDescent="0.25">
      <c r="A765" t="s">
        <v>1897</v>
      </c>
      <c r="B765" t="s">
        <v>561</v>
      </c>
      <c r="C765" t="s">
        <v>4133</v>
      </c>
      <c r="D765" t="s">
        <v>520</v>
      </c>
      <c r="E765" t="s">
        <v>2666</v>
      </c>
      <c r="F765" t="s">
        <v>4134</v>
      </c>
      <c r="G765" t="s">
        <v>2666</v>
      </c>
      <c r="H765" t="s">
        <v>2054</v>
      </c>
      <c r="I765" t="s">
        <v>2741</v>
      </c>
      <c r="J765" t="s">
        <v>2054</v>
      </c>
      <c r="K765" t="s">
        <v>2665</v>
      </c>
      <c r="L765" t="s">
        <v>1136</v>
      </c>
      <c r="M765" t="s">
        <v>3318</v>
      </c>
      <c r="N765" t="s">
        <v>2665</v>
      </c>
      <c r="O765" t="s">
        <v>4114</v>
      </c>
      <c r="P765" t="s">
        <v>2985</v>
      </c>
      <c r="Q765" t="s">
        <v>4103</v>
      </c>
      <c r="R765" t="s">
        <v>2665</v>
      </c>
      <c r="S765" t="s">
        <v>2781</v>
      </c>
      <c r="T765" t="s">
        <v>2922</v>
      </c>
      <c r="U765" t="s">
        <v>2665</v>
      </c>
      <c r="V765" t="s">
        <v>3711</v>
      </c>
      <c r="W765" t="s">
        <v>3712</v>
      </c>
      <c r="X765" t="s">
        <v>2665</v>
      </c>
      <c r="Y765" t="s">
        <v>2054</v>
      </c>
      <c r="Z765" t="s">
        <v>1136</v>
      </c>
      <c r="AA765" t="s">
        <v>2685</v>
      </c>
      <c r="AB765" t="s">
        <v>2685</v>
      </c>
      <c r="AC765" t="s">
        <v>2665</v>
      </c>
      <c r="AD765" t="s">
        <v>2054</v>
      </c>
      <c r="AE765" t="s">
        <v>2054</v>
      </c>
    </row>
    <row r="766" spans="1:31" x14ac:dyDescent="0.25">
      <c r="A766" t="s">
        <v>1898</v>
      </c>
      <c r="B766" t="s">
        <v>664</v>
      </c>
      <c r="C766" t="s">
        <v>4135</v>
      </c>
      <c r="D766" t="s">
        <v>670</v>
      </c>
      <c r="E766" t="s">
        <v>2666</v>
      </c>
      <c r="F766" t="s">
        <v>2787</v>
      </c>
      <c r="G766" t="s">
        <v>2666</v>
      </c>
      <c r="H766" t="s">
        <v>2054</v>
      </c>
      <c r="I766" t="s">
        <v>2741</v>
      </c>
      <c r="J766" t="s">
        <v>2054</v>
      </c>
      <c r="K766" t="s">
        <v>2665</v>
      </c>
      <c r="L766" t="s">
        <v>1136</v>
      </c>
      <c r="M766" t="s">
        <v>2878</v>
      </c>
      <c r="N766" t="s">
        <v>2665</v>
      </c>
      <c r="O766" t="s">
        <v>3576</v>
      </c>
      <c r="P766" t="s">
        <v>2985</v>
      </c>
      <c r="Q766" t="s">
        <v>4103</v>
      </c>
      <c r="R766" t="s">
        <v>2665</v>
      </c>
      <c r="S766" t="s">
        <v>2781</v>
      </c>
      <c r="T766" t="s">
        <v>2922</v>
      </c>
      <c r="U766" t="s">
        <v>2665</v>
      </c>
      <c r="V766" t="s">
        <v>4110</v>
      </c>
      <c r="W766" t="s">
        <v>4111</v>
      </c>
      <c r="X766" t="s">
        <v>2665</v>
      </c>
      <c r="Y766" t="s">
        <v>2054</v>
      </c>
      <c r="Z766" t="s">
        <v>1136</v>
      </c>
      <c r="AA766" t="s">
        <v>2791</v>
      </c>
      <c r="AB766" t="s">
        <v>2791</v>
      </c>
      <c r="AC766" t="s">
        <v>2665</v>
      </c>
      <c r="AD766" t="s">
        <v>2054</v>
      </c>
      <c r="AE766" t="s">
        <v>2054</v>
      </c>
    </row>
    <row r="767" spans="1:31" x14ac:dyDescent="0.25">
      <c r="A767" t="s">
        <v>1899</v>
      </c>
      <c r="B767" t="s">
        <v>665</v>
      </c>
      <c r="C767" t="s">
        <v>4136</v>
      </c>
      <c r="D767" t="s">
        <v>671</v>
      </c>
      <c r="E767" t="s">
        <v>2666</v>
      </c>
      <c r="F767" t="s">
        <v>4137</v>
      </c>
      <c r="G767" t="s">
        <v>2666</v>
      </c>
      <c r="H767" t="s">
        <v>2054</v>
      </c>
      <c r="I767" t="s">
        <v>2741</v>
      </c>
      <c r="J767" t="s">
        <v>2054</v>
      </c>
      <c r="K767" t="s">
        <v>2665</v>
      </c>
      <c r="L767" t="s">
        <v>1136</v>
      </c>
      <c r="M767" t="s">
        <v>2878</v>
      </c>
      <c r="N767" t="s">
        <v>2665</v>
      </c>
      <c r="O767" t="s">
        <v>3576</v>
      </c>
      <c r="P767" t="s">
        <v>2985</v>
      </c>
      <c r="Q767" t="s">
        <v>4103</v>
      </c>
      <c r="R767" t="s">
        <v>2665</v>
      </c>
      <c r="S767" t="s">
        <v>2781</v>
      </c>
      <c r="T767" t="s">
        <v>2922</v>
      </c>
      <c r="U767" t="s">
        <v>2665</v>
      </c>
      <c r="V767" t="s">
        <v>4110</v>
      </c>
      <c r="W767" t="s">
        <v>4111</v>
      </c>
      <c r="X767" t="s">
        <v>2665</v>
      </c>
      <c r="Y767" t="s">
        <v>2054</v>
      </c>
      <c r="Z767" t="s">
        <v>1136</v>
      </c>
      <c r="AA767" t="s">
        <v>2791</v>
      </c>
      <c r="AB767" t="s">
        <v>2791</v>
      </c>
      <c r="AC767" t="s">
        <v>2665</v>
      </c>
      <c r="AD767" t="s">
        <v>2054</v>
      </c>
      <c r="AE767" t="s">
        <v>2054</v>
      </c>
    </row>
    <row r="768" spans="1:31" x14ac:dyDescent="0.25">
      <c r="A768" t="s">
        <v>1900</v>
      </c>
      <c r="B768" t="s">
        <v>666</v>
      </c>
      <c r="C768" t="s">
        <v>4138</v>
      </c>
      <c r="D768" t="s">
        <v>672</v>
      </c>
      <c r="E768" t="s">
        <v>2666</v>
      </c>
      <c r="F768" t="s">
        <v>3326</v>
      </c>
      <c r="G768" t="s">
        <v>2666</v>
      </c>
      <c r="H768" t="s">
        <v>2054</v>
      </c>
      <c r="I768" t="s">
        <v>2741</v>
      </c>
      <c r="J768" t="s">
        <v>2054</v>
      </c>
      <c r="K768" t="s">
        <v>2665</v>
      </c>
      <c r="L768" t="s">
        <v>1136</v>
      </c>
      <c r="M768" t="s">
        <v>2878</v>
      </c>
      <c r="N768" t="s">
        <v>2665</v>
      </c>
      <c r="O768" t="s">
        <v>3576</v>
      </c>
      <c r="P768" t="s">
        <v>2985</v>
      </c>
      <c r="Q768" t="s">
        <v>4103</v>
      </c>
      <c r="R768" t="s">
        <v>2665</v>
      </c>
      <c r="S768" t="s">
        <v>2781</v>
      </c>
      <c r="T768" t="s">
        <v>2922</v>
      </c>
      <c r="U768" t="s">
        <v>2665</v>
      </c>
      <c r="V768" t="s">
        <v>4110</v>
      </c>
      <c r="W768" t="s">
        <v>4111</v>
      </c>
      <c r="X768" t="s">
        <v>2665</v>
      </c>
      <c r="Y768" t="s">
        <v>2054</v>
      </c>
      <c r="Z768" t="s">
        <v>1136</v>
      </c>
      <c r="AA768" t="s">
        <v>2763</v>
      </c>
      <c r="AB768" t="s">
        <v>2763</v>
      </c>
      <c r="AC768" t="s">
        <v>2665</v>
      </c>
      <c r="AD768" t="s">
        <v>2054</v>
      </c>
      <c r="AE768" t="s">
        <v>2054</v>
      </c>
    </row>
    <row r="769" spans="1:31" x14ac:dyDescent="0.25">
      <c r="A769" t="s">
        <v>1901</v>
      </c>
      <c r="B769" t="s">
        <v>667</v>
      </c>
      <c r="C769" t="s">
        <v>4139</v>
      </c>
      <c r="D769" t="s">
        <v>673</v>
      </c>
      <c r="E769" t="s">
        <v>2666</v>
      </c>
      <c r="F769" t="s">
        <v>2883</v>
      </c>
      <c r="G769" t="s">
        <v>2666</v>
      </c>
      <c r="H769" t="s">
        <v>2054</v>
      </c>
      <c r="I769" t="s">
        <v>2741</v>
      </c>
      <c r="J769" t="s">
        <v>2054</v>
      </c>
      <c r="K769" t="s">
        <v>2665</v>
      </c>
      <c r="L769" t="s">
        <v>1136</v>
      </c>
      <c r="M769" t="s">
        <v>2878</v>
      </c>
      <c r="N769" t="s">
        <v>2665</v>
      </c>
      <c r="O769" t="s">
        <v>3576</v>
      </c>
      <c r="P769" t="s">
        <v>2985</v>
      </c>
      <c r="Q769" t="s">
        <v>4103</v>
      </c>
      <c r="R769" t="s">
        <v>2665</v>
      </c>
      <c r="S769" t="s">
        <v>2781</v>
      </c>
      <c r="T769" t="s">
        <v>2922</v>
      </c>
      <c r="U769" t="s">
        <v>2665</v>
      </c>
      <c r="V769" t="s">
        <v>4110</v>
      </c>
      <c r="W769" t="s">
        <v>4111</v>
      </c>
      <c r="X769" t="s">
        <v>2665</v>
      </c>
      <c r="Y769" t="s">
        <v>2054</v>
      </c>
      <c r="Z769" t="s">
        <v>1136</v>
      </c>
      <c r="AA769" t="s">
        <v>2795</v>
      </c>
      <c r="AB769" t="s">
        <v>2795</v>
      </c>
      <c r="AC769" t="s">
        <v>2665</v>
      </c>
      <c r="AD769" t="s">
        <v>2054</v>
      </c>
      <c r="AE769" t="s">
        <v>2054</v>
      </c>
    </row>
    <row r="770" spans="1:31" x14ac:dyDescent="0.25">
      <c r="A770" t="s">
        <v>1902</v>
      </c>
      <c r="B770" t="s">
        <v>548</v>
      </c>
      <c r="C770" t="s">
        <v>4140</v>
      </c>
      <c r="D770" t="s">
        <v>529</v>
      </c>
      <c r="E770" t="s">
        <v>2666</v>
      </c>
      <c r="F770" t="s">
        <v>3744</v>
      </c>
      <c r="G770" t="s">
        <v>2666</v>
      </c>
      <c r="H770" t="s">
        <v>2054</v>
      </c>
      <c r="I770" t="s">
        <v>2741</v>
      </c>
      <c r="J770" t="s">
        <v>2054</v>
      </c>
      <c r="K770" t="s">
        <v>2665</v>
      </c>
      <c r="L770" t="s">
        <v>1136</v>
      </c>
      <c r="M770" t="s">
        <v>3318</v>
      </c>
      <c r="N770" t="s">
        <v>2665</v>
      </c>
      <c r="O770" t="s">
        <v>4114</v>
      </c>
      <c r="P770" t="s">
        <v>2985</v>
      </c>
      <c r="Q770" t="s">
        <v>4103</v>
      </c>
      <c r="R770" t="s">
        <v>2665</v>
      </c>
      <c r="S770" t="s">
        <v>2781</v>
      </c>
      <c r="T770" t="s">
        <v>2922</v>
      </c>
      <c r="U770" t="s">
        <v>2665</v>
      </c>
      <c r="V770" t="s">
        <v>3711</v>
      </c>
      <c r="W770" t="s">
        <v>3712</v>
      </c>
      <c r="X770" t="s">
        <v>2665</v>
      </c>
      <c r="Y770" t="s">
        <v>2054</v>
      </c>
      <c r="Z770" t="s">
        <v>1136</v>
      </c>
      <c r="AA770" t="s">
        <v>2795</v>
      </c>
      <c r="AB770" t="s">
        <v>2795</v>
      </c>
      <c r="AC770" t="s">
        <v>2665</v>
      </c>
      <c r="AD770" t="s">
        <v>2054</v>
      </c>
      <c r="AE770" t="s">
        <v>2054</v>
      </c>
    </row>
    <row r="771" spans="1:31" x14ac:dyDescent="0.25">
      <c r="A771" t="s">
        <v>1903</v>
      </c>
      <c r="B771" t="s">
        <v>547</v>
      </c>
      <c r="C771" t="s">
        <v>4141</v>
      </c>
      <c r="D771" t="s">
        <v>530</v>
      </c>
      <c r="E771" t="s">
        <v>2666</v>
      </c>
      <c r="F771" t="s">
        <v>3440</v>
      </c>
      <c r="G771" t="s">
        <v>2666</v>
      </c>
      <c r="H771" t="s">
        <v>2054</v>
      </c>
      <c r="I771" t="s">
        <v>2741</v>
      </c>
      <c r="J771" t="s">
        <v>2054</v>
      </c>
      <c r="K771" t="s">
        <v>2665</v>
      </c>
      <c r="L771" t="s">
        <v>1136</v>
      </c>
      <c r="M771" t="s">
        <v>3318</v>
      </c>
      <c r="N771" t="s">
        <v>2665</v>
      </c>
      <c r="O771" t="s">
        <v>4114</v>
      </c>
      <c r="P771" t="s">
        <v>2985</v>
      </c>
      <c r="Q771" t="s">
        <v>4103</v>
      </c>
      <c r="R771" t="s">
        <v>2665</v>
      </c>
      <c r="S771" t="s">
        <v>2781</v>
      </c>
      <c r="T771" t="s">
        <v>2922</v>
      </c>
      <c r="U771" t="s">
        <v>2665</v>
      </c>
      <c r="V771" t="s">
        <v>3711</v>
      </c>
      <c r="W771" t="s">
        <v>3712</v>
      </c>
      <c r="X771" t="s">
        <v>2665</v>
      </c>
      <c r="Y771" t="s">
        <v>2054</v>
      </c>
      <c r="Z771" t="s">
        <v>1136</v>
      </c>
      <c r="AA771" t="s">
        <v>2795</v>
      </c>
      <c r="AB771" t="s">
        <v>2795</v>
      </c>
      <c r="AC771" t="s">
        <v>2665</v>
      </c>
      <c r="AD771" t="s">
        <v>2054</v>
      </c>
      <c r="AE771" t="s">
        <v>2054</v>
      </c>
    </row>
    <row r="772" spans="1:31" x14ac:dyDescent="0.25">
      <c r="A772" t="s">
        <v>1904</v>
      </c>
      <c r="B772" t="s">
        <v>546</v>
      </c>
      <c r="C772" t="s">
        <v>4142</v>
      </c>
      <c r="D772" t="s">
        <v>531</v>
      </c>
      <c r="E772" t="s">
        <v>2666</v>
      </c>
      <c r="F772" t="s">
        <v>4143</v>
      </c>
      <c r="G772" t="s">
        <v>2666</v>
      </c>
      <c r="H772" t="s">
        <v>2054</v>
      </c>
      <c r="I772" t="s">
        <v>2741</v>
      </c>
      <c r="J772" t="s">
        <v>2054</v>
      </c>
      <c r="K772" t="s">
        <v>2665</v>
      </c>
      <c r="L772" t="s">
        <v>1136</v>
      </c>
      <c r="M772" t="s">
        <v>3318</v>
      </c>
      <c r="N772" t="s">
        <v>2665</v>
      </c>
      <c r="O772" t="s">
        <v>4114</v>
      </c>
      <c r="P772" t="s">
        <v>2985</v>
      </c>
      <c r="Q772" t="s">
        <v>4103</v>
      </c>
      <c r="R772" t="s">
        <v>2665</v>
      </c>
      <c r="S772" t="s">
        <v>2781</v>
      </c>
      <c r="T772" t="s">
        <v>2922</v>
      </c>
      <c r="U772" t="s">
        <v>2665</v>
      </c>
      <c r="V772" t="s">
        <v>3711</v>
      </c>
      <c r="W772" t="s">
        <v>3712</v>
      </c>
      <c r="X772" t="s">
        <v>2665</v>
      </c>
      <c r="Y772" t="s">
        <v>2054</v>
      </c>
      <c r="Z772" t="s">
        <v>1136</v>
      </c>
      <c r="AA772" t="s">
        <v>2795</v>
      </c>
      <c r="AB772" t="s">
        <v>2795</v>
      </c>
      <c r="AC772" t="s">
        <v>2665</v>
      </c>
      <c r="AD772" t="s">
        <v>2054</v>
      </c>
      <c r="AE772" t="s">
        <v>2054</v>
      </c>
    </row>
    <row r="773" spans="1:31" x14ac:dyDescent="0.25">
      <c r="A773" t="s">
        <v>1905</v>
      </c>
      <c r="B773" t="s">
        <v>545</v>
      </c>
      <c r="C773" t="s">
        <v>4144</v>
      </c>
      <c r="D773" t="s">
        <v>534</v>
      </c>
      <c r="E773" t="s">
        <v>2666</v>
      </c>
      <c r="F773" t="s">
        <v>4145</v>
      </c>
      <c r="G773" t="s">
        <v>2666</v>
      </c>
      <c r="H773" t="s">
        <v>2054</v>
      </c>
      <c r="I773" t="s">
        <v>2741</v>
      </c>
      <c r="J773" t="s">
        <v>2054</v>
      </c>
      <c r="K773" t="s">
        <v>2665</v>
      </c>
      <c r="L773" t="s">
        <v>1136</v>
      </c>
      <c r="M773" t="s">
        <v>3318</v>
      </c>
      <c r="N773" t="s">
        <v>2665</v>
      </c>
      <c r="O773" t="s">
        <v>4114</v>
      </c>
      <c r="P773" t="s">
        <v>2985</v>
      </c>
      <c r="Q773" t="s">
        <v>4103</v>
      </c>
      <c r="R773" t="s">
        <v>2665</v>
      </c>
      <c r="S773" t="s">
        <v>2781</v>
      </c>
      <c r="T773" t="s">
        <v>2922</v>
      </c>
      <c r="U773" t="s">
        <v>2665</v>
      </c>
      <c r="V773" t="s">
        <v>3711</v>
      </c>
      <c r="W773" t="s">
        <v>3712</v>
      </c>
      <c r="X773" t="s">
        <v>2665</v>
      </c>
      <c r="Y773" t="s">
        <v>2054</v>
      </c>
      <c r="Z773" t="s">
        <v>1136</v>
      </c>
      <c r="AA773" t="s">
        <v>2795</v>
      </c>
      <c r="AB773" t="s">
        <v>2795</v>
      </c>
      <c r="AC773" t="s">
        <v>2665</v>
      </c>
      <c r="AD773" t="s">
        <v>2054</v>
      </c>
      <c r="AE773" t="s">
        <v>2054</v>
      </c>
    </row>
    <row r="774" spans="1:31" x14ac:dyDescent="0.25">
      <c r="A774" t="s">
        <v>1906</v>
      </c>
      <c r="B774" t="s">
        <v>544</v>
      </c>
      <c r="C774" t="s">
        <v>4146</v>
      </c>
      <c r="D774" t="s">
        <v>539</v>
      </c>
      <c r="E774" t="s">
        <v>2666</v>
      </c>
      <c r="F774" t="s">
        <v>4066</v>
      </c>
      <c r="G774" t="s">
        <v>2666</v>
      </c>
      <c r="H774" t="s">
        <v>2054</v>
      </c>
      <c r="I774" t="s">
        <v>2741</v>
      </c>
      <c r="J774" t="s">
        <v>2054</v>
      </c>
      <c r="K774" t="s">
        <v>2665</v>
      </c>
      <c r="L774" t="s">
        <v>1136</v>
      </c>
      <c r="M774" t="s">
        <v>3318</v>
      </c>
      <c r="N774" t="s">
        <v>2665</v>
      </c>
      <c r="O774" t="s">
        <v>4114</v>
      </c>
      <c r="P774" t="s">
        <v>2985</v>
      </c>
      <c r="Q774" t="s">
        <v>4103</v>
      </c>
      <c r="R774" t="s">
        <v>2665</v>
      </c>
      <c r="S774" t="s">
        <v>2781</v>
      </c>
      <c r="T774" t="s">
        <v>2922</v>
      </c>
      <c r="U774" t="s">
        <v>2665</v>
      </c>
      <c r="V774" t="s">
        <v>3711</v>
      </c>
      <c r="W774" t="s">
        <v>3712</v>
      </c>
      <c r="X774" t="s">
        <v>2665</v>
      </c>
      <c r="Y774" t="s">
        <v>2054</v>
      </c>
      <c r="Z774" t="s">
        <v>1136</v>
      </c>
      <c r="AA774" t="s">
        <v>2795</v>
      </c>
      <c r="AB774" t="s">
        <v>2795</v>
      </c>
      <c r="AC774" t="s">
        <v>2665</v>
      </c>
      <c r="AD774" t="s">
        <v>2054</v>
      </c>
      <c r="AE774" t="s">
        <v>2054</v>
      </c>
    </row>
    <row r="775" spans="1:31" x14ac:dyDescent="0.25">
      <c r="A775" t="s">
        <v>1907</v>
      </c>
      <c r="B775" t="s">
        <v>543</v>
      </c>
      <c r="C775" t="s">
        <v>4147</v>
      </c>
      <c r="D775" t="s">
        <v>532</v>
      </c>
      <c r="E775" t="s">
        <v>2666</v>
      </c>
      <c r="F775" t="s">
        <v>4148</v>
      </c>
      <c r="G775" t="s">
        <v>2666</v>
      </c>
      <c r="H775" t="s">
        <v>2054</v>
      </c>
      <c r="I775" t="s">
        <v>2741</v>
      </c>
      <c r="J775" t="s">
        <v>2054</v>
      </c>
      <c r="K775" t="s">
        <v>2665</v>
      </c>
      <c r="L775" t="s">
        <v>1136</v>
      </c>
      <c r="M775" t="s">
        <v>3318</v>
      </c>
      <c r="N775" t="s">
        <v>2665</v>
      </c>
      <c r="O775" t="s">
        <v>4114</v>
      </c>
      <c r="P775" t="s">
        <v>2985</v>
      </c>
      <c r="Q775" t="s">
        <v>4103</v>
      </c>
      <c r="R775" t="s">
        <v>2665</v>
      </c>
      <c r="S775" t="s">
        <v>2781</v>
      </c>
      <c r="T775" t="s">
        <v>2922</v>
      </c>
      <c r="U775" t="s">
        <v>2665</v>
      </c>
      <c r="V775" t="s">
        <v>3711</v>
      </c>
      <c r="W775" t="s">
        <v>3712</v>
      </c>
      <c r="X775" t="s">
        <v>2665</v>
      </c>
      <c r="Y775" t="s">
        <v>2054</v>
      </c>
      <c r="Z775" t="s">
        <v>1136</v>
      </c>
      <c r="AA775" t="s">
        <v>2795</v>
      </c>
      <c r="AB775" t="s">
        <v>2795</v>
      </c>
      <c r="AC775" t="s">
        <v>2665</v>
      </c>
      <c r="AD775" t="s">
        <v>2054</v>
      </c>
      <c r="AE775" t="s">
        <v>2054</v>
      </c>
    </row>
    <row r="776" spans="1:31" x14ac:dyDescent="0.25">
      <c r="A776" t="s">
        <v>1908</v>
      </c>
      <c r="B776" t="s">
        <v>542</v>
      </c>
      <c r="C776" t="s">
        <v>4149</v>
      </c>
      <c r="D776" t="s">
        <v>535</v>
      </c>
      <c r="E776" t="s">
        <v>2666</v>
      </c>
      <c r="F776" t="s">
        <v>4150</v>
      </c>
      <c r="G776" t="s">
        <v>2666</v>
      </c>
      <c r="H776" t="s">
        <v>2054</v>
      </c>
      <c r="I776" t="s">
        <v>2741</v>
      </c>
      <c r="J776" t="s">
        <v>2054</v>
      </c>
      <c r="K776" t="s">
        <v>2665</v>
      </c>
      <c r="L776" t="s">
        <v>1136</v>
      </c>
      <c r="M776" t="s">
        <v>3318</v>
      </c>
      <c r="N776" t="s">
        <v>2665</v>
      </c>
      <c r="O776" t="s">
        <v>4114</v>
      </c>
      <c r="P776" t="s">
        <v>2985</v>
      </c>
      <c r="Q776" t="s">
        <v>4103</v>
      </c>
      <c r="R776" t="s">
        <v>2665</v>
      </c>
      <c r="S776" t="s">
        <v>2781</v>
      </c>
      <c r="T776" t="s">
        <v>2922</v>
      </c>
      <c r="U776" t="s">
        <v>2665</v>
      </c>
      <c r="V776" t="s">
        <v>3711</v>
      </c>
      <c r="W776" t="s">
        <v>3712</v>
      </c>
      <c r="X776" t="s">
        <v>2665</v>
      </c>
      <c r="Y776" t="s">
        <v>2054</v>
      </c>
      <c r="Z776" t="s">
        <v>1136</v>
      </c>
      <c r="AA776" t="s">
        <v>2795</v>
      </c>
      <c r="AB776" t="s">
        <v>2795</v>
      </c>
      <c r="AC776" t="s">
        <v>2665</v>
      </c>
      <c r="AD776" t="s">
        <v>2054</v>
      </c>
      <c r="AE776" t="s">
        <v>2054</v>
      </c>
    </row>
    <row r="777" spans="1:31" x14ac:dyDescent="0.25">
      <c r="A777" t="s">
        <v>1909</v>
      </c>
      <c r="B777" t="s">
        <v>556</v>
      </c>
      <c r="C777" t="s">
        <v>4151</v>
      </c>
      <c r="D777" t="s">
        <v>537</v>
      </c>
      <c r="E777" t="s">
        <v>2666</v>
      </c>
      <c r="F777" t="s">
        <v>4152</v>
      </c>
      <c r="G777" t="s">
        <v>2666</v>
      </c>
      <c r="H777" t="s">
        <v>2054</v>
      </c>
      <c r="I777" t="s">
        <v>2741</v>
      </c>
      <c r="J777" t="s">
        <v>2054</v>
      </c>
      <c r="K777" t="s">
        <v>2665</v>
      </c>
      <c r="L777" t="s">
        <v>1136</v>
      </c>
      <c r="M777" t="s">
        <v>3318</v>
      </c>
      <c r="N777" t="s">
        <v>2665</v>
      </c>
      <c r="O777" t="s">
        <v>4114</v>
      </c>
      <c r="P777" t="s">
        <v>2985</v>
      </c>
      <c r="Q777" t="s">
        <v>4103</v>
      </c>
      <c r="R777" t="s">
        <v>2665</v>
      </c>
      <c r="S777" t="s">
        <v>2781</v>
      </c>
      <c r="T777" t="s">
        <v>2922</v>
      </c>
      <c r="U777" t="s">
        <v>2665</v>
      </c>
      <c r="V777" t="s">
        <v>3711</v>
      </c>
      <c r="W777" t="s">
        <v>3712</v>
      </c>
      <c r="X777" t="s">
        <v>2665</v>
      </c>
      <c r="Y777" t="s">
        <v>2054</v>
      </c>
      <c r="Z777" t="s">
        <v>1136</v>
      </c>
      <c r="AA777" t="s">
        <v>2745</v>
      </c>
      <c r="AB777" t="s">
        <v>2745</v>
      </c>
      <c r="AC777" t="s">
        <v>2665</v>
      </c>
      <c r="AD777" t="s">
        <v>2054</v>
      </c>
      <c r="AE777" t="s">
        <v>2054</v>
      </c>
    </row>
    <row r="778" spans="1:31" x14ac:dyDescent="0.25">
      <c r="A778" t="s">
        <v>1910</v>
      </c>
      <c r="B778" t="s">
        <v>557</v>
      </c>
      <c r="C778" t="s">
        <v>4153</v>
      </c>
      <c r="D778" t="s">
        <v>538</v>
      </c>
      <c r="E778" t="s">
        <v>2666</v>
      </c>
      <c r="F778" t="s">
        <v>3752</v>
      </c>
      <c r="G778" t="s">
        <v>2666</v>
      </c>
      <c r="H778" t="s">
        <v>2054</v>
      </c>
      <c r="I778" t="s">
        <v>2741</v>
      </c>
      <c r="J778" t="s">
        <v>2054</v>
      </c>
      <c r="K778" t="s">
        <v>2665</v>
      </c>
      <c r="L778" t="s">
        <v>1136</v>
      </c>
      <c r="M778" t="s">
        <v>3318</v>
      </c>
      <c r="N778" t="s">
        <v>2665</v>
      </c>
      <c r="O778" t="s">
        <v>4114</v>
      </c>
      <c r="P778" t="s">
        <v>2985</v>
      </c>
      <c r="Q778" t="s">
        <v>4103</v>
      </c>
      <c r="R778" t="s">
        <v>2665</v>
      </c>
      <c r="S778" t="s">
        <v>2781</v>
      </c>
      <c r="T778" t="s">
        <v>2922</v>
      </c>
      <c r="U778" t="s">
        <v>2665</v>
      </c>
      <c r="V778" t="s">
        <v>3711</v>
      </c>
      <c r="W778" t="s">
        <v>3712</v>
      </c>
      <c r="X778" t="s">
        <v>2665</v>
      </c>
      <c r="Y778" t="s">
        <v>2054</v>
      </c>
      <c r="Z778" t="s">
        <v>1136</v>
      </c>
      <c r="AA778" t="s">
        <v>2745</v>
      </c>
      <c r="AB778" t="s">
        <v>2745</v>
      </c>
      <c r="AC778" t="s">
        <v>2665</v>
      </c>
      <c r="AD778" t="s">
        <v>2054</v>
      </c>
      <c r="AE778" t="s">
        <v>2054</v>
      </c>
    </row>
    <row r="779" spans="1:31" x14ac:dyDescent="0.25">
      <c r="A779" t="s">
        <v>1911</v>
      </c>
      <c r="B779" t="s">
        <v>558</v>
      </c>
      <c r="C779" t="s">
        <v>4154</v>
      </c>
      <c r="D779" t="s">
        <v>540</v>
      </c>
      <c r="E779" t="s">
        <v>2666</v>
      </c>
      <c r="F779" t="s">
        <v>3752</v>
      </c>
      <c r="G779" t="s">
        <v>2666</v>
      </c>
      <c r="H779" t="s">
        <v>2054</v>
      </c>
      <c r="I779" t="s">
        <v>2741</v>
      </c>
      <c r="J779" t="s">
        <v>2054</v>
      </c>
      <c r="K779" t="s">
        <v>2665</v>
      </c>
      <c r="L779" t="s">
        <v>1136</v>
      </c>
      <c r="M779" t="s">
        <v>3318</v>
      </c>
      <c r="N779" t="s">
        <v>2665</v>
      </c>
      <c r="O779" t="s">
        <v>4114</v>
      </c>
      <c r="P779" t="s">
        <v>2985</v>
      </c>
      <c r="Q779" t="s">
        <v>4103</v>
      </c>
      <c r="R779" t="s">
        <v>2665</v>
      </c>
      <c r="S779" t="s">
        <v>2781</v>
      </c>
      <c r="T779" t="s">
        <v>2922</v>
      </c>
      <c r="U779" t="s">
        <v>2665</v>
      </c>
      <c r="V779" t="s">
        <v>3552</v>
      </c>
      <c r="W779" t="s">
        <v>3553</v>
      </c>
      <c r="X779" t="s">
        <v>2665</v>
      </c>
      <c r="Y779" t="s">
        <v>2054</v>
      </c>
      <c r="Z779" t="s">
        <v>1136</v>
      </c>
      <c r="AA779" t="s">
        <v>2795</v>
      </c>
      <c r="AB779" t="s">
        <v>2795</v>
      </c>
      <c r="AC779" t="s">
        <v>2665</v>
      </c>
      <c r="AD779" t="s">
        <v>2054</v>
      </c>
      <c r="AE779" t="s">
        <v>2054</v>
      </c>
    </row>
    <row r="780" spans="1:31" x14ac:dyDescent="0.25">
      <c r="A780" t="s">
        <v>1912</v>
      </c>
      <c r="B780" t="s">
        <v>559</v>
      </c>
      <c r="C780" t="s">
        <v>4155</v>
      </c>
      <c r="D780" t="s">
        <v>541</v>
      </c>
      <c r="E780" t="s">
        <v>2666</v>
      </c>
      <c r="F780" t="s">
        <v>4156</v>
      </c>
      <c r="G780" t="s">
        <v>2666</v>
      </c>
      <c r="H780" t="s">
        <v>2054</v>
      </c>
      <c r="I780" t="s">
        <v>2741</v>
      </c>
      <c r="J780" t="s">
        <v>2054</v>
      </c>
      <c r="K780" t="s">
        <v>2665</v>
      </c>
      <c r="L780" t="s">
        <v>1136</v>
      </c>
      <c r="M780" t="s">
        <v>3318</v>
      </c>
      <c r="N780" t="s">
        <v>2665</v>
      </c>
      <c r="O780" t="s">
        <v>4114</v>
      </c>
      <c r="P780" t="s">
        <v>2985</v>
      </c>
      <c r="Q780" t="s">
        <v>4103</v>
      </c>
      <c r="R780" t="s">
        <v>2665</v>
      </c>
      <c r="S780" t="s">
        <v>2781</v>
      </c>
      <c r="T780" t="s">
        <v>2922</v>
      </c>
      <c r="U780" t="s">
        <v>2665</v>
      </c>
      <c r="V780" t="s">
        <v>3552</v>
      </c>
      <c r="W780" t="s">
        <v>3553</v>
      </c>
      <c r="X780" t="s">
        <v>2665</v>
      </c>
      <c r="Y780" t="s">
        <v>2054</v>
      </c>
      <c r="Z780" t="s">
        <v>1136</v>
      </c>
      <c r="AA780" t="s">
        <v>2791</v>
      </c>
      <c r="AB780" t="s">
        <v>2791</v>
      </c>
      <c r="AC780" t="s">
        <v>2665</v>
      </c>
      <c r="AD780" t="s">
        <v>2054</v>
      </c>
      <c r="AE780" t="s">
        <v>2054</v>
      </c>
    </row>
    <row r="781" spans="1:31" x14ac:dyDescent="0.25">
      <c r="A781" t="s">
        <v>690</v>
      </c>
      <c r="B781" t="s">
        <v>674</v>
      </c>
      <c r="C781" t="s">
        <v>4157</v>
      </c>
      <c r="D781" t="s">
        <v>682</v>
      </c>
      <c r="E781" t="s">
        <v>2666</v>
      </c>
      <c r="F781" t="s">
        <v>2975</v>
      </c>
      <c r="G781" t="s">
        <v>2666</v>
      </c>
      <c r="H781" t="s">
        <v>2054</v>
      </c>
      <c r="I781" t="s">
        <v>2741</v>
      </c>
      <c r="J781" t="s">
        <v>2054</v>
      </c>
      <c r="K781" t="s">
        <v>2665</v>
      </c>
      <c r="L781" t="s">
        <v>1136</v>
      </c>
      <c r="M781" t="s">
        <v>2878</v>
      </c>
      <c r="N781" t="s">
        <v>2665</v>
      </c>
      <c r="O781" t="s">
        <v>3576</v>
      </c>
      <c r="P781" t="s">
        <v>2985</v>
      </c>
      <c r="Q781" t="s">
        <v>4103</v>
      </c>
      <c r="R781" t="s">
        <v>2665</v>
      </c>
      <c r="S781" t="s">
        <v>2781</v>
      </c>
      <c r="T781" t="s">
        <v>2922</v>
      </c>
      <c r="U781" t="s">
        <v>2665</v>
      </c>
      <c r="V781" t="s">
        <v>3711</v>
      </c>
      <c r="W781" t="s">
        <v>3712</v>
      </c>
      <c r="X781" t="s">
        <v>2665</v>
      </c>
      <c r="Y781" t="s">
        <v>2054</v>
      </c>
      <c r="Z781" t="s">
        <v>1136</v>
      </c>
      <c r="AA781" t="s">
        <v>2795</v>
      </c>
      <c r="AB781" t="s">
        <v>2795</v>
      </c>
      <c r="AC781" t="s">
        <v>2665</v>
      </c>
      <c r="AD781" t="s">
        <v>2054</v>
      </c>
      <c r="AE781" t="s">
        <v>2054</v>
      </c>
    </row>
    <row r="782" spans="1:31" x14ac:dyDescent="0.25">
      <c r="A782" t="s">
        <v>691</v>
      </c>
      <c r="B782" t="s">
        <v>675</v>
      </c>
      <c r="C782" t="s">
        <v>4158</v>
      </c>
      <c r="D782" t="s">
        <v>683</v>
      </c>
      <c r="E782" t="s">
        <v>2666</v>
      </c>
      <c r="F782" t="s">
        <v>2979</v>
      </c>
      <c r="G782" t="s">
        <v>2666</v>
      </c>
      <c r="H782" t="s">
        <v>2054</v>
      </c>
      <c r="I782" t="s">
        <v>2778</v>
      </c>
      <c r="J782" t="s">
        <v>2054</v>
      </c>
      <c r="K782" t="s">
        <v>2665</v>
      </c>
      <c r="L782" t="s">
        <v>1179</v>
      </c>
      <c r="M782" t="s">
        <v>2878</v>
      </c>
      <c r="N782" t="s">
        <v>2665</v>
      </c>
      <c r="O782" t="s">
        <v>3576</v>
      </c>
      <c r="P782" t="s">
        <v>2898</v>
      </c>
      <c r="Q782" t="s">
        <v>3617</v>
      </c>
      <c r="R782" t="s">
        <v>2665</v>
      </c>
      <c r="S782" t="s">
        <v>2781</v>
      </c>
      <c r="T782" t="s">
        <v>2922</v>
      </c>
      <c r="U782" t="s">
        <v>2665</v>
      </c>
      <c r="V782" t="s">
        <v>3629</v>
      </c>
      <c r="W782" t="s">
        <v>3630</v>
      </c>
      <c r="X782" t="s">
        <v>2665</v>
      </c>
      <c r="Y782" t="s">
        <v>2054</v>
      </c>
      <c r="Z782" t="s">
        <v>1179</v>
      </c>
      <c r="AA782" t="s">
        <v>2795</v>
      </c>
      <c r="AB782" t="s">
        <v>2795</v>
      </c>
      <c r="AC782" t="s">
        <v>2665</v>
      </c>
      <c r="AD782" t="s">
        <v>2054</v>
      </c>
      <c r="AE782" t="s">
        <v>2054</v>
      </c>
    </row>
    <row r="783" spans="1:31" x14ac:dyDescent="0.25">
      <c r="A783" t="s">
        <v>692</v>
      </c>
      <c r="B783" t="s">
        <v>676</v>
      </c>
      <c r="C783" t="s">
        <v>4159</v>
      </c>
      <c r="D783" t="s">
        <v>684</v>
      </c>
      <c r="E783" t="s">
        <v>2666</v>
      </c>
      <c r="F783" t="s">
        <v>3972</v>
      </c>
      <c r="G783" t="s">
        <v>2666</v>
      </c>
      <c r="H783" t="s">
        <v>2054</v>
      </c>
      <c r="I783" t="s">
        <v>2778</v>
      </c>
      <c r="J783" t="s">
        <v>2054</v>
      </c>
      <c r="K783" t="s">
        <v>2665</v>
      </c>
      <c r="L783" t="s">
        <v>1179</v>
      </c>
      <c r="M783" t="s">
        <v>2878</v>
      </c>
      <c r="N783" t="s">
        <v>2665</v>
      </c>
      <c r="O783" t="s">
        <v>3576</v>
      </c>
      <c r="P783" t="s">
        <v>2898</v>
      </c>
      <c r="Q783" t="s">
        <v>3617</v>
      </c>
      <c r="R783" t="s">
        <v>2665</v>
      </c>
      <c r="S783" t="s">
        <v>2781</v>
      </c>
      <c r="T783" t="s">
        <v>2922</v>
      </c>
      <c r="U783" t="s">
        <v>2665</v>
      </c>
      <c r="V783" t="s">
        <v>3629</v>
      </c>
      <c r="W783" t="s">
        <v>3630</v>
      </c>
      <c r="X783" t="s">
        <v>2665</v>
      </c>
      <c r="Y783" t="s">
        <v>2054</v>
      </c>
      <c r="Z783" t="s">
        <v>1179</v>
      </c>
      <c r="AA783" t="s">
        <v>2791</v>
      </c>
      <c r="AB783" t="s">
        <v>2791</v>
      </c>
      <c r="AC783" t="s">
        <v>2665</v>
      </c>
      <c r="AD783" t="s">
        <v>2054</v>
      </c>
      <c r="AE783" t="s">
        <v>2054</v>
      </c>
    </row>
    <row r="784" spans="1:31" x14ac:dyDescent="0.25">
      <c r="A784" t="s">
        <v>693</v>
      </c>
      <c r="B784" t="s">
        <v>677</v>
      </c>
      <c r="C784" t="s">
        <v>4160</v>
      </c>
      <c r="D784" t="s">
        <v>685</v>
      </c>
      <c r="E784" t="s">
        <v>2666</v>
      </c>
      <c r="F784" t="s">
        <v>4161</v>
      </c>
      <c r="G784" t="s">
        <v>2666</v>
      </c>
      <c r="H784" t="s">
        <v>2054</v>
      </c>
      <c r="I784" t="s">
        <v>2778</v>
      </c>
      <c r="J784" t="s">
        <v>2054</v>
      </c>
      <c r="K784" t="s">
        <v>2665</v>
      </c>
      <c r="L784" t="s">
        <v>1179</v>
      </c>
      <c r="M784" t="s">
        <v>2878</v>
      </c>
      <c r="N784" t="s">
        <v>2665</v>
      </c>
      <c r="O784" t="s">
        <v>3576</v>
      </c>
      <c r="P784" t="s">
        <v>2898</v>
      </c>
      <c r="Q784" t="s">
        <v>3617</v>
      </c>
      <c r="R784" t="s">
        <v>2665</v>
      </c>
      <c r="S784" t="s">
        <v>2781</v>
      </c>
      <c r="T784" t="s">
        <v>2922</v>
      </c>
      <c r="U784" t="s">
        <v>2665</v>
      </c>
      <c r="V784" t="s">
        <v>3629</v>
      </c>
      <c r="W784" t="s">
        <v>3630</v>
      </c>
      <c r="X784" t="s">
        <v>2665</v>
      </c>
      <c r="Y784" t="s">
        <v>2054</v>
      </c>
      <c r="Z784" t="s">
        <v>1179</v>
      </c>
      <c r="AA784" t="s">
        <v>2791</v>
      </c>
      <c r="AB784" t="s">
        <v>2791</v>
      </c>
      <c r="AC784" t="s">
        <v>2665</v>
      </c>
      <c r="AD784" t="s">
        <v>2054</v>
      </c>
      <c r="AE784" t="s">
        <v>2054</v>
      </c>
    </row>
    <row r="785" spans="1:31" x14ac:dyDescent="0.25">
      <c r="A785" t="s">
        <v>1913</v>
      </c>
      <c r="B785" t="s">
        <v>678</v>
      </c>
      <c r="C785" t="s">
        <v>4162</v>
      </c>
      <c r="D785" t="s">
        <v>686</v>
      </c>
      <c r="E785" t="s">
        <v>2666</v>
      </c>
      <c r="F785" t="s">
        <v>2885</v>
      </c>
      <c r="G785" t="s">
        <v>2666</v>
      </c>
      <c r="H785" t="s">
        <v>2054</v>
      </c>
      <c r="I785" t="s">
        <v>2778</v>
      </c>
      <c r="J785" t="s">
        <v>2054</v>
      </c>
      <c r="K785" t="s">
        <v>2665</v>
      </c>
      <c r="L785" t="s">
        <v>1179</v>
      </c>
      <c r="M785" t="s">
        <v>2878</v>
      </c>
      <c r="N785" t="s">
        <v>2665</v>
      </c>
      <c r="O785" t="s">
        <v>3576</v>
      </c>
      <c r="P785" t="s">
        <v>2898</v>
      </c>
      <c r="Q785" t="s">
        <v>3617</v>
      </c>
      <c r="R785" t="s">
        <v>2665</v>
      </c>
      <c r="S785" t="s">
        <v>2781</v>
      </c>
      <c r="T785" t="s">
        <v>2922</v>
      </c>
      <c r="U785" t="s">
        <v>2665</v>
      </c>
      <c r="V785" t="s">
        <v>3629</v>
      </c>
      <c r="W785" t="s">
        <v>3630</v>
      </c>
      <c r="X785" t="s">
        <v>2665</v>
      </c>
      <c r="Y785" t="s">
        <v>2054</v>
      </c>
      <c r="Z785" t="s">
        <v>1179</v>
      </c>
      <c r="AA785" t="s">
        <v>2797</v>
      </c>
      <c r="AB785" t="s">
        <v>2797</v>
      </c>
      <c r="AC785" t="s">
        <v>2665</v>
      </c>
      <c r="AD785" t="s">
        <v>2054</v>
      </c>
      <c r="AE785" t="s">
        <v>2054</v>
      </c>
    </row>
    <row r="786" spans="1:31" x14ac:dyDescent="0.25">
      <c r="A786" t="s">
        <v>694</v>
      </c>
      <c r="B786" t="s">
        <v>679</v>
      </c>
      <c r="C786" t="s">
        <v>4163</v>
      </c>
      <c r="D786" t="s">
        <v>687</v>
      </c>
      <c r="E786" t="s">
        <v>2666</v>
      </c>
      <c r="F786" t="s">
        <v>3987</v>
      </c>
      <c r="G786" t="s">
        <v>2666</v>
      </c>
      <c r="H786" t="s">
        <v>2054</v>
      </c>
      <c r="I786" t="s">
        <v>2778</v>
      </c>
      <c r="J786" t="s">
        <v>2054</v>
      </c>
      <c r="K786" t="s">
        <v>2665</v>
      </c>
      <c r="L786" t="s">
        <v>1179</v>
      </c>
      <c r="M786" t="s">
        <v>2878</v>
      </c>
      <c r="N786" t="s">
        <v>2665</v>
      </c>
      <c r="O786" t="s">
        <v>3576</v>
      </c>
      <c r="P786" t="s">
        <v>2898</v>
      </c>
      <c r="Q786" t="s">
        <v>3617</v>
      </c>
      <c r="R786" t="s">
        <v>2665</v>
      </c>
      <c r="S786" t="s">
        <v>2781</v>
      </c>
      <c r="T786" t="s">
        <v>2922</v>
      </c>
      <c r="U786" t="s">
        <v>2665</v>
      </c>
      <c r="V786" t="s">
        <v>3629</v>
      </c>
      <c r="W786" t="s">
        <v>3630</v>
      </c>
      <c r="X786" t="s">
        <v>2665</v>
      </c>
      <c r="Y786" t="s">
        <v>2054</v>
      </c>
      <c r="Z786" t="s">
        <v>1179</v>
      </c>
      <c r="AA786" t="s">
        <v>2795</v>
      </c>
      <c r="AB786" t="s">
        <v>2795</v>
      </c>
      <c r="AC786" t="s">
        <v>2665</v>
      </c>
      <c r="AD786" t="s">
        <v>2054</v>
      </c>
      <c r="AE786" t="s">
        <v>2054</v>
      </c>
    </row>
    <row r="787" spans="1:31" x14ac:dyDescent="0.25">
      <c r="A787" t="s">
        <v>695</v>
      </c>
      <c r="B787" t="s">
        <v>680</v>
      </c>
      <c r="C787" t="s">
        <v>4164</v>
      </c>
      <c r="D787" t="s">
        <v>688</v>
      </c>
      <c r="E787" t="s">
        <v>2666</v>
      </c>
      <c r="F787" t="s">
        <v>2933</v>
      </c>
      <c r="G787" t="s">
        <v>2666</v>
      </c>
      <c r="H787" t="s">
        <v>2054</v>
      </c>
      <c r="I787" t="s">
        <v>2778</v>
      </c>
      <c r="J787" t="s">
        <v>2054</v>
      </c>
      <c r="K787" t="s">
        <v>2665</v>
      </c>
      <c r="L787" t="s">
        <v>1179</v>
      </c>
      <c r="M787" t="s">
        <v>2878</v>
      </c>
      <c r="N787" t="s">
        <v>2665</v>
      </c>
      <c r="O787" t="s">
        <v>3576</v>
      </c>
      <c r="P787" t="s">
        <v>2898</v>
      </c>
      <c r="Q787" t="s">
        <v>3617</v>
      </c>
      <c r="R787" t="s">
        <v>2665</v>
      </c>
      <c r="S787" t="s">
        <v>2781</v>
      </c>
      <c r="T787" t="s">
        <v>2922</v>
      </c>
      <c r="U787" t="s">
        <v>2665</v>
      </c>
      <c r="V787" t="s">
        <v>3629</v>
      </c>
      <c r="W787" t="s">
        <v>3630</v>
      </c>
      <c r="X787" t="s">
        <v>2665</v>
      </c>
      <c r="Y787" t="s">
        <v>2054</v>
      </c>
      <c r="Z787" t="s">
        <v>1179</v>
      </c>
      <c r="AA787" t="s">
        <v>2791</v>
      </c>
      <c r="AB787" t="s">
        <v>2791</v>
      </c>
      <c r="AC787" t="s">
        <v>2665</v>
      </c>
      <c r="AD787" t="s">
        <v>2054</v>
      </c>
      <c r="AE787" t="s">
        <v>2054</v>
      </c>
    </row>
    <row r="788" spans="1:31" x14ac:dyDescent="0.25">
      <c r="A788" t="s">
        <v>696</v>
      </c>
      <c r="B788" t="s">
        <v>681</v>
      </c>
      <c r="C788" t="s">
        <v>4165</v>
      </c>
      <c r="D788" t="s">
        <v>689</v>
      </c>
      <c r="E788" t="s">
        <v>2666</v>
      </c>
      <c r="F788" t="s">
        <v>2762</v>
      </c>
      <c r="G788" t="s">
        <v>2666</v>
      </c>
      <c r="H788" t="s">
        <v>2054</v>
      </c>
      <c r="I788" t="s">
        <v>2778</v>
      </c>
      <c r="J788" t="s">
        <v>2054</v>
      </c>
      <c r="K788" t="s">
        <v>2665</v>
      </c>
      <c r="L788" t="s">
        <v>1179</v>
      </c>
      <c r="M788" t="s">
        <v>2878</v>
      </c>
      <c r="N788" t="s">
        <v>2665</v>
      </c>
      <c r="O788" t="s">
        <v>3576</v>
      </c>
      <c r="P788" t="s">
        <v>2985</v>
      </c>
      <c r="Q788" t="s">
        <v>4103</v>
      </c>
      <c r="R788" t="s">
        <v>2665</v>
      </c>
      <c r="S788" t="s">
        <v>2779</v>
      </c>
      <c r="T788" t="s">
        <v>2780</v>
      </c>
      <c r="U788" t="s">
        <v>2665</v>
      </c>
      <c r="V788" t="s">
        <v>3552</v>
      </c>
      <c r="W788" t="s">
        <v>3553</v>
      </c>
      <c r="X788" t="s">
        <v>2665</v>
      </c>
      <c r="Y788" t="s">
        <v>2054</v>
      </c>
      <c r="Z788" t="s">
        <v>1179</v>
      </c>
      <c r="AA788" t="s">
        <v>2797</v>
      </c>
      <c r="AB788" t="s">
        <v>2797</v>
      </c>
      <c r="AC788" t="s">
        <v>2665</v>
      </c>
      <c r="AD788" t="s">
        <v>2054</v>
      </c>
      <c r="AE788" t="s">
        <v>2054</v>
      </c>
    </row>
    <row r="789" spans="1:31" x14ac:dyDescent="0.25">
      <c r="A789" t="s">
        <v>1915</v>
      </c>
      <c r="B789" t="s">
        <v>1914</v>
      </c>
      <c r="C789" t="s">
        <v>4166</v>
      </c>
      <c r="D789" t="s">
        <v>1914</v>
      </c>
      <c r="E789" t="s">
        <v>2666</v>
      </c>
      <c r="F789" t="s">
        <v>2799</v>
      </c>
      <c r="G789" t="s">
        <v>2666</v>
      </c>
      <c r="H789" t="s">
        <v>2054</v>
      </c>
      <c r="I789" t="s">
        <v>2778</v>
      </c>
      <c r="J789" t="s">
        <v>2054</v>
      </c>
      <c r="K789" t="s">
        <v>2665</v>
      </c>
      <c r="L789" t="s">
        <v>1179</v>
      </c>
      <c r="M789" t="s">
        <v>2898</v>
      </c>
      <c r="N789" t="s">
        <v>2665</v>
      </c>
      <c r="O789" t="s">
        <v>2984</v>
      </c>
      <c r="P789" t="s">
        <v>2985</v>
      </c>
      <c r="Q789" t="s">
        <v>4103</v>
      </c>
      <c r="R789" t="s">
        <v>2665</v>
      </c>
      <c r="S789" t="s">
        <v>2779</v>
      </c>
      <c r="T789" t="s">
        <v>2780</v>
      </c>
      <c r="U789" t="s">
        <v>2665</v>
      </c>
      <c r="V789" t="s">
        <v>3552</v>
      </c>
      <c r="W789" t="s">
        <v>3553</v>
      </c>
      <c r="X789" t="s">
        <v>2665</v>
      </c>
      <c r="Y789" t="s">
        <v>2054</v>
      </c>
      <c r="Z789" t="s">
        <v>1179</v>
      </c>
      <c r="AA789" t="s">
        <v>3561</v>
      </c>
      <c r="AB789" t="s">
        <v>3561</v>
      </c>
      <c r="AC789" t="s">
        <v>2665</v>
      </c>
      <c r="AD789" t="s">
        <v>2054</v>
      </c>
      <c r="AE789" t="s">
        <v>2054</v>
      </c>
    </row>
    <row r="790" spans="1:31" x14ac:dyDescent="0.25">
      <c r="A790" t="s">
        <v>1917</v>
      </c>
      <c r="B790" t="s">
        <v>1916</v>
      </c>
      <c r="C790" t="s">
        <v>4167</v>
      </c>
      <c r="D790" t="s">
        <v>1916</v>
      </c>
      <c r="E790" t="s">
        <v>2666</v>
      </c>
      <c r="F790" t="s">
        <v>2705</v>
      </c>
      <c r="G790" t="s">
        <v>2666</v>
      </c>
      <c r="H790" t="s">
        <v>2054</v>
      </c>
      <c r="I790" t="s">
        <v>2778</v>
      </c>
      <c r="J790" t="s">
        <v>2054</v>
      </c>
      <c r="K790" t="s">
        <v>2665</v>
      </c>
      <c r="L790" t="s">
        <v>1179</v>
      </c>
      <c r="M790" t="s">
        <v>2898</v>
      </c>
      <c r="N790" t="s">
        <v>2665</v>
      </c>
      <c r="O790" t="s">
        <v>2984</v>
      </c>
      <c r="P790" t="s">
        <v>2985</v>
      </c>
      <c r="Q790" t="s">
        <v>4103</v>
      </c>
      <c r="R790" t="s">
        <v>2665</v>
      </c>
      <c r="S790" t="s">
        <v>2779</v>
      </c>
      <c r="T790" t="s">
        <v>2780</v>
      </c>
      <c r="U790" t="s">
        <v>2665</v>
      </c>
      <c r="V790" t="s">
        <v>3552</v>
      </c>
      <c r="W790" t="s">
        <v>3553</v>
      </c>
      <c r="X790" t="s">
        <v>2665</v>
      </c>
      <c r="Y790" t="s">
        <v>2054</v>
      </c>
      <c r="Z790" t="s">
        <v>1179</v>
      </c>
      <c r="AA790" t="s">
        <v>3561</v>
      </c>
      <c r="AB790" t="s">
        <v>3561</v>
      </c>
      <c r="AC790" t="s">
        <v>2665</v>
      </c>
      <c r="AD790" t="s">
        <v>2054</v>
      </c>
      <c r="AE790" t="s">
        <v>2054</v>
      </c>
    </row>
    <row r="791" spans="1:31" x14ac:dyDescent="0.25">
      <c r="A791" t="s">
        <v>1919</v>
      </c>
      <c r="B791" t="s">
        <v>1918</v>
      </c>
      <c r="C791" t="s">
        <v>3913</v>
      </c>
      <c r="D791" t="s">
        <v>1918</v>
      </c>
      <c r="E791" t="s">
        <v>2666</v>
      </c>
      <c r="F791" t="s">
        <v>2705</v>
      </c>
      <c r="G791" t="s">
        <v>2666</v>
      </c>
      <c r="H791" t="s">
        <v>2054</v>
      </c>
      <c r="I791" t="s">
        <v>2778</v>
      </c>
      <c r="J791" t="s">
        <v>2054</v>
      </c>
      <c r="K791" t="s">
        <v>2665</v>
      </c>
      <c r="L791" t="s">
        <v>1179</v>
      </c>
      <c r="M791" t="s">
        <v>2898</v>
      </c>
      <c r="N791" t="s">
        <v>2665</v>
      </c>
      <c r="O791" t="s">
        <v>2984</v>
      </c>
      <c r="P791" t="s">
        <v>2985</v>
      </c>
      <c r="Q791" t="s">
        <v>4103</v>
      </c>
      <c r="R791" t="s">
        <v>2665</v>
      </c>
      <c r="S791" t="s">
        <v>2779</v>
      </c>
      <c r="T791" t="s">
        <v>2780</v>
      </c>
      <c r="U791" t="s">
        <v>2665</v>
      </c>
      <c r="V791" t="s">
        <v>3552</v>
      </c>
      <c r="W791" t="s">
        <v>3553</v>
      </c>
      <c r="X791" t="s">
        <v>2665</v>
      </c>
      <c r="Y791" t="s">
        <v>2054</v>
      </c>
      <c r="Z791" t="s">
        <v>1179</v>
      </c>
      <c r="AA791" t="s">
        <v>2847</v>
      </c>
      <c r="AB791" t="s">
        <v>2847</v>
      </c>
      <c r="AC791" t="s">
        <v>2665</v>
      </c>
      <c r="AD791" t="s">
        <v>2054</v>
      </c>
      <c r="AE791" t="s">
        <v>2054</v>
      </c>
    </row>
    <row r="792" spans="1:31" x14ac:dyDescent="0.25">
      <c r="A792" t="s">
        <v>1921</v>
      </c>
      <c r="B792" t="s">
        <v>1920</v>
      </c>
      <c r="C792" t="s">
        <v>4168</v>
      </c>
      <c r="D792" t="s">
        <v>1920</v>
      </c>
      <c r="E792" t="s">
        <v>2666</v>
      </c>
      <c r="F792" t="s">
        <v>3042</v>
      </c>
      <c r="G792" t="s">
        <v>2666</v>
      </c>
      <c r="H792" t="s">
        <v>2054</v>
      </c>
      <c r="I792" t="s">
        <v>2778</v>
      </c>
      <c r="J792" t="s">
        <v>2054</v>
      </c>
      <c r="K792" t="s">
        <v>2665</v>
      </c>
      <c r="L792" t="s">
        <v>1179</v>
      </c>
      <c r="M792" t="s">
        <v>2898</v>
      </c>
      <c r="N792" t="s">
        <v>2665</v>
      </c>
      <c r="O792" t="s">
        <v>2984</v>
      </c>
      <c r="P792" t="s">
        <v>2985</v>
      </c>
      <c r="Q792" t="s">
        <v>4103</v>
      </c>
      <c r="R792" t="s">
        <v>2665</v>
      </c>
      <c r="S792" t="s">
        <v>2779</v>
      </c>
      <c r="T792" t="s">
        <v>2780</v>
      </c>
      <c r="U792" t="s">
        <v>2665</v>
      </c>
      <c r="V792" t="s">
        <v>3552</v>
      </c>
      <c r="W792" t="s">
        <v>3553</v>
      </c>
      <c r="X792" t="s">
        <v>2665</v>
      </c>
      <c r="Y792" t="s">
        <v>2054</v>
      </c>
      <c r="Z792" t="s">
        <v>1179</v>
      </c>
      <c r="AA792" t="s">
        <v>2847</v>
      </c>
      <c r="AB792" t="s">
        <v>2847</v>
      </c>
      <c r="AC792" t="s">
        <v>2665</v>
      </c>
      <c r="AD792" t="s">
        <v>2054</v>
      </c>
      <c r="AE792" t="s">
        <v>2054</v>
      </c>
    </row>
    <row r="793" spans="1:31" x14ac:dyDescent="0.25">
      <c r="A793" t="s">
        <v>1923</v>
      </c>
      <c r="B793" t="s">
        <v>1922</v>
      </c>
      <c r="C793" t="s">
        <v>4169</v>
      </c>
      <c r="D793" t="s">
        <v>1922</v>
      </c>
      <c r="E793" t="s">
        <v>2666</v>
      </c>
      <c r="F793" t="s">
        <v>2908</v>
      </c>
      <c r="G793" t="s">
        <v>2666</v>
      </c>
      <c r="H793" t="s">
        <v>2054</v>
      </c>
      <c r="I793" t="s">
        <v>2778</v>
      </c>
      <c r="J793" t="s">
        <v>2054</v>
      </c>
      <c r="K793" t="s">
        <v>2665</v>
      </c>
      <c r="L793" t="s">
        <v>1179</v>
      </c>
      <c r="M793" t="s">
        <v>2898</v>
      </c>
      <c r="N793" t="s">
        <v>2665</v>
      </c>
      <c r="O793" t="s">
        <v>2984</v>
      </c>
      <c r="P793" t="s">
        <v>2985</v>
      </c>
      <c r="Q793" t="s">
        <v>4103</v>
      </c>
      <c r="R793" t="s">
        <v>2665</v>
      </c>
      <c r="S793" t="s">
        <v>2779</v>
      </c>
      <c r="T793" t="s">
        <v>2780</v>
      </c>
      <c r="U793" t="s">
        <v>2665</v>
      </c>
      <c r="V793" t="s">
        <v>3552</v>
      </c>
      <c r="W793" t="s">
        <v>3553</v>
      </c>
      <c r="X793" t="s">
        <v>2665</v>
      </c>
      <c r="Y793" t="s">
        <v>2054</v>
      </c>
      <c r="Z793" t="s">
        <v>1179</v>
      </c>
      <c r="AA793" t="s">
        <v>2959</v>
      </c>
      <c r="AB793" t="s">
        <v>2959</v>
      </c>
      <c r="AC793" t="s">
        <v>2665</v>
      </c>
      <c r="AD793" t="s">
        <v>2054</v>
      </c>
      <c r="AE793" t="s">
        <v>2054</v>
      </c>
    </row>
    <row r="794" spans="1:31" x14ac:dyDescent="0.25">
      <c r="A794" t="s">
        <v>1925</v>
      </c>
      <c r="B794" t="s">
        <v>1924</v>
      </c>
      <c r="C794" t="s">
        <v>4170</v>
      </c>
      <c r="D794" t="s">
        <v>3308</v>
      </c>
      <c r="E794" t="s">
        <v>2666</v>
      </c>
      <c r="F794" t="s">
        <v>3309</v>
      </c>
      <c r="G794" t="s">
        <v>2666</v>
      </c>
      <c r="H794" t="s">
        <v>2054</v>
      </c>
      <c r="I794" t="s">
        <v>2741</v>
      </c>
      <c r="J794" t="s">
        <v>2054</v>
      </c>
      <c r="K794" t="s">
        <v>2665</v>
      </c>
      <c r="L794" t="s">
        <v>1136</v>
      </c>
      <c r="M794" t="s">
        <v>2781</v>
      </c>
      <c r="N794" t="s">
        <v>2665</v>
      </c>
      <c r="O794" t="s">
        <v>3161</v>
      </c>
      <c r="P794" t="s">
        <v>2834</v>
      </c>
      <c r="Q794" t="s">
        <v>3162</v>
      </c>
      <c r="R794" t="s">
        <v>2665</v>
      </c>
      <c r="S794" t="s">
        <v>2781</v>
      </c>
      <c r="T794" t="s">
        <v>2922</v>
      </c>
      <c r="U794" t="s">
        <v>2665</v>
      </c>
      <c r="V794" t="s">
        <v>3163</v>
      </c>
      <c r="W794" t="s">
        <v>3164</v>
      </c>
      <c r="X794" t="s">
        <v>2665</v>
      </c>
      <c r="Y794" t="s">
        <v>2054</v>
      </c>
      <c r="Z794" t="s">
        <v>1136</v>
      </c>
      <c r="AA794" t="s">
        <v>2959</v>
      </c>
      <c r="AB794" t="s">
        <v>2959</v>
      </c>
      <c r="AC794" t="s">
        <v>2665</v>
      </c>
      <c r="AD794" t="s">
        <v>2054</v>
      </c>
      <c r="AE794" t="s">
        <v>4171</v>
      </c>
    </row>
    <row r="795" spans="1:31" x14ac:dyDescent="0.25">
      <c r="A795" t="s">
        <v>1927</v>
      </c>
      <c r="B795" t="s">
        <v>1926</v>
      </c>
      <c r="C795" t="s">
        <v>4172</v>
      </c>
      <c r="D795" t="s">
        <v>1926</v>
      </c>
      <c r="E795" t="s">
        <v>2666</v>
      </c>
      <c r="F795" t="s">
        <v>2740</v>
      </c>
      <c r="G795" t="s">
        <v>2666</v>
      </c>
      <c r="H795" t="s">
        <v>2054</v>
      </c>
      <c r="I795" t="s">
        <v>2778</v>
      </c>
      <c r="J795" t="s">
        <v>2054</v>
      </c>
      <c r="K795" t="s">
        <v>2665</v>
      </c>
      <c r="L795" t="s">
        <v>1179</v>
      </c>
      <c r="M795" t="s">
        <v>2898</v>
      </c>
      <c r="N795" t="s">
        <v>2665</v>
      </c>
      <c r="O795" t="s">
        <v>2984</v>
      </c>
      <c r="P795" t="s">
        <v>2985</v>
      </c>
      <c r="Q795" t="s">
        <v>4103</v>
      </c>
      <c r="R795" t="s">
        <v>2665</v>
      </c>
      <c r="S795" t="s">
        <v>2779</v>
      </c>
      <c r="T795" t="s">
        <v>2780</v>
      </c>
      <c r="U795" t="s">
        <v>2665</v>
      </c>
      <c r="V795" t="s">
        <v>3552</v>
      </c>
      <c r="W795" t="s">
        <v>3553</v>
      </c>
      <c r="X795" t="s">
        <v>2665</v>
      </c>
      <c r="Y795" t="s">
        <v>2054</v>
      </c>
      <c r="Z795" t="s">
        <v>1179</v>
      </c>
      <c r="AA795" t="s">
        <v>2959</v>
      </c>
      <c r="AB795" t="s">
        <v>2959</v>
      </c>
      <c r="AC795" t="s">
        <v>2665</v>
      </c>
      <c r="AD795" t="s">
        <v>2054</v>
      </c>
      <c r="AE795" t="s">
        <v>2054</v>
      </c>
    </row>
    <row r="796" spans="1:31" x14ac:dyDescent="0.25">
      <c r="A796" t="s">
        <v>4173</v>
      </c>
      <c r="B796" t="s">
        <v>4174</v>
      </c>
      <c r="C796" t="s">
        <v>4175</v>
      </c>
      <c r="D796" t="s">
        <v>4174</v>
      </c>
      <c r="E796" t="s">
        <v>2666</v>
      </c>
      <c r="F796" t="s">
        <v>2705</v>
      </c>
      <c r="G796" t="s">
        <v>2666</v>
      </c>
      <c r="H796" t="s">
        <v>2054</v>
      </c>
      <c r="I796" t="s">
        <v>2778</v>
      </c>
      <c r="J796" t="s">
        <v>2054</v>
      </c>
      <c r="K796" t="s">
        <v>2665</v>
      </c>
      <c r="L796" t="s">
        <v>1179</v>
      </c>
      <c r="M796" t="s">
        <v>2898</v>
      </c>
      <c r="N796" t="s">
        <v>2665</v>
      </c>
      <c r="O796" t="s">
        <v>2984</v>
      </c>
      <c r="P796" t="s">
        <v>3163</v>
      </c>
      <c r="Q796" t="s">
        <v>4176</v>
      </c>
      <c r="R796" t="s">
        <v>2665</v>
      </c>
      <c r="S796" t="s">
        <v>2779</v>
      </c>
      <c r="T796" t="s">
        <v>2780</v>
      </c>
      <c r="U796" t="s">
        <v>2665</v>
      </c>
      <c r="V796" t="s">
        <v>3552</v>
      </c>
      <c r="W796" t="s">
        <v>3553</v>
      </c>
      <c r="X796" t="s">
        <v>2665</v>
      </c>
      <c r="Y796" t="s">
        <v>2054</v>
      </c>
      <c r="Z796" t="s">
        <v>1179</v>
      </c>
      <c r="AA796" t="s">
        <v>2797</v>
      </c>
      <c r="AB796" t="s">
        <v>2797</v>
      </c>
      <c r="AC796" t="s">
        <v>2665</v>
      </c>
      <c r="AD796" t="s">
        <v>2054</v>
      </c>
      <c r="AE796" t="s">
        <v>2054</v>
      </c>
    </row>
    <row r="797" spans="1:31" x14ac:dyDescent="0.25">
      <c r="A797" t="s">
        <v>1929</v>
      </c>
      <c r="B797" t="s">
        <v>1928</v>
      </c>
      <c r="C797" t="s">
        <v>4177</v>
      </c>
      <c r="D797" t="s">
        <v>1928</v>
      </c>
      <c r="E797" t="s">
        <v>2666</v>
      </c>
      <c r="F797" t="s">
        <v>4178</v>
      </c>
      <c r="G797" t="s">
        <v>2666</v>
      </c>
      <c r="H797" t="s">
        <v>2054</v>
      </c>
      <c r="I797" t="s">
        <v>2778</v>
      </c>
      <c r="J797" t="s">
        <v>2054</v>
      </c>
      <c r="K797" t="s">
        <v>2665</v>
      </c>
      <c r="L797" t="s">
        <v>1179</v>
      </c>
      <c r="M797" t="s">
        <v>2898</v>
      </c>
      <c r="N797" t="s">
        <v>2665</v>
      </c>
      <c r="O797" t="s">
        <v>2984</v>
      </c>
      <c r="P797" t="s">
        <v>2985</v>
      </c>
      <c r="Q797" t="s">
        <v>4103</v>
      </c>
      <c r="R797" t="s">
        <v>2665</v>
      </c>
      <c r="S797" t="s">
        <v>2779</v>
      </c>
      <c r="T797" t="s">
        <v>2780</v>
      </c>
      <c r="U797" t="s">
        <v>2665</v>
      </c>
      <c r="V797" t="s">
        <v>4179</v>
      </c>
      <c r="W797" t="s">
        <v>514</v>
      </c>
      <c r="X797" t="s">
        <v>2665</v>
      </c>
      <c r="Y797" t="s">
        <v>2054</v>
      </c>
      <c r="Z797" t="s">
        <v>1179</v>
      </c>
      <c r="AA797" t="s">
        <v>3561</v>
      </c>
      <c r="AB797" t="s">
        <v>3561</v>
      </c>
      <c r="AC797" t="s">
        <v>2665</v>
      </c>
      <c r="AD797" t="s">
        <v>2054</v>
      </c>
      <c r="AE797" t="s">
        <v>2054</v>
      </c>
    </row>
    <row r="798" spans="1:31" x14ac:dyDescent="0.25">
      <c r="A798" t="s">
        <v>1930</v>
      </c>
      <c r="B798" t="s">
        <v>508</v>
      </c>
      <c r="C798" t="s">
        <v>4180</v>
      </c>
      <c r="D798" t="s">
        <v>517</v>
      </c>
      <c r="E798" t="s">
        <v>2666</v>
      </c>
      <c r="F798" t="s">
        <v>4181</v>
      </c>
      <c r="G798" t="s">
        <v>2666</v>
      </c>
      <c r="H798" t="s">
        <v>2054</v>
      </c>
      <c r="I798" t="s">
        <v>2741</v>
      </c>
      <c r="J798" t="s">
        <v>2054</v>
      </c>
      <c r="K798" t="s">
        <v>2665</v>
      </c>
      <c r="L798" t="s">
        <v>1136</v>
      </c>
      <c r="M798" t="s">
        <v>3318</v>
      </c>
      <c r="N798" t="s">
        <v>2665</v>
      </c>
      <c r="O798" t="s">
        <v>4114</v>
      </c>
      <c r="P798" t="s">
        <v>2985</v>
      </c>
      <c r="Q798" t="s">
        <v>4103</v>
      </c>
      <c r="R798" t="s">
        <v>2665</v>
      </c>
      <c r="S798" t="s">
        <v>2781</v>
      </c>
      <c r="T798" t="s">
        <v>2922</v>
      </c>
      <c r="U798" t="s">
        <v>2665</v>
      </c>
      <c r="V798" t="s">
        <v>4179</v>
      </c>
      <c r="W798" t="s">
        <v>514</v>
      </c>
      <c r="X798" t="s">
        <v>2665</v>
      </c>
      <c r="Y798" t="s">
        <v>2054</v>
      </c>
      <c r="Z798" t="s">
        <v>1136</v>
      </c>
      <c r="AA798" t="s">
        <v>2682</v>
      </c>
      <c r="AB798" t="s">
        <v>2682</v>
      </c>
      <c r="AC798" t="s">
        <v>2665</v>
      </c>
      <c r="AD798" t="s">
        <v>2054</v>
      </c>
      <c r="AE798" t="s">
        <v>2054</v>
      </c>
    </row>
    <row r="799" spans="1:31" x14ac:dyDescent="0.25">
      <c r="A799" t="s">
        <v>1931</v>
      </c>
      <c r="B799" t="s">
        <v>509</v>
      </c>
      <c r="C799" t="s">
        <v>4182</v>
      </c>
      <c r="D799" t="s">
        <v>515</v>
      </c>
      <c r="E799" t="s">
        <v>2666</v>
      </c>
      <c r="F799" t="s">
        <v>4183</v>
      </c>
      <c r="G799" t="s">
        <v>2666</v>
      </c>
      <c r="H799" t="s">
        <v>2054</v>
      </c>
      <c r="I799" t="s">
        <v>2741</v>
      </c>
      <c r="J799" t="s">
        <v>2054</v>
      </c>
      <c r="K799" t="s">
        <v>2665</v>
      </c>
      <c r="L799" t="s">
        <v>1136</v>
      </c>
      <c r="M799" t="s">
        <v>3318</v>
      </c>
      <c r="N799" t="s">
        <v>2665</v>
      </c>
      <c r="O799" t="s">
        <v>4114</v>
      </c>
      <c r="P799" t="s">
        <v>2985</v>
      </c>
      <c r="Q799" t="s">
        <v>4103</v>
      </c>
      <c r="R799" t="s">
        <v>2665</v>
      </c>
      <c r="S799" t="s">
        <v>2781</v>
      </c>
      <c r="T799" t="s">
        <v>2922</v>
      </c>
      <c r="U799" t="s">
        <v>2665</v>
      </c>
      <c r="V799" t="s">
        <v>4179</v>
      </c>
      <c r="W799" t="s">
        <v>514</v>
      </c>
      <c r="X799" t="s">
        <v>2665</v>
      </c>
      <c r="Y799" t="s">
        <v>2054</v>
      </c>
      <c r="Z799" t="s">
        <v>1136</v>
      </c>
      <c r="AA799" t="s">
        <v>2700</v>
      </c>
      <c r="AB799" t="s">
        <v>2700</v>
      </c>
      <c r="AC799" t="s">
        <v>2665</v>
      </c>
      <c r="AD799" t="s">
        <v>2054</v>
      </c>
      <c r="AE799" t="s">
        <v>2054</v>
      </c>
    </row>
    <row r="800" spans="1:31" x14ac:dyDescent="0.25">
      <c r="A800" t="s">
        <v>1932</v>
      </c>
      <c r="B800" t="s">
        <v>510</v>
      </c>
      <c r="C800" t="s">
        <v>4184</v>
      </c>
      <c r="D800" t="s">
        <v>516</v>
      </c>
      <c r="E800" t="s">
        <v>2666</v>
      </c>
      <c r="F800" t="s">
        <v>2887</v>
      </c>
      <c r="G800" t="s">
        <v>2666</v>
      </c>
      <c r="H800" t="s">
        <v>2054</v>
      </c>
      <c r="I800" t="s">
        <v>2741</v>
      </c>
      <c r="J800" t="s">
        <v>2054</v>
      </c>
      <c r="K800" t="s">
        <v>2665</v>
      </c>
      <c r="L800" t="s">
        <v>1136</v>
      </c>
      <c r="M800" t="s">
        <v>3318</v>
      </c>
      <c r="N800" t="s">
        <v>2665</v>
      </c>
      <c r="O800" t="s">
        <v>4114</v>
      </c>
      <c r="P800" t="s">
        <v>2985</v>
      </c>
      <c r="Q800" t="s">
        <v>4103</v>
      </c>
      <c r="R800" t="s">
        <v>2665</v>
      </c>
      <c r="S800" t="s">
        <v>2781</v>
      </c>
      <c r="T800" t="s">
        <v>2922</v>
      </c>
      <c r="U800" t="s">
        <v>2665</v>
      </c>
      <c r="V800" t="s">
        <v>4179</v>
      </c>
      <c r="W800" t="s">
        <v>514</v>
      </c>
      <c r="X800" t="s">
        <v>2665</v>
      </c>
      <c r="Y800" t="s">
        <v>2054</v>
      </c>
      <c r="Z800" t="s">
        <v>1136</v>
      </c>
      <c r="AA800" t="s">
        <v>2700</v>
      </c>
      <c r="AB800" t="s">
        <v>2700</v>
      </c>
      <c r="AC800" t="s">
        <v>2665</v>
      </c>
      <c r="AD800" t="s">
        <v>2054</v>
      </c>
      <c r="AE800" t="s">
        <v>2054</v>
      </c>
    </row>
    <row r="801" spans="1:31" x14ac:dyDescent="0.25">
      <c r="A801" t="s">
        <v>1933</v>
      </c>
      <c r="B801" t="s">
        <v>511</v>
      </c>
      <c r="C801" t="s">
        <v>4185</v>
      </c>
      <c r="D801" t="s">
        <v>564</v>
      </c>
      <c r="E801" t="s">
        <v>2666</v>
      </c>
      <c r="F801" t="s">
        <v>4186</v>
      </c>
      <c r="G801" t="s">
        <v>2666</v>
      </c>
      <c r="H801" t="s">
        <v>2054</v>
      </c>
      <c r="I801" t="s">
        <v>2741</v>
      </c>
      <c r="J801" t="s">
        <v>2054</v>
      </c>
      <c r="K801" t="s">
        <v>2665</v>
      </c>
      <c r="L801" t="s">
        <v>1136</v>
      </c>
      <c r="M801" t="s">
        <v>3318</v>
      </c>
      <c r="N801" t="s">
        <v>2665</v>
      </c>
      <c r="O801" t="s">
        <v>4114</v>
      </c>
      <c r="P801" t="s">
        <v>2985</v>
      </c>
      <c r="Q801" t="s">
        <v>4103</v>
      </c>
      <c r="R801" t="s">
        <v>2665</v>
      </c>
      <c r="S801" t="s">
        <v>2781</v>
      </c>
      <c r="T801" t="s">
        <v>2922</v>
      </c>
      <c r="U801" t="s">
        <v>2665</v>
      </c>
      <c r="V801" t="s">
        <v>4179</v>
      </c>
      <c r="W801" t="s">
        <v>514</v>
      </c>
      <c r="X801" t="s">
        <v>2665</v>
      </c>
      <c r="Y801" t="s">
        <v>2054</v>
      </c>
      <c r="Z801" t="s">
        <v>1136</v>
      </c>
      <c r="AA801" t="s">
        <v>2700</v>
      </c>
      <c r="AB801" t="s">
        <v>2700</v>
      </c>
      <c r="AC801" t="s">
        <v>2665</v>
      </c>
      <c r="AD801" t="s">
        <v>2054</v>
      </c>
      <c r="AE801" t="s">
        <v>2054</v>
      </c>
    </row>
    <row r="802" spans="1:31" x14ac:dyDescent="0.25">
      <c r="A802" t="s">
        <v>1934</v>
      </c>
      <c r="B802" t="s">
        <v>512</v>
      </c>
      <c r="C802" t="s">
        <v>4187</v>
      </c>
      <c r="D802" t="s">
        <v>519</v>
      </c>
      <c r="E802" t="s">
        <v>2666</v>
      </c>
      <c r="F802" t="s">
        <v>4188</v>
      </c>
      <c r="G802" t="s">
        <v>2666</v>
      </c>
      <c r="H802" t="s">
        <v>2054</v>
      </c>
      <c r="I802" t="s">
        <v>2741</v>
      </c>
      <c r="J802" t="s">
        <v>2054</v>
      </c>
      <c r="K802" t="s">
        <v>2665</v>
      </c>
      <c r="L802" t="s">
        <v>1136</v>
      </c>
      <c r="M802" t="s">
        <v>3318</v>
      </c>
      <c r="N802" t="s">
        <v>2665</v>
      </c>
      <c r="O802" t="s">
        <v>4114</v>
      </c>
      <c r="P802" t="s">
        <v>2985</v>
      </c>
      <c r="Q802" t="s">
        <v>4103</v>
      </c>
      <c r="R802" t="s">
        <v>2665</v>
      </c>
      <c r="S802" t="s">
        <v>2781</v>
      </c>
      <c r="T802" t="s">
        <v>2922</v>
      </c>
      <c r="U802" t="s">
        <v>2665</v>
      </c>
      <c r="V802" t="s">
        <v>4179</v>
      </c>
      <c r="W802" t="s">
        <v>514</v>
      </c>
      <c r="X802" t="s">
        <v>2665</v>
      </c>
      <c r="Y802" t="s">
        <v>2054</v>
      </c>
      <c r="Z802" t="s">
        <v>1136</v>
      </c>
      <c r="AA802" t="s">
        <v>2682</v>
      </c>
      <c r="AB802" t="s">
        <v>2682</v>
      </c>
      <c r="AC802" t="s">
        <v>2665</v>
      </c>
      <c r="AD802" t="s">
        <v>2054</v>
      </c>
      <c r="AE802" t="s">
        <v>2054</v>
      </c>
    </row>
    <row r="803" spans="1:31" x14ac:dyDescent="0.25">
      <c r="A803" t="s">
        <v>1935</v>
      </c>
      <c r="B803" t="s">
        <v>513</v>
      </c>
      <c r="C803" t="s">
        <v>4189</v>
      </c>
      <c r="D803" t="s">
        <v>518</v>
      </c>
      <c r="E803" t="s">
        <v>2666</v>
      </c>
      <c r="F803" t="s">
        <v>4181</v>
      </c>
      <c r="G803" t="s">
        <v>2666</v>
      </c>
      <c r="H803" t="s">
        <v>2054</v>
      </c>
      <c r="I803" t="s">
        <v>2741</v>
      </c>
      <c r="J803" t="s">
        <v>2054</v>
      </c>
      <c r="K803" t="s">
        <v>2665</v>
      </c>
      <c r="L803" t="s">
        <v>1136</v>
      </c>
      <c r="M803" t="s">
        <v>3318</v>
      </c>
      <c r="N803" t="s">
        <v>2665</v>
      </c>
      <c r="O803" t="s">
        <v>4114</v>
      </c>
      <c r="P803" t="s">
        <v>2985</v>
      </c>
      <c r="Q803" t="s">
        <v>4103</v>
      </c>
      <c r="R803" t="s">
        <v>2665</v>
      </c>
      <c r="S803" t="s">
        <v>2781</v>
      </c>
      <c r="T803" t="s">
        <v>2922</v>
      </c>
      <c r="U803" t="s">
        <v>2665</v>
      </c>
      <c r="V803" t="s">
        <v>4179</v>
      </c>
      <c r="W803" t="s">
        <v>514</v>
      </c>
      <c r="X803" t="s">
        <v>2665</v>
      </c>
      <c r="Y803" t="s">
        <v>2054</v>
      </c>
      <c r="Z803" t="s">
        <v>1136</v>
      </c>
      <c r="AA803" t="s">
        <v>2700</v>
      </c>
      <c r="AB803" t="s">
        <v>2700</v>
      </c>
      <c r="AC803" t="s">
        <v>2665</v>
      </c>
      <c r="AD803" t="s">
        <v>2054</v>
      </c>
      <c r="AE803" t="s">
        <v>2054</v>
      </c>
    </row>
    <row r="804" spans="1:31" x14ac:dyDescent="0.25">
      <c r="A804" t="s">
        <v>1937</v>
      </c>
      <c r="B804" t="s">
        <v>1936</v>
      </c>
      <c r="C804" t="s">
        <v>4190</v>
      </c>
      <c r="D804" t="s">
        <v>1936</v>
      </c>
      <c r="E804" t="s">
        <v>2666</v>
      </c>
      <c r="F804" t="s">
        <v>2705</v>
      </c>
      <c r="G804" t="s">
        <v>2666</v>
      </c>
      <c r="H804" t="s">
        <v>2054</v>
      </c>
      <c r="I804" t="s">
        <v>2909</v>
      </c>
      <c r="J804" t="s">
        <v>2054</v>
      </c>
      <c r="K804" t="s">
        <v>2665</v>
      </c>
      <c r="L804" t="s">
        <v>1280</v>
      </c>
      <c r="M804" t="s">
        <v>2898</v>
      </c>
      <c r="N804" t="s">
        <v>2665</v>
      </c>
      <c r="O804" t="s">
        <v>2984</v>
      </c>
      <c r="P804" t="s">
        <v>2985</v>
      </c>
      <c r="Q804" t="s">
        <v>4103</v>
      </c>
      <c r="R804" t="s">
        <v>2665</v>
      </c>
      <c r="S804" t="s">
        <v>2779</v>
      </c>
      <c r="T804" t="s">
        <v>2780</v>
      </c>
      <c r="U804" t="s">
        <v>2665</v>
      </c>
      <c r="V804" t="s">
        <v>4179</v>
      </c>
      <c r="W804" t="s">
        <v>514</v>
      </c>
      <c r="X804" t="s">
        <v>2665</v>
      </c>
      <c r="Y804" t="s">
        <v>2054</v>
      </c>
      <c r="Z804" t="s">
        <v>1280</v>
      </c>
      <c r="AA804" t="s">
        <v>2665</v>
      </c>
      <c r="AB804" t="s">
        <v>2665</v>
      </c>
      <c r="AC804" t="s">
        <v>2665</v>
      </c>
      <c r="AD804" t="s">
        <v>2054</v>
      </c>
      <c r="AE804" t="s">
        <v>2054</v>
      </c>
    </row>
    <row r="805" spans="1:31" x14ac:dyDescent="0.25">
      <c r="A805" t="s">
        <v>1939</v>
      </c>
      <c r="B805" t="s">
        <v>1938</v>
      </c>
      <c r="C805" t="s">
        <v>4191</v>
      </c>
      <c r="D805" t="s">
        <v>1938</v>
      </c>
      <c r="E805" t="s">
        <v>2666</v>
      </c>
      <c r="F805" t="s">
        <v>2705</v>
      </c>
      <c r="G805" t="s">
        <v>2666</v>
      </c>
      <c r="H805" t="s">
        <v>2054</v>
      </c>
      <c r="I805" t="s">
        <v>2778</v>
      </c>
      <c r="J805" t="s">
        <v>2054</v>
      </c>
      <c r="K805" t="s">
        <v>2665</v>
      </c>
      <c r="L805" t="s">
        <v>1179</v>
      </c>
      <c r="M805" t="s">
        <v>2898</v>
      </c>
      <c r="N805" t="s">
        <v>2665</v>
      </c>
      <c r="O805" t="s">
        <v>2984</v>
      </c>
      <c r="P805" t="s">
        <v>2781</v>
      </c>
      <c r="Q805" t="s">
        <v>2877</v>
      </c>
      <c r="R805" t="s">
        <v>2665</v>
      </c>
      <c r="S805" t="s">
        <v>2779</v>
      </c>
      <c r="T805" t="s">
        <v>2780</v>
      </c>
      <c r="U805" t="s">
        <v>2665</v>
      </c>
      <c r="V805" t="s">
        <v>4192</v>
      </c>
      <c r="W805" t="s">
        <v>4193</v>
      </c>
      <c r="X805" t="s">
        <v>2665</v>
      </c>
      <c r="Y805" t="s">
        <v>2054</v>
      </c>
      <c r="Z805" t="s">
        <v>1179</v>
      </c>
      <c r="AA805" t="s">
        <v>2795</v>
      </c>
      <c r="AB805" t="s">
        <v>2795</v>
      </c>
      <c r="AC805" t="s">
        <v>2665</v>
      </c>
      <c r="AD805" t="s">
        <v>2054</v>
      </c>
      <c r="AE805" t="s">
        <v>2054</v>
      </c>
    </row>
    <row r="806" spans="1:31" x14ac:dyDescent="0.25">
      <c r="A806" t="s">
        <v>1941</v>
      </c>
      <c r="B806" t="s">
        <v>1940</v>
      </c>
      <c r="C806" t="s">
        <v>4194</v>
      </c>
      <c r="D806" t="s">
        <v>1940</v>
      </c>
      <c r="E806" t="s">
        <v>2666</v>
      </c>
      <c r="F806" t="s">
        <v>2705</v>
      </c>
      <c r="G806" t="s">
        <v>2666</v>
      </c>
      <c r="H806" t="s">
        <v>2054</v>
      </c>
      <c r="I806" t="s">
        <v>2778</v>
      </c>
      <c r="J806" t="s">
        <v>2054</v>
      </c>
      <c r="K806" t="s">
        <v>2665</v>
      </c>
      <c r="L806" t="s">
        <v>1179</v>
      </c>
      <c r="M806" t="s">
        <v>2898</v>
      </c>
      <c r="N806" t="s">
        <v>2665</v>
      </c>
      <c r="O806" t="s">
        <v>2984</v>
      </c>
      <c r="P806" t="s">
        <v>2781</v>
      </c>
      <c r="Q806" t="s">
        <v>2877</v>
      </c>
      <c r="R806" t="s">
        <v>2665</v>
      </c>
      <c r="S806" t="s">
        <v>2779</v>
      </c>
      <c r="T806" t="s">
        <v>2780</v>
      </c>
      <c r="U806" t="s">
        <v>2665</v>
      </c>
      <c r="V806" t="s">
        <v>4192</v>
      </c>
      <c r="W806" t="s">
        <v>4193</v>
      </c>
      <c r="X806" t="s">
        <v>2665</v>
      </c>
      <c r="Y806" t="s">
        <v>2054</v>
      </c>
      <c r="Z806" t="s">
        <v>1179</v>
      </c>
      <c r="AA806" t="s">
        <v>2742</v>
      </c>
      <c r="AB806" t="s">
        <v>2742</v>
      </c>
      <c r="AC806" t="s">
        <v>2665</v>
      </c>
      <c r="AD806" t="s">
        <v>2054</v>
      </c>
      <c r="AE806" t="s">
        <v>2054</v>
      </c>
    </row>
    <row r="807" spans="1:31" x14ac:dyDescent="0.25">
      <c r="A807" t="s">
        <v>1943</v>
      </c>
      <c r="B807" t="s">
        <v>1942</v>
      </c>
      <c r="C807" t="s">
        <v>4195</v>
      </c>
      <c r="D807" t="s">
        <v>1942</v>
      </c>
      <c r="E807" t="s">
        <v>2666</v>
      </c>
      <c r="F807" t="s">
        <v>2809</v>
      </c>
      <c r="G807" t="s">
        <v>2666</v>
      </c>
      <c r="H807" t="s">
        <v>2054</v>
      </c>
      <c r="I807" t="s">
        <v>2778</v>
      </c>
      <c r="J807" t="s">
        <v>2054</v>
      </c>
      <c r="K807" t="s">
        <v>2665</v>
      </c>
      <c r="L807" t="s">
        <v>1179</v>
      </c>
      <c r="M807" t="s">
        <v>2827</v>
      </c>
      <c r="N807" t="s">
        <v>2665</v>
      </c>
      <c r="O807" t="s">
        <v>2828</v>
      </c>
      <c r="P807" t="s">
        <v>2671</v>
      </c>
      <c r="Q807" t="s">
        <v>2672</v>
      </c>
      <c r="R807" t="s">
        <v>2665</v>
      </c>
      <c r="S807" t="s">
        <v>2779</v>
      </c>
      <c r="T807" t="s">
        <v>2780</v>
      </c>
      <c r="U807" t="s">
        <v>2665</v>
      </c>
      <c r="V807" t="s">
        <v>2713</v>
      </c>
      <c r="W807" t="s">
        <v>2714</v>
      </c>
      <c r="X807" t="s">
        <v>2665</v>
      </c>
      <c r="Y807" t="s">
        <v>2054</v>
      </c>
      <c r="Z807" t="s">
        <v>1179</v>
      </c>
      <c r="AA807" t="s">
        <v>3815</v>
      </c>
      <c r="AB807" t="s">
        <v>3815</v>
      </c>
      <c r="AC807" t="s">
        <v>2665</v>
      </c>
      <c r="AD807" t="s">
        <v>2054</v>
      </c>
      <c r="AE807" t="s">
        <v>2054</v>
      </c>
    </row>
    <row r="808" spans="1:31" x14ac:dyDescent="0.25">
      <c r="A808" t="s">
        <v>1945</v>
      </c>
      <c r="B808" t="s">
        <v>1944</v>
      </c>
      <c r="C808" t="s">
        <v>4196</v>
      </c>
      <c r="D808" t="s">
        <v>1944</v>
      </c>
      <c r="E808" t="s">
        <v>2666</v>
      </c>
      <c r="F808" t="s">
        <v>4197</v>
      </c>
      <c r="G808" t="s">
        <v>2666</v>
      </c>
      <c r="H808" t="s">
        <v>2054</v>
      </c>
      <c r="I808" t="s">
        <v>2723</v>
      </c>
      <c r="J808" t="s">
        <v>2054</v>
      </c>
      <c r="K808" t="s">
        <v>2665</v>
      </c>
      <c r="L808" t="s">
        <v>1114</v>
      </c>
      <c r="M808" t="s">
        <v>2898</v>
      </c>
      <c r="N808" t="s">
        <v>2665</v>
      </c>
      <c r="O808" t="s">
        <v>2984</v>
      </c>
      <c r="P808" t="s">
        <v>2829</v>
      </c>
      <c r="Q808" t="s">
        <v>3151</v>
      </c>
      <c r="R808" t="s">
        <v>2665</v>
      </c>
      <c r="S808" t="s">
        <v>2779</v>
      </c>
      <c r="T808" t="s">
        <v>2780</v>
      </c>
      <c r="U808" t="s">
        <v>2665</v>
      </c>
      <c r="V808" t="s">
        <v>4192</v>
      </c>
      <c r="W808" t="s">
        <v>4193</v>
      </c>
      <c r="X808" t="s">
        <v>2665</v>
      </c>
      <c r="Y808" t="s">
        <v>2054</v>
      </c>
      <c r="Z808" t="s">
        <v>1114</v>
      </c>
      <c r="AA808" t="s">
        <v>2665</v>
      </c>
      <c r="AB808" t="s">
        <v>2665</v>
      </c>
      <c r="AC808" t="s">
        <v>2665</v>
      </c>
      <c r="AD808" t="s">
        <v>2054</v>
      </c>
      <c r="AE808" t="s">
        <v>2054</v>
      </c>
    </row>
    <row r="809" spans="1:31" x14ac:dyDescent="0.25">
      <c r="A809" t="s">
        <v>1947</v>
      </c>
      <c r="B809" t="s">
        <v>1946</v>
      </c>
      <c r="C809" t="s">
        <v>4198</v>
      </c>
      <c r="D809" t="s">
        <v>1946</v>
      </c>
      <c r="E809" t="s">
        <v>2666</v>
      </c>
      <c r="F809" t="s">
        <v>4199</v>
      </c>
      <c r="G809" t="s">
        <v>2666</v>
      </c>
      <c r="H809" t="s">
        <v>2054</v>
      </c>
      <c r="I809" t="s">
        <v>2723</v>
      </c>
      <c r="J809" t="s">
        <v>2054</v>
      </c>
      <c r="K809" t="s">
        <v>2665</v>
      </c>
      <c r="L809" t="s">
        <v>1114</v>
      </c>
      <c r="M809" t="s">
        <v>2898</v>
      </c>
      <c r="N809" t="s">
        <v>2665</v>
      </c>
      <c r="O809" t="s">
        <v>2984</v>
      </c>
      <c r="P809" t="s">
        <v>2829</v>
      </c>
      <c r="Q809" t="s">
        <v>3151</v>
      </c>
      <c r="R809" t="s">
        <v>2665</v>
      </c>
      <c r="S809" t="s">
        <v>2779</v>
      </c>
      <c r="T809" t="s">
        <v>2780</v>
      </c>
      <c r="U809" t="s">
        <v>2665</v>
      </c>
      <c r="V809" t="s">
        <v>4192</v>
      </c>
      <c r="W809" t="s">
        <v>4193</v>
      </c>
      <c r="X809" t="s">
        <v>2665</v>
      </c>
      <c r="Y809" t="s">
        <v>2054</v>
      </c>
      <c r="Z809" t="s">
        <v>1114</v>
      </c>
      <c r="AA809" t="s">
        <v>2665</v>
      </c>
      <c r="AB809" t="s">
        <v>2665</v>
      </c>
      <c r="AC809" t="s">
        <v>2665</v>
      </c>
      <c r="AD809" t="s">
        <v>2054</v>
      </c>
      <c r="AE809" t="s">
        <v>2054</v>
      </c>
    </row>
    <row r="810" spans="1:31" x14ac:dyDescent="0.25">
      <c r="A810" t="s">
        <v>4200</v>
      </c>
      <c r="B810" t="s">
        <v>4201</v>
      </c>
      <c r="C810" t="s">
        <v>4202</v>
      </c>
      <c r="D810" t="s">
        <v>4201</v>
      </c>
      <c r="E810" t="s">
        <v>2666</v>
      </c>
      <c r="F810" t="s">
        <v>2666</v>
      </c>
      <c r="G810" t="s">
        <v>2666</v>
      </c>
      <c r="H810" t="s">
        <v>2054</v>
      </c>
      <c r="I810" t="s">
        <v>2723</v>
      </c>
      <c r="J810" t="s">
        <v>2054</v>
      </c>
      <c r="K810" t="s">
        <v>2665</v>
      </c>
      <c r="L810" t="s">
        <v>1114</v>
      </c>
      <c r="M810" t="s">
        <v>2898</v>
      </c>
      <c r="N810" t="s">
        <v>2665</v>
      </c>
      <c r="O810" t="s">
        <v>2984</v>
      </c>
      <c r="P810" t="s">
        <v>2829</v>
      </c>
      <c r="Q810" t="s">
        <v>3151</v>
      </c>
      <c r="R810" t="s">
        <v>2665</v>
      </c>
      <c r="S810" t="s">
        <v>2779</v>
      </c>
      <c r="T810" t="s">
        <v>2780</v>
      </c>
      <c r="U810" t="s">
        <v>2665</v>
      </c>
      <c r="V810" t="s">
        <v>4192</v>
      </c>
      <c r="W810" t="s">
        <v>4193</v>
      </c>
      <c r="X810" t="s">
        <v>2665</v>
      </c>
      <c r="Y810" t="s">
        <v>2054</v>
      </c>
      <c r="Z810" t="s">
        <v>1114</v>
      </c>
      <c r="AA810" t="s">
        <v>2665</v>
      </c>
      <c r="AB810" t="s">
        <v>2665</v>
      </c>
      <c r="AC810" t="s">
        <v>2665</v>
      </c>
      <c r="AD810" t="s">
        <v>2054</v>
      </c>
      <c r="AE810" t="s">
        <v>2054</v>
      </c>
    </row>
    <row r="811" spans="1:31" x14ac:dyDescent="0.25">
      <c r="A811" t="s">
        <v>4203</v>
      </c>
      <c r="B811" t="s">
        <v>4204</v>
      </c>
      <c r="C811" t="s">
        <v>4205</v>
      </c>
      <c r="D811" t="s">
        <v>4204</v>
      </c>
      <c r="E811" t="s">
        <v>2666</v>
      </c>
      <c r="F811" t="s">
        <v>4206</v>
      </c>
      <c r="G811" t="s">
        <v>2666</v>
      </c>
      <c r="H811" t="s">
        <v>2054</v>
      </c>
      <c r="I811" t="s">
        <v>2741</v>
      </c>
      <c r="J811" t="s">
        <v>2054</v>
      </c>
      <c r="K811" t="s">
        <v>2665</v>
      </c>
      <c r="L811" t="s">
        <v>1136</v>
      </c>
      <c r="M811" t="s">
        <v>2898</v>
      </c>
      <c r="N811" t="s">
        <v>2665</v>
      </c>
      <c r="O811" t="s">
        <v>2984</v>
      </c>
      <c r="P811" t="s">
        <v>2829</v>
      </c>
      <c r="Q811" t="s">
        <v>3151</v>
      </c>
      <c r="R811" t="s">
        <v>2665</v>
      </c>
      <c r="S811" t="s">
        <v>2779</v>
      </c>
      <c r="T811" t="s">
        <v>2780</v>
      </c>
      <c r="U811" t="s">
        <v>2665</v>
      </c>
      <c r="V811" t="s">
        <v>4192</v>
      </c>
      <c r="W811" t="s">
        <v>4193</v>
      </c>
      <c r="X811" t="s">
        <v>2665</v>
      </c>
      <c r="Y811" t="s">
        <v>2054</v>
      </c>
      <c r="Z811" t="s">
        <v>1136</v>
      </c>
      <c r="AA811" t="s">
        <v>2679</v>
      </c>
      <c r="AB811" t="s">
        <v>2679</v>
      </c>
      <c r="AC811" t="s">
        <v>2665</v>
      </c>
      <c r="AD811" t="s">
        <v>2054</v>
      </c>
      <c r="AE811" t="s">
        <v>2726</v>
      </c>
    </row>
    <row r="812" spans="1:31" x14ac:dyDescent="0.25">
      <c r="A812" t="s">
        <v>4207</v>
      </c>
      <c r="B812" t="s">
        <v>4208</v>
      </c>
      <c r="C812" t="s">
        <v>4209</v>
      </c>
      <c r="D812" t="s">
        <v>4208</v>
      </c>
      <c r="E812" t="s">
        <v>2666</v>
      </c>
      <c r="F812" t="s">
        <v>4206</v>
      </c>
      <c r="G812" t="s">
        <v>2666</v>
      </c>
      <c r="H812" t="s">
        <v>2054</v>
      </c>
      <c r="I812" t="s">
        <v>2741</v>
      </c>
      <c r="J812" t="s">
        <v>2054</v>
      </c>
      <c r="K812" t="s">
        <v>2665</v>
      </c>
      <c r="L812" t="s">
        <v>1136</v>
      </c>
      <c r="M812" t="s">
        <v>2898</v>
      </c>
      <c r="N812" t="s">
        <v>2665</v>
      </c>
      <c r="O812" t="s">
        <v>2984</v>
      </c>
      <c r="P812" t="s">
        <v>2829</v>
      </c>
      <c r="Q812" t="s">
        <v>3151</v>
      </c>
      <c r="R812" t="s">
        <v>2665</v>
      </c>
      <c r="S812" t="s">
        <v>2779</v>
      </c>
      <c r="T812" t="s">
        <v>2780</v>
      </c>
      <c r="U812" t="s">
        <v>2665</v>
      </c>
      <c r="V812" t="s">
        <v>4192</v>
      </c>
      <c r="W812" t="s">
        <v>4193</v>
      </c>
      <c r="X812" t="s">
        <v>2665</v>
      </c>
      <c r="Y812" t="s">
        <v>2054</v>
      </c>
      <c r="Z812" t="s">
        <v>1136</v>
      </c>
      <c r="AA812" t="s">
        <v>2679</v>
      </c>
      <c r="AB812" t="s">
        <v>2679</v>
      </c>
      <c r="AC812" t="s">
        <v>2665</v>
      </c>
      <c r="AD812" t="s">
        <v>2054</v>
      </c>
      <c r="AE812" t="s">
        <v>2726</v>
      </c>
    </row>
    <row r="813" spans="1:31" x14ac:dyDescent="0.25">
      <c r="A813" t="s">
        <v>4210</v>
      </c>
      <c r="B813" t="s">
        <v>4211</v>
      </c>
      <c r="C813" t="s">
        <v>4212</v>
      </c>
      <c r="D813" t="s">
        <v>4211</v>
      </c>
      <c r="E813" t="s">
        <v>2666</v>
      </c>
      <c r="F813" t="s">
        <v>4206</v>
      </c>
      <c r="G813" t="s">
        <v>2666</v>
      </c>
      <c r="H813" t="s">
        <v>2054</v>
      </c>
      <c r="I813" t="s">
        <v>2741</v>
      </c>
      <c r="J813" t="s">
        <v>2054</v>
      </c>
      <c r="K813" t="s">
        <v>2665</v>
      </c>
      <c r="L813" t="s">
        <v>1136</v>
      </c>
      <c r="M813" t="s">
        <v>2898</v>
      </c>
      <c r="N813" t="s">
        <v>2665</v>
      </c>
      <c r="O813" t="s">
        <v>2984</v>
      </c>
      <c r="P813" t="s">
        <v>2829</v>
      </c>
      <c r="Q813" t="s">
        <v>3151</v>
      </c>
      <c r="R813" t="s">
        <v>2665</v>
      </c>
      <c r="S813" t="s">
        <v>2779</v>
      </c>
      <c r="T813" t="s">
        <v>2780</v>
      </c>
      <c r="U813" t="s">
        <v>2665</v>
      </c>
      <c r="V813" t="s">
        <v>4192</v>
      </c>
      <c r="W813" t="s">
        <v>4193</v>
      </c>
      <c r="X813" t="s">
        <v>2665</v>
      </c>
      <c r="Y813" t="s">
        <v>2054</v>
      </c>
      <c r="Z813" t="s">
        <v>1136</v>
      </c>
      <c r="AA813" t="s">
        <v>2679</v>
      </c>
      <c r="AB813" t="s">
        <v>2679</v>
      </c>
      <c r="AC813" t="s">
        <v>2665</v>
      </c>
      <c r="AD813" t="s">
        <v>2054</v>
      </c>
      <c r="AE813" t="s">
        <v>2726</v>
      </c>
    </row>
    <row r="814" spans="1:31" x14ac:dyDescent="0.25">
      <c r="A814" t="s">
        <v>1949</v>
      </c>
      <c r="B814" t="s">
        <v>1948</v>
      </c>
      <c r="C814" t="s">
        <v>4213</v>
      </c>
      <c r="D814" t="s">
        <v>1948</v>
      </c>
      <c r="E814" t="s">
        <v>2666</v>
      </c>
      <c r="F814" t="s">
        <v>2705</v>
      </c>
      <c r="G814" t="s">
        <v>2666</v>
      </c>
      <c r="H814" t="s">
        <v>2054</v>
      </c>
      <c r="I814" t="s">
        <v>2706</v>
      </c>
      <c r="J814" t="s">
        <v>2054</v>
      </c>
      <c r="K814" t="s">
        <v>2665</v>
      </c>
      <c r="L814" t="s">
        <v>1104</v>
      </c>
      <c r="M814" t="s">
        <v>2898</v>
      </c>
      <c r="N814" t="s">
        <v>2665</v>
      </c>
      <c r="O814" t="s">
        <v>2984</v>
      </c>
      <c r="P814" t="s">
        <v>3017</v>
      </c>
      <c r="Q814" t="s">
        <v>2984</v>
      </c>
      <c r="R814" t="s">
        <v>2665</v>
      </c>
      <c r="S814" t="s">
        <v>2779</v>
      </c>
      <c r="T814" t="s">
        <v>2780</v>
      </c>
      <c r="U814" t="s">
        <v>2665</v>
      </c>
      <c r="V814" t="s">
        <v>2713</v>
      </c>
      <c r="W814" t="s">
        <v>2714</v>
      </c>
      <c r="X814" t="s">
        <v>2665</v>
      </c>
      <c r="Y814" t="s">
        <v>2054</v>
      </c>
      <c r="Z814" t="s">
        <v>1104</v>
      </c>
      <c r="AA814" t="s">
        <v>2665</v>
      </c>
      <c r="AB814" t="s">
        <v>2665</v>
      </c>
      <c r="AC814" t="s">
        <v>2665</v>
      </c>
      <c r="AD814" t="s">
        <v>2054</v>
      </c>
      <c r="AE814" t="s">
        <v>2054</v>
      </c>
    </row>
    <row r="815" spans="1:31" x14ac:dyDescent="0.25">
      <c r="A815" t="s">
        <v>1951</v>
      </c>
      <c r="B815" t="s">
        <v>1950</v>
      </c>
      <c r="C815" t="s">
        <v>4214</v>
      </c>
      <c r="D815" t="s">
        <v>1950</v>
      </c>
      <c r="E815" t="s">
        <v>2666</v>
      </c>
      <c r="F815" t="s">
        <v>2705</v>
      </c>
      <c r="G815" t="s">
        <v>2666</v>
      </c>
      <c r="H815" t="s">
        <v>2054</v>
      </c>
      <c r="I815" t="s">
        <v>2706</v>
      </c>
      <c r="J815" t="s">
        <v>2054</v>
      </c>
      <c r="K815" t="s">
        <v>2665</v>
      </c>
      <c r="L815" t="s">
        <v>1104</v>
      </c>
      <c r="M815" t="s">
        <v>2898</v>
      </c>
      <c r="N815" t="s">
        <v>2665</v>
      </c>
      <c r="O815" t="s">
        <v>2984</v>
      </c>
      <c r="P815" t="s">
        <v>3017</v>
      </c>
      <c r="Q815" t="s">
        <v>2984</v>
      </c>
      <c r="R815" t="s">
        <v>2665</v>
      </c>
      <c r="S815" t="s">
        <v>2779</v>
      </c>
      <c r="T815" t="s">
        <v>2780</v>
      </c>
      <c r="U815" t="s">
        <v>2665</v>
      </c>
      <c r="V815" t="s">
        <v>4192</v>
      </c>
      <c r="W815" t="s">
        <v>4193</v>
      </c>
      <c r="X815" t="s">
        <v>2665</v>
      </c>
      <c r="Y815" t="s">
        <v>2054</v>
      </c>
      <c r="Z815" t="s">
        <v>1104</v>
      </c>
      <c r="AA815" t="s">
        <v>2665</v>
      </c>
      <c r="AB815" t="s">
        <v>2665</v>
      </c>
      <c r="AC815" t="s">
        <v>2665</v>
      </c>
      <c r="AD815" t="s">
        <v>2054</v>
      </c>
      <c r="AE815" t="s">
        <v>2054</v>
      </c>
    </row>
    <row r="816" spans="1:31" x14ac:dyDescent="0.25">
      <c r="A816" t="s">
        <v>1953</v>
      </c>
      <c r="B816" t="s">
        <v>1952</v>
      </c>
      <c r="C816" t="s">
        <v>4215</v>
      </c>
      <c r="D816" t="s">
        <v>1952</v>
      </c>
      <c r="E816" t="s">
        <v>2666</v>
      </c>
      <c r="F816" t="s">
        <v>2705</v>
      </c>
      <c r="G816" t="s">
        <v>2666</v>
      </c>
      <c r="H816" t="s">
        <v>2054</v>
      </c>
      <c r="I816" t="s">
        <v>2706</v>
      </c>
      <c r="J816" t="s">
        <v>2054</v>
      </c>
      <c r="K816" t="s">
        <v>2665</v>
      </c>
      <c r="L816" t="s">
        <v>1104</v>
      </c>
      <c r="M816" t="s">
        <v>2898</v>
      </c>
      <c r="N816" t="s">
        <v>2665</v>
      </c>
      <c r="O816" t="s">
        <v>2984</v>
      </c>
      <c r="P816" t="s">
        <v>2829</v>
      </c>
      <c r="Q816" t="s">
        <v>3151</v>
      </c>
      <c r="R816" t="s">
        <v>2665</v>
      </c>
      <c r="S816" t="s">
        <v>2779</v>
      </c>
      <c r="T816" t="s">
        <v>2780</v>
      </c>
      <c r="U816" t="s">
        <v>2665</v>
      </c>
      <c r="V816" t="s">
        <v>4192</v>
      </c>
      <c r="W816" t="s">
        <v>4193</v>
      </c>
      <c r="X816" t="s">
        <v>2665</v>
      </c>
      <c r="Y816" t="s">
        <v>2054</v>
      </c>
      <c r="Z816" t="s">
        <v>1104</v>
      </c>
      <c r="AA816" t="s">
        <v>2665</v>
      </c>
      <c r="AB816" t="s">
        <v>2665</v>
      </c>
      <c r="AC816" t="s">
        <v>2665</v>
      </c>
      <c r="AD816" t="s">
        <v>2054</v>
      </c>
      <c r="AE816" t="s">
        <v>2726</v>
      </c>
    </row>
    <row r="817" spans="1:31" x14ac:dyDescent="0.25">
      <c r="A817" t="s">
        <v>1955</v>
      </c>
      <c r="B817" t="s">
        <v>1954</v>
      </c>
      <c r="C817" t="s">
        <v>4037</v>
      </c>
      <c r="D817" t="s">
        <v>1954</v>
      </c>
      <c r="E817" t="s">
        <v>2666</v>
      </c>
      <c r="F817" t="s">
        <v>2825</v>
      </c>
      <c r="G817" t="s">
        <v>2666</v>
      </c>
      <c r="H817" t="s">
        <v>2054</v>
      </c>
      <c r="I817" t="s">
        <v>2778</v>
      </c>
      <c r="J817" t="s">
        <v>2054</v>
      </c>
      <c r="K817" t="s">
        <v>2665</v>
      </c>
      <c r="L817" t="s">
        <v>1179</v>
      </c>
      <c r="M817" t="s">
        <v>2898</v>
      </c>
      <c r="N817" t="s">
        <v>2665</v>
      </c>
      <c r="O817" t="s">
        <v>2984</v>
      </c>
      <c r="P817" t="s">
        <v>3029</v>
      </c>
      <c r="Q817" t="s">
        <v>3489</v>
      </c>
      <c r="R817" t="s">
        <v>2665</v>
      </c>
      <c r="S817" t="s">
        <v>2779</v>
      </c>
      <c r="T817" t="s">
        <v>2780</v>
      </c>
      <c r="U817" t="s">
        <v>2665</v>
      </c>
      <c r="V817" t="s">
        <v>4192</v>
      </c>
      <c r="W817" t="s">
        <v>4193</v>
      </c>
      <c r="X817" t="s">
        <v>2665</v>
      </c>
      <c r="Y817" t="s">
        <v>2054</v>
      </c>
      <c r="Z817" t="s">
        <v>1179</v>
      </c>
      <c r="AA817" t="s">
        <v>2665</v>
      </c>
      <c r="AB817" t="s">
        <v>2665</v>
      </c>
      <c r="AC817" t="s">
        <v>2665</v>
      </c>
      <c r="AD817" t="s">
        <v>2054</v>
      </c>
      <c r="AE817" t="s">
        <v>2726</v>
      </c>
    </row>
    <row r="818" spans="1:31" x14ac:dyDescent="0.25">
      <c r="A818" t="s">
        <v>4216</v>
      </c>
      <c r="B818" t="s">
        <v>4217</v>
      </c>
      <c r="C818" t="s">
        <v>4218</v>
      </c>
      <c r="D818" t="s">
        <v>4217</v>
      </c>
      <c r="E818" t="s">
        <v>2666</v>
      </c>
      <c r="F818" t="s">
        <v>2666</v>
      </c>
      <c r="G818" t="s">
        <v>2666</v>
      </c>
      <c r="H818" t="s">
        <v>2054</v>
      </c>
      <c r="I818" t="s">
        <v>2778</v>
      </c>
      <c r="J818" t="s">
        <v>2054</v>
      </c>
      <c r="K818" t="s">
        <v>2665</v>
      </c>
      <c r="L818" t="s">
        <v>1179</v>
      </c>
      <c r="M818" t="s">
        <v>2898</v>
      </c>
      <c r="N818" t="s">
        <v>2665</v>
      </c>
      <c r="O818" t="s">
        <v>2984</v>
      </c>
      <c r="P818" t="s">
        <v>3029</v>
      </c>
      <c r="Q818" t="s">
        <v>3489</v>
      </c>
      <c r="R818" t="s">
        <v>2665</v>
      </c>
      <c r="S818" t="s">
        <v>2779</v>
      </c>
      <c r="T818" t="s">
        <v>2780</v>
      </c>
      <c r="U818" t="s">
        <v>2665</v>
      </c>
      <c r="V818" t="s">
        <v>4219</v>
      </c>
      <c r="W818" t="s">
        <v>4220</v>
      </c>
      <c r="X818" t="s">
        <v>2665</v>
      </c>
      <c r="Y818" t="s">
        <v>2054</v>
      </c>
      <c r="Z818" t="s">
        <v>1179</v>
      </c>
      <c r="AA818" t="s">
        <v>3431</v>
      </c>
      <c r="AB818" t="s">
        <v>3431</v>
      </c>
      <c r="AC818" t="s">
        <v>2665</v>
      </c>
      <c r="AD818" t="s">
        <v>2054</v>
      </c>
      <c r="AE818" t="s">
        <v>2054</v>
      </c>
    </row>
    <row r="819" spans="1:31" x14ac:dyDescent="0.25">
      <c r="A819" t="s">
        <v>1957</v>
      </c>
      <c r="B819" t="s">
        <v>1956</v>
      </c>
      <c r="C819" t="s">
        <v>4221</v>
      </c>
      <c r="D819" t="s">
        <v>1956</v>
      </c>
      <c r="E819" t="s">
        <v>2666</v>
      </c>
      <c r="F819" t="s">
        <v>4222</v>
      </c>
      <c r="G819" t="s">
        <v>2666</v>
      </c>
      <c r="H819" t="s">
        <v>2054</v>
      </c>
      <c r="I819" t="s">
        <v>2741</v>
      </c>
      <c r="J819" t="s">
        <v>2054</v>
      </c>
      <c r="K819" t="s">
        <v>2665</v>
      </c>
      <c r="L819" t="s">
        <v>1136</v>
      </c>
      <c r="M819" t="s">
        <v>2875</v>
      </c>
      <c r="N819" t="s">
        <v>2665</v>
      </c>
      <c r="O819" t="s">
        <v>2876</v>
      </c>
      <c r="P819" t="s">
        <v>3411</v>
      </c>
      <c r="Q819" t="s">
        <v>3412</v>
      </c>
      <c r="R819" t="s">
        <v>2665</v>
      </c>
      <c r="S819" t="s">
        <v>2779</v>
      </c>
      <c r="T819" t="s">
        <v>2780</v>
      </c>
      <c r="U819" t="s">
        <v>2665</v>
      </c>
      <c r="V819" t="s">
        <v>2713</v>
      </c>
      <c r="W819" t="s">
        <v>2714</v>
      </c>
      <c r="X819" t="s">
        <v>2665</v>
      </c>
      <c r="Y819" t="s">
        <v>2054</v>
      </c>
      <c r="Z819" t="s">
        <v>1136</v>
      </c>
      <c r="AA819" t="s">
        <v>2742</v>
      </c>
      <c r="AB819" t="s">
        <v>2742</v>
      </c>
      <c r="AC819" t="s">
        <v>2665</v>
      </c>
      <c r="AD819" t="s">
        <v>2054</v>
      </c>
      <c r="AE819" t="s">
        <v>2054</v>
      </c>
    </row>
    <row r="820" spans="1:31" x14ac:dyDescent="0.25">
      <c r="A820" t="s">
        <v>4223</v>
      </c>
      <c r="B820" t="s">
        <v>4224</v>
      </c>
      <c r="C820" t="s">
        <v>4225</v>
      </c>
      <c r="D820" t="s">
        <v>4224</v>
      </c>
      <c r="E820" t="s">
        <v>2666</v>
      </c>
      <c r="F820" t="s">
        <v>2821</v>
      </c>
      <c r="G820" t="s">
        <v>2666</v>
      </c>
      <c r="H820" t="s">
        <v>2054</v>
      </c>
      <c r="I820" t="s">
        <v>2741</v>
      </c>
      <c r="J820" t="s">
        <v>2054</v>
      </c>
      <c r="K820" t="s">
        <v>2665</v>
      </c>
      <c r="L820" t="s">
        <v>1136</v>
      </c>
      <c r="M820" t="s">
        <v>2898</v>
      </c>
      <c r="N820" t="s">
        <v>2665</v>
      </c>
      <c r="O820" t="s">
        <v>2984</v>
      </c>
      <c r="P820" t="s">
        <v>3411</v>
      </c>
      <c r="Q820" t="s">
        <v>3412</v>
      </c>
      <c r="R820" t="s">
        <v>2665</v>
      </c>
      <c r="S820" t="s">
        <v>2779</v>
      </c>
      <c r="T820" t="s">
        <v>2780</v>
      </c>
      <c r="U820" t="s">
        <v>2665</v>
      </c>
      <c r="V820" t="s">
        <v>2713</v>
      </c>
      <c r="W820" t="s">
        <v>2714</v>
      </c>
      <c r="X820" t="s">
        <v>2665</v>
      </c>
      <c r="Y820" t="s">
        <v>2054</v>
      </c>
      <c r="Z820" t="s">
        <v>1136</v>
      </c>
      <c r="AA820" t="s">
        <v>2745</v>
      </c>
      <c r="AB820" t="s">
        <v>2745</v>
      </c>
      <c r="AC820" t="s">
        <v>2665</v>
      </c>
      <c r="AD820" t="s">
        <v>2054</v>
      </c>
      <c r="AE820" t="s">
        <v>2054</v>
      </c>
    </row>
    <row r="821" spans="1:31" x14ac:dyDescent="0.25">
      <c r="A821" t="s">
        <v>1959</v>
      </c>
      <c r="B821" t="s">
        <v>1958</v>
      </c>
      <c r="C821" t="s">
        <v>4226</v>
      </c>
      <c r="D821" t="s">
        <v>1958</v>
      </c>
      <c r="E821" t="s">
        <v>2666</v>
      </c>
      <c r="F821" t="s">
        <v>3005</v>
      </c>
      <c r="G821" t="s">
        <v>2666</v>
      </c>
      <c r="H821" t="s">
        <v>2054</v>
      </c>
      <c r="I821" t="s">
        <v>2741</v>
      </c>
      <c r="J821" t="s">
        <v>2054</v>
      </c>
      <c r="K821" t="s">
        <v>2665</v>
      </c>
      <c r="L821" t="s">
        <v>1136</v>
      </c>
      <c r="M821" t="s">
        <v>2898</v>
      </c>
      <c r="N821" t="s">
        <v>2665</v>
      </c>
      <c r="O821" t="s">
        <v>2984</v>
      </c>
      <c r="P821" t="s">
        <v>3017</v>
      </c>
      <c r="Q821" t="s">
        <v>2984</v>
      </c>
      <c r="R821" t="s">
        <v>2665</v>
      </c>
      <c r="S821" t="s">
        <v>2779</v>
      </c>
      <c r="T821" t="s">
        <v>2780</v>
      </c>
      <c r="U821" t="s">
        <v>2665</v>
      </c>
      <c r="V821" t="s">
        <v>4192</v>
      </c>
      <c r="W821" t="s">
        <v>4193</v>
      </c>
      <c r="X821" t="s">
        <v>2665</v>
      </c>
      <c r="Y821" t="s">
        <v>2054</v>
      </c>
      <c r="Z821" t="s">
        <v>1136</v>
      </c>
      <c r="AA821" t="s">
        <v>2665</v>
      </c>
      <c r="AB821" t="s">
        <v>2665</v>
      </c>
      <c r="AC821" t="s">
        <v>2665</v>
      </c>
      <c r="AD821" t="s">
        <v>2054</v>
      </c>
      <c r="AE821" t="s">
        <v>2054</v>
      </c>
    </row>
    <row r="822" spans="1:31" x14ac:dyDescent="0.25">
      <c r="A822" t="s">
        <v>4227</v>
      </c>
      <c r="B822" t="s">
        <v>4228</v>
      </c>
      <c r="C822" t="s">
        <v>4229</v>
      </c>
      <c r="D822" t="s">
        <v>4228</v>
      </c>
      <c r="E822" t="s">
        <v>2666</v>
      </c>
      <c r="F822" t="s">
        <v>2705</v>
      </c>
      <c r="G822" t="s">
        <v>2666</v>
      </c>
      <c r="H822" t="s">
        <v>2054</v>
      </c>
      <c r="I822" t="s">
        <v>2706</v>
      </c>
      <c r="J822" t="s">
        <v>2054</v>
      </c>
      <c r="K822" t="s">
        <v>2665</v>
      </c>
      <c r="L822" t="s">
        <v>1104</v>
      </c>
      <c r="M822" t="s">
        <v>2669</v>
      </c>
      <c r="N822" t="s">
        <v>2665</v>
      </c>
      <c r="O822" t="s">
        <v>2670</v>
      </c>
      <c r="P822" t="s">
        <v>2671</v>
      </c>
      <c r="Q822" t="s">
        <v>2672</v>
      </c>
      <c r="R822" t="s">
        <v>2665</v>
      </c>
      <c r="S822" t="s">
        <v>2779</v>
      </c>
      <c r="T822" t="s">
        <v>2780</v>
      </c>
      <c r="U822" t="s">
        <v>2665</v>
      </c>
      <c r="V822" t="s">
        <v>2713</v>
      </c>
      <c r="W822" t="s">
        <v>2714</v>
      </c>
      <c r="X822" t="s">
        <v>2665</v>
      </c>
      <c r="Y822" t="s">
        <v>2054</v>
      </c>
      <c r="Z822" t="s">
        <v>1104</v>
      </c>
      <c r="AA822" t="s">
        <v>2665</v>
      </c>
      <c r="AB822" t="s">
        <v>2665</v>
      </c>
      <c r="AC822" t="s">
        <v>2665</v>
      </c>
      <c r="AD822" t="s">
        <v>2054</v>
      </c>
      <c r="AE822" t="s">
        <v>2054</v>
      </c>
    </row>
    <row r="823" spans="1:31" x14ac:dyDescent="0.25">
      <c r="A823" t="s">
        <v>4230</v>
      </c>
      <c r="B823" t="s">
        <v>4231</v>
      </c>
      <c r="C823" t="s">
        <v>4232</v>
      </c>
      <c r="D823" t="s">
        <v>4231</v>
      </c>
      <c r="E823" t="s">
        <v>2666</v>
      </c>
      <c r="F823" t="s">
        <v>2705</v>
      </c>
      <c r="G823" t="s">
        <v>2666</v>
      </c>
      <c r="H823" t="s">
        <v>2054</v>
      </c>
      <c r="I823" t="s">
        <v>2706</v>
      </c>
      <c r="J823" t="s">
        <v>2054</v>
      </c>
      <c r="K823" t="s">
        <v>2665</v>
      </c>
      <c r="L823" t="s">
        <v>1104</v>
      </c>
      <c r="M823" t="s">
        <v>2669</v>
      </c>
      <c r="N823" t="s">
        <v>2665</v>
      </c>
      <c r="O823" t="s">
        <v>2670</v>
      </c>
      <c r="P823" t="s">
        <v>2671</v>
      </c>
      <c r="Q823" t="s">
        <v>2672</v>
      </c>
      <c r="R823" t="s">
        <v>2665</v>
      </c>
      <c r="S823" t="s">
        <v>2779</v>
      </c>
      <c r="T823" t="s">
        <v>2780</v>
      </c>
      <c r="U823" t="s">
        <v>2665</v>
      </c>
      <c r="V823" t="s">
        <v>2713</v>
      </c>
      <c r="W823" t="s">
        <v>2714</v>
      </c>
      <c r="X823" t="s">
        <v>2665</v>
      </c>
      <c r="Y823" t="s">
        <v>2054</v>
      </c>
      <c r="Z823" t="s">
        <v>1104</v>
      </c>
      <c r="AA823" t="s">
        <v>2665</v>
      </c>
      <c r="AB823" t="s">
        <v>2665</v>
      </c>
      <c r="AC823" t="s">
        <v>2665</v>
      </c>
      <c r="AD823" t="s">
        <v>2054</v>
      </c>
      <c r="AE823" t="s">
        <v>2054</v>
      </c>
    </row>
    <row r="824" spans="1:31" x14ac:dyDescent="0.25">
      <c r="A824" t="s">
        <v>4233</v>
      </c>
      <c r="B824" t="s">
        <v>4234</v>
      </c>
      <c r="C824" t="s">
        <v>4235</v>
      </c>
      <c r="D824" t="s">
        <v>4234</v>
      </c>
      <c r="E824" t="s">
        <v>2666</v>
      </c>
      <c r="F824" t="s">
        <v>2705</v>
      </c>
      <c r="G824" t="s">
        <v>2666</v>
      </c>
      <c r="H824" t="s">
        <v>2054</v>
      </c>
      <c r="I824" t="s">
        <v>2706</v>
      </c>
      <c r="J824" t="s">
        <v>2054</v>
      </c>
      <c r="K824" t="s">
        <v>2665</v>
      </c>
      <c r="L824" t="s">
        <v>1104</v>
      </c>
      <c r="M824" t="s">
        <v>2669</v>
      </c>
      <c r="N824" t="s">
        <v>2665</v>
      </c>
      <c r="O824" t="s">
        <v>2670</v>
      </c>
      <c r="P824" t="s">
        <v>2671</v>
      </c>
      <c r="Q824" t="s">
        <v>2672</v>
      </c>
      <c r="R824" t="s">
        <v>2665</v>
      </c>
      <c r="S824" t="s">
        <v>2779</v>
      </c>
      <c r="T824" t="s">
        <v>2780</v>
      </c>
      <c r="U824" t="s">
        <v>2665</v>
      </c>
      <c r="V824" t="s">
        <v>2713</v>
      </c>
      <c r="W824" t="s">
        <v>2714</v>
      </c>
      <c r="X824" t="s">
        <v>2665</v>
      </c>
      <c r="Y824" t="s">
        <v>2054</v>
      </c>
      <c r="Z824" t="s">
        <v>1104</v>
      </c>
      <c r="AA824" t="s">
        <v>2665</v>
      </c>
      <c r="AB824" t="s">
        <v>2665</v>
      </c>
      <c r="AC824" t="s">
        <v>2665</v>
      </c>
      <c r="AD824" t="s">
        <v>2054</v>
      </c>
      <c r="AE824" t="s">
        <v>2054</v>
      </c>
    </row>
    <row r="825" spans="1:31" x14ac:dyDescent="0.25">
      <c r="A825" t="s">
        <v>4236</v>
      </c>
      <c r="B825" t="s">
        <v>4237</v>
      </c>
      <c r="C825" t="s">
        <v>4238</v>
      </c>
      <c r="D825" t="s">
        <v>4237</v>
      </c>
      <c r="E825" t="s">
        <v>2666</v>
      </c>
      <c r="F825" t="s">
        <v>2705</v>
      </c>
      <c r="G825" t="s">
        <v>2666</v>
      </c>
      <c r="H825" t="s">
        <v>2054</v>
      </c>
      <c r="I825" t="s">
        <v>2706</v>
      </c>
      <c r="J825" t="s">
        <v>2054</v>
      </c>
      <c r="K825" t="s">
        <v>2665</v>
      </c>
      <c r="L825" t="s">
        <v>1104</v>
      </c>
      <c r="M825" t="s">
        <v>2669</v>
      </c>
      <c r="N825" t="s">
        <v>2665</v>
      </c>
      <c r="O825" t="s">
        <v>2670</v>
      </c>
      <c r="P825" t="s">
        <v>2671</v>
      </c>
      <c r="Q825" t="s">
        <v>2672</v>
      </c>
      <c r="R825" t="s">
        <v>2665</v>
      </c>
      <c r="S825" t="s">
        <v>2779</v>
      </c>
      <c r="T825" t="s">
        <v>2780</v>
      </c>
      <c r="U825" t="s">
        <v>2665</v>
      </c>
      <c r="V825" t="s">
        <v>2713</v>
      </c>
      <c r="W825" t="s">
        <v>2714</v>
      </c>
      <c r="X825" t="s">
        <v>2665</v>
      </c>
      <c r="Y825" t="s">
        <v>2054</v>
      </c>
      <c r="Z825" t="s">
        <v>1104</v>
      </c>
      <c r="AA825" t="s">
        <v>2665</v>
      </c>
      <c r="AB825" t="s">
        <v>2665</v>
      </c>
      <c r="AC825" t="s">
        <v>2665</v>
      </c>
      <c r="AD825" t="s">
        <v>2054</v>
      </c>
      <c r="AE825" t="s">
        <v>2054</v>
      </c>
    </row>
    <row r="826" spans="1:31" x14ac:dyDescent="0.25">
      <c r="A826" t="s">
        <v>4239</v>
      </c>
      <c r="B826" t="s">
        <v>4240</v>
      </c>
      <c r="C826" t="s">
        <v>4241</v>
      </c>
      <c r="D826" t="s">
        <v>4240</v>
      </c>
      <c r="E826" t="s">
        <v>2666</v>
      </c>
      <c r="F826" t="s">
        <v>2705</v>
      </c>
      <c r="G826" t="s">
        <v>2666</v>
      </c>
      <c r="H826" t="s">
        <v>2054</v>
      </c>
      <c r="I826" t="s">
        <v>2706</v>
      </c>
      <c r="J826" t="s">
        <v>2054</v>
      </c>
      <c r="K826" t="s">
        <v>2665</v>
      </c>
      <c r="L826" t="s">
        <v>1104</v>
      </c>
      <c r="M826" t="s">
        <v>2669</v>
      </c>
      <c r="N826" t="s">
        <v>2665</v>
      </c>
      <c r="O826" t="s">
        <v>2670</v>
      </c>
      <c r="P826" t="s">
        <v>2671</v>
      </c>
      <c r="Q826" t="s">
        <v>2672</v>
      </c>
      <c r="R826" t="s">
        <v>2665</v>
      </c>
      <c r="S826" t="s">
        <v>2779</v>
      </c>
      <c r="T826" t="s">
        <v>2780</v>
      </c>
      <c r="U826" t="s">
        <v>2665</v>
      </c>
      <c r="V826" t="s">
        <v>2713</v>
      </c>
      <c r="W826" t="s">
        <v>2714</v>
      </c>
      <c r="X826" t="s">
        <v>2665</v>
      </c>
      <c r="Y826" t="s">
        <v>2054</v>
      </c>
      <c r="Z826" t="s">
        <v>1104</v>
      </c>
      <c r="AA826" t="s">
        <v>2665</v>
      </c>
      <c r="AB826" t="s">
        <v>2665</v>
      </c>
      <c r="AC826" t="s">
        <v>2665</v>
      </c>
      <c r="AD826" t="s">
        <v>2054</v>
      </c>
      <c r="AE826" t="s">
        <v>2726</v>
      </c>
    </row>
    <row r="827" spans="1:31" x14ac:dyDescent="0.25">
      <c r="A827" t="s">
        <v>4242</v>
      </c>
      <c r="B827" t="s">
        <v>4243</v>
      </c>
      <c r="C827" t="s">
        <v>4244</v>
      </c>
      <c r="D827" t="s">
        <v>4243</v>
      </c>
      <c r="E827" t="s">
        <v>2666</v>
      </c>
      <c r="F827" t="s">
        <v>2705</v>
      </c>
      <c r="G827" t="s">
        <v>2666</v>
      </c>
      <c r="H827" t="s">
        <v>2054</v>
      </c>
      <c r="I827" t="s">
        <v>2706</v>
      </c>
      <c r="J827" t="s">
        <v>2054</v>
      </c>
      <c r="K827" t="s">
        <v>2665</v>
      </c>
      <c r="L827" t="s">
        <v>1104</v>
      </c>
      <c r="M827" t="s">
        <v>2669</v>
      </c>
      <c r="N827" t="s">
        <v>2665</v>
      </c>
      <c r="O827" t="s">
        <v>2670</v>
      </c>
      <c r="P827" t="s">
        <v>2671</v>
      </c>
      <c r="Q827" t="s">
        <v>2672</v>
      </c>
      <c r="R827" t="s">
        <v>2665</v>
      </c>
      <c r="S827" t="s">
        <v>2779</v>
      </c>
      <c r="T827" t="s">
        <v>2780</v>
      </c>
      <c r="U827" t="s">
        <v>2665</v>
      </c>
      <c r="V827" t="s">
        <v>2713</v>
      </c>
      <c r="W827" t="s">
        <v>2714</v>
      </c>
      <c r="X827" t="s">
        <v>2665</v>
      </c>
      <c r="Y827" t="s">
        <v>2054</v>
      </c>
      <c r="Z827" t="s">
        <v>1104</v>
      </c>
      <c r="AA827" t="s">
        <v>2665</v>
      </c>
      <c r="AB827" t="s">
        <v>2665</v>
      </c>
      <c r="AC827" t="s">
        <v>2665</v>
      </c>
      <c r="AD827" t="s">
        <v>2054</v>
      </c>
      <c r="AE827" t="s">
        <v>2054</v>
      </c>
    </row>
    <row r="828" spans="1:31" x14ac:dyDescent="0.25">
      <c r="A828" t="s">
        <v>4245</v>
      </c>
      <c r="B828" t="s">
        <v>4246</v>
      </c>
      <c r="C828" t="s">
        <v>4247</v>
      </c>
      <c r="D828" t="s">
        <v>4246</v>
      </c>
      <c r="E828" t="s">
        <v>2666</v>
      </c>
      <c r="F828" t="s">
        <v>2705</v>
      </c>
      <c r="G828" t="s">
        <v>2666</v>
      </c>
      <c r="H828" t="s">
        <v>2054</v>
      </c>
      <c r="I828" t="s">
        <v>2706</v>
      </c>
      <c r="J828" t="s">
        <v>2054</v>
      </c>
      <c r="K828" t="s">
        <v>2665</v>
      </c>
      <c r="L828" t="s">
        <v>1104</v>
      </c>
      <c r="M828" t="s">
        <v>2669</v>
      </c>
      <c r="N828" t="s">
        <v>2665</v>
      </c>
      <c r="O828" t="s">
        <v>2670</v>
      </c>
      <c r="P828" t="s">
        <v>2671</v>
      </c>
      <c r="Q828" t="s">
        <v>2672</v>
      </c>
      <c r="R828" t="s">
        <v>2665</v>
      </c>
      <c r="S828" t="s">
        <v>2779</v>
      </c>
      <c r="T828" t="s">
        <v>2780</v>
      </c>
      <c r="U828" t="s">
        <v>2665</v>
      </c>
      <c r="V828" t="s">
        <v>2713</v>
      </c>
      <c r="W828" t="s">
        <v>2714</v>
      </c>
      <c r="X828" t="s">
        <v>2665</v>
      </c>
      <c r="Y828" t="s">
        <v>2054</v>
      </c>
      <c r="Z828" t="s">
        <v>1104</v>
      </c>
      <c r="AA828" t="s">
        <v>2665</v>
      </c>
      <c r="AB828" t="s">
        <v>2665</v>
      </c>
      <c r="AC828" t="s">
        <v>2665</v>
      </c>
      <c r="AD828" t="s">
        <v>2054</v>
      </c>
      <c r="AE828" t="s">
        <v>2726</v>
      </c>
    </row>
    <row r="829" spans="1:31" x14ac:dyDescent="0.25">
      <c r="A829" t="s">
        <v>4248</v>
      </c>
      <c r="B829" t="s">
        <v>4249</v>
      </c>
      <c r="C829" t="s">
        <v>4250</v>
      </c>
      <c r="D829" t="s">
        <v>4249</v>
      </c>
      <c r="E829" t="s">
        <v>2666</v>
      </c>
      <c r="F829" t="s">
        <v>2705</v>
      </c>
      <c r="G829" t="s">
        <v>2666</v>
      </c>
      <c r="H829" t="s">
        <v>2054</v>
      </c>
      <c r="I829" t="s">
        <v>2706</v>
      </c>
      <c r="J829" t="s">
        <v>2054</v>
      </c>
      <c r="K829" t="s">
        <v>2665</v>
      </c>
      <c r="L829" t="s">
        <v>1104</v>
      </c>
      <c r="M829" t="s">
        <v>2669</v>
      </c>
      <c r="N829" t="s">
        <v>2665</v>
      </c>
      <c r="O829" t="s">
        <v>2670</v>
      </c>
      <c r="P829" t="s">
        <v>2671</v>
      </c>
      <c r="Q829" t="s">
        <v>2672</v>
      </c>
      <c r="R829" t="s">
        <v>2665</v>
      </c>
      <c r="S829" t="s">
        <v>2779</v>
      </c>
      <c r="T829" t="s">
        <v>2780</v>
      </c>
      <c r="U829" t="s">
        <v>2665</v>
      </c>
      <c r="V829" t="s">
        <v>2713</v>
      </c>
      <c r="W829" t="s">
        <v>2714</v>
      </c>
      <c r="X829" t="s">
        <v>2665</v>
      </c>
      <c r="Y829" t="s">
        <v>2054</v>
      </c>
      <c r="Z829" t="s">
        <v>1104</v>
      </c>
      <c r="AA829" t="s">
        <v>2665</v>
      </c>
      <c r="AB829" t="s">
        <v>2665</v>
      </c>
      <c r="AC829" t="s">
        <v>2665</v>
      </c>
      <c r="AD829" t="s">
        <v>2054</v>
      </c>
      <c r="AE829" t="s">
        <v>2726</v>
      </c>
    </row>
    <row r="830" spans="1:31" x14ac:dyDescent="0.25">
      <c r="A830" t="s">
        <v>4251</v>
      </c>
      <c r="B830" t="s">
        <v>4252</v>
      </c>
      <c r="C830" t="s">
        <v>4253</v>
      </c>
      <c r="D830" t="s">
        <v>4252</v>
      </c>
      <c r="E830" t="s">
        <v>2666</v>
      </c>
      <c r="F830" t="s">
        <v>2705</v>
      </c>
      <c r="G830" t="s">
        <v>2666</v>
      </c>
      <c r="H830" t="s">
        <v>2054</v>
      </c>
      <c r="I830" t="s">
        <v>2706</v>
      </c>
      <c r="J830" t="s">
        <v>2054</v>
      </c>
      <c r="K830" t="s">
        <v>2665</v>
      </c>
      <c r="L830" t="s">
        <v>1104</v>
      </c>
      <c r="M830" t="s">
        <v>2669</v>
      </c>
      <c r="N830" t="s">
        <v>2665</v>
      </c>
      <c r="O830" t="s">
        <v>2670</v>
      </c>
      <c r="P830" t="s">
        <v>2671</v>
      </c>
      <c r="Q830" t="s">
        <v>2672</v>
      </c>
      <c r="R830" t="s">
        <v>2665</v>
      </c>
      <c r="S830" t="s">
        <v>2779</v>
      </c>
      <c r="T830" t="s">
        <v>2780</v>
      </c>
      <c r="U830" t="s">
        <v>2665</v>
      </c>
      <c r="V830" t="s">
        <v>2713</v>
      </c>
      <c r="W830" t="s">
        <v>2714</v>
      </c>
      <c r="X830" t="s">
        <v>2665</v>
      </c>
      <c r="Y830" t="s">
        <v>2054</v>
      </c>
      <c r="Z830" t="s">
        <v>1104</v>
      </c>
      <c r="AA830" t="s">
        <v>2665</v>
      </c>
      <c r="AB830" t="s">
        <v>2665</v>
      </c>
      <c r="AC830" t="s">
        <v>2665</v>
      </c>
      <c r="AD830" t="s">
        <v>2054</v>
      </c>
      <c r="AE830" t="s">
        <v>2726</v>
      </c>
    </row>
    <row r="831" spans="1:31" x14ac:dyDescent="0.25">
      <c r="A831" t="s">
        <v>4254</v>
      </c>
      <c r="B831" t="s">
        <v>4255</v>
      </c>
      <c r="C831" t="s">
        <v>4256</v>
      </c>
      <c r="D831" t="s">
        <v>4255</v>
      </c>
      <c r="E831" t="s">
        <v>2666</v>
      </c>
      <c r="F831" t="s">
        <v>2705</v>
      </c>
      <c r="G831" t="s">
        <v>2666</v>
      </c>
      <c r="H831" t="s">
        <v>2054</v>
      </c>
      <c r="I831" t="s">
        <v>2706</v>
      </c>
      <c r="J831" t="s">
        <v>2054</v>
      </c>
      <c r="K831" t="s">
        <v>2665</v>
      </c>
      <c r="L831" t="s">
        <v>1104</v>
      </c>
      <c r="M831" t="s">
        <v>2669</v>
      </c>
      <c r="N831" t="s">
        <v>2665</v>
      </c>
      <c r="O831" t="s">
        <v>2670</v>
      </c>
      <c r="P831" t="s">
        <v>2671</v>
      </c>
      <c r="Q831" t="s">
        <v>2672</v>
      </c>
      <c r="R831" t="s">
        <v>2665</v>
      </c>
      <c r="S831" t="s">
        <v>2779</v>
      </c>
      <c r="T831" t="s">
        <v>2780</v>
      </c>
      <c r="U831" t="s">
        <v>2665</v>
      </c>
      <c r="V831" t="s">
        <v>2713</v>
      </c>
      <c r="W831" t="s">
        <v>2714</v>
      </c>
      <c r="X831" t="s">
        <v>2665</v>
      </c>
      <c r="Y831" t="s">
        <v>2054</v>
      </c>
      <c r="Z831" t="s">
        <v>1104</v>
      </c>
      <c r="AA831" t="s">
        <v>2665</v>
      </c>
      <c r="AB831" t="s">
        <v>2665</v>
      </c>
      <c r="AC831" t="s">
        <v>2665</v>
      </c>
      <c r="AD831" t="s">
        <v>2054</v>
      </c>
      <c r="AE831" t="s">
        <v>2054</v>
      </c>
    </row>
    <row r="832" spans="1:31" x14ac:dyDescent="0.25">
      <c r="A832" t="s">
        <v>4257</v>
      </c>
      <c r="B832" t="s">
        <v>4258</v>
      </c>
      <c r="C832" t="s">
        <v>4259</v>
      </c>
      <c r="D832" t="s">
        <v>4258</v>
      </c>
      <c r="E832" t="s">
        <v>2666</v>
      </c>
      <c r="F832" t="s">
        <v>2705</v>
      </c>
      <c r="G832" t="s">
        <v>2666</v>
      </c>
      <c r="H832" t="s">
        <v>2054</v>
      </c>
      <c r="I832" t="s">
        <v>2706</v>
      </c>
      <c r="J832" t="s">
        <v>2054</v>
      </c>
      <c r="K832" t="s">
        <v>2665</v>
      </c>
      <c r="L832" t="s">
        <v>1104</v>
      </c>
      <c r="M832" t="s">
        <v>2669</v>
      </c>
      <c r="N832" t="s">
        <v>2665</v>
      </c>
      <c r="O832" t="s">
        <v>2670</v>
      </c>
      <c r="P832" t="s">
        <v>2671</v>
      </c>
      <c r="Q832" t="s">
        <v>2672</v>
      </c>
      <c r="R832" t="s">
        <v>2665</v>
      </c>
      <c r="S832" t="s">
        <v>2779</v>
      </c>
      <c r="T832" t="s">
        <v>2780</v>
      </c>
      <c r="U832" t="s">
        <v>2665</v>
      </c>
      <c r="V832" t="s">
        <v>2713</v>
      </c>
      <c r="W832" t="s">
        <v>2714</v>
      </c>
      <c r="X832" t="s">
        <v>2665</v>
      </c>
      <c r="Y832" t="s">
        <v>2054</v>
      </c>
      <c r="Z832" t="s">
        <v>1104</v>
      </c>
      <c r="AA832" t="s">
        <v>2665</v>
      </c>
      <c r="AB832" t="s">
        <v>2665</v>
      </c>
      <c r="AC832" t="s">
        <v>2665</v>
      </c>
      <c r="AD832" t="s">
        <v>2054</v>
      </c>
      <c r="AE832" t="s">
        <v>2054</v>
      </c>
    </row>
    <row r="833" spans="1:31" x14ac:dyDescent="0.25">
      <c r="A833" t="s">
        <v>4260</v>
      </c>
      <c r="B833" t="s">
        <v>4261</v>
      </c>
      <c r="C833" t="s">
        <v>4262</v>
      </c>
      <c r="D833" t="s">
        <v>4261</v>
      </c>
      <c r="E833" t="s">
        <v>2666</v>
      </c>
      <c r="F833" t="s">
        <v>2705</v>
      </c>
      <c r="G833" t="s">
        <v>2666</v>
      </c>
      <c r="H833" t="s">
        <v>2054</v>
      </c>
      <c r="I833" t="s">
        <v>2706</v>
      </c>
      <c r="J833" t="s">
        <v>2054</v>
      </c>
      <c r="K833" t="s">
        <v>2665</v>
      </c>
      <c r="L833" t="s">
        <v>1104</v>
      </c>
      <c r="M833" t="s">
        <v>2669</v>
      </c>
      <c r="N833" t="s">
        <v>2665</v>
      </c>
      <c r="O833" t="s">
        <v>2670</v>
      </c>
      <c r="P833" t="s">
        <v>2671</v>
      </c>
      <c r="Q833" t="s">
        <v>2672</v>
      </c>
      <c r="R833" t="s">
        <v>2665</v>
      </c>
      <c r="S833" t="s">
        <v>2779</v>
      </c>
      <c r="T833" t="s">
        <v>2780</v>
      </c>
      <c r="U833" t="s">
        <v>2665</v>
      </c>
      <c r="V833" t="s">
        <v>2713</v>
      </c>
      <c r="W833" t="s">
        <v>2714</v>
      </c>
      <c r="X833" t="s">
        <v>2665</v>
      </c>
      <c r="Y833" t="s">
        <v>2054</v>
      </c>
      <c r="Z833" t="s">
        <v>1104</v>
      </c>
      <c r="AA833" t="s">
        <v>2665</v>
      </c>
      <c r="AB833" t="s">
        <v>2665</v>
      </c>
      <c r="AC833" t="s">
        <v>2665</v>
      </c>
      <c r="AD833" t="s">
        <v>2054</v>
      </c>
      <c r="AE833" t="s">
        <v>2054</v>
      </c>
    </row>
    <row r="834" spans="1:31" x14ac:dyDescent="0.25">
      <c r="A834" t="s">
        <v>4263</v>
      </c>
      <c r="B834" t="s">
        <v>4264</v>
      </c>
      <c r="C834" t="s">
        <v>4265</v>
      </c>
      <c r="D834" t="s">
        <v>4264</v>
      </c>
      <c r="E834" t="s">
        <v>2666</v>
      </c>
      <c r="F834" t="s">
        <v>2705</v>
      </c>
      <c r="G834" t="s">
        <v>2666</v>
      </c>
      <c r="H834" t="s">
        <v>2054</v>
      </c>
      <c r="I834" t="s">
        <v>2706</v>
      </c>
      <c r="J834" t="s">
        <v>2054</v>
      </c>
      <c r="K834" t="s">
        <v>2665</v>
      </c>
      <c r="L834" t="s">
        <v>1104</v>
      </c>
      <c r="M834" t="s">
        <v>2669</v>
      </c>
      <c r="N834" t="s">
        <v>2665</v>
      </c>
      <c r="O834" t="s">
        <v>2670</v>
      </c>
      <c r="P834" t="s">
        <v>2671</v>
      </c>
      <c r="Q834" t="s">
        <v>2672</v>
      </c>
      <c r="R834" t="s">
        <v>2665</v>
      </c>
      <c r="S834" t="s">
        <v>2779</v>
      </c>
      <c r="T834" t="s">
        <v>2780</v>
      </c>
      <c r="U834" t="s">
        <v>2665</v>
      </c>
      <c r="V834" t="s">
        <v>2713</v>
      </c>
      <c r="W834" t="s">
        <v>2714</v>
      </c>
      <c r="X834" t="s">
        <v>2665</v>
      </c>
      <c r="Y834" t="s">
        <v>2054</v>
      </c>
      <c r="Z834" t="s">
        <v>1104</v>
      </c>
      <c r="AA834" t="s">
        <v>2665</v>
      </c>
      <c r="AB834" t="s">
        <v>2665</v>
      </c>
      <c r="AC834" t="s">
        <v>2665</v>
      </c>
      <c r="AD834" t="s">
        <v>2054</v>
      </c>
      <c r="AE834" t="s">
        <v>2054</v>
      </c>
    </row>
    <row r="835" spans="1:31" x14ac:dyDescent="0.25">
      <c r="A835" t="s">
        <v>4266</v>
      </c>
      <c r="B835" t="s">
        <v>4267</v>
      </c>
      <c r="C835" t="s">
        <v>4268</v>
      </c>
      <c r="D835" t="s">
        <v>4267</v>
      </c>
      <c r="E835" t="s">
        <v>2666</v>
      </c>
      <c r="F835" t="s">
        <v>2705</v>
      </c>
      <c r="G835" t="s">
        <v>2666</v>
      </c>
      <c r="H835" t="s">
        <v>2054</v>
      </c>
      <c r="I835" t="s">
        <v>2706</v>
      </c>
      <c r="J835" t="s">
        <v>2054</v>
      </c>
      <c r="K835" t="s">
        <v>2665</v>
      </c>
      <c r="L835" t="s">
        <v>1104</v>
      </c>
      <c r="M835" t="s">
        <v>2669</v>
      </c>
      <c r="N835" t="s">
        <v>2665</v>
      </c>
      <c r="O835" t="s">
        <v>2670</v>
      </c>
      <c r="P835" t="s">
        <v>2671</v>
      </c>
      <c r="Q835" t="s">
        <v>2672</v>
      </c>
      <c r="R835" t="s">
        <v>2665</v>
      </c>
      <c r="S835" t="s">
        <v>2779</v>
      </c>
      <c r="T835" t="s">
        <v>2780</v>
      </c>
      <c r="U835" t="s">
        <v>2665</v>
      </c>
      <c r="V835" t="s">
        <v>2713</v>
      </c>
      <c r="W835" t="s">
        <v>2714</v>
      </c>
      <c r="X835" t="s">
        <v>2665</v>
      </c>
      <c r="Y835" t="s">
        <v>2054</v>
      </c>
      <c r="Z835" t="s">
        <v>1104</v>
      </c>
      <c r="AA835" t="s">
        <v>2665</v>
      </c>
      <c r="AB835" t="s">
        <v>2665</v>
      </c>
      <c r="AC835" t="s">
        <v>2665</v>
      </c>
      <c r="AD835" t="s">
        <v>2054</v>
      </c>
      <c r="AE835" t="s">
        <v>2054</v>
      </c>
    </row>
    <row r="836" spans="1:31" x14ac:dyDescent="0.25">
      <c r="A836" t="s">
        <v>4269</v>
      </c>
      <c r="B836" t="s">
        <v>4270</v>
      </c>
      <c r="C836" t="s">
        <v>4271</v>
      </c>
      <c r="D836" t="s">
        <v>4270</v>
      </c>
      <c r="E836" t="s">
        <v>2666</v>
      </c>
      <c r="F836" t="s">
        <v>2705</v>
      </c>
      <c r="G836" t="s">
        <v>2666</v>
      </c>
      <c r="H836" t="s">
        <v>2054</v>
      </c>
      <c r="I836" t="s">
        <v>2706</v>
      </c>
      <c r="J836" t="s">
        <v>2054</v>
      </c>
      <c r="K836" t="s">
        <v>2665</v>
      </c>
      <c r="L836" t="s">
        <v>1104</v>
      </c>
      <c r="M836" t="s">
        <v>2669</v>
      </c>
      <c r="N836" t="s">
        <v>2665</v>
      </c>
      <c r="O836" t="s">
        <v>2670</v>
      </c>
      <c r="P836" t="s">
        <v>2671</v>
      </c>
      <c r="Q836" t="s">
        <v>2672</v>
      </c>
      <c r="R836" t="s">
        <v>2665</v>
      </c>
      <c r="S836" t="s">
        <v>2779</v>
      </c>
      <c r="T836" t="s">
        <v>2780</v>
      </c>
      <c r="U836" t="s">
        <v>2665</v>
      </c>
      <c r="V836" t="s">
        <v>2713</v>
      </c>
      <c r="W836" t="s">
        <v>2714</v>
      </c>
      <c r="X836" t="s">
        <v>2665</v>
      </c>
      <c r="Y836" t="s">
        <v>2054</v>
      </c>
      <c r="Z836" t="s">
        <v>1104</v>
      </c>
      <c r="AA836" t="s">
        <v>2665</v>
      </c>
      <c r="AB836" t="s">
        <v>2665</v>
      </c>
      <c r="AC836" t="s">
        <v>2665</v>
      </c>
      <c r="AD836" t="s">
        <v>2054</v>
      </c>
      <c r="AE836" t="s">
        <v>2054</v>
      </c>
    </row>
    <row r="837" spans="1:31" x14ac:dyDescent="0.25">
      <c r="A837" t="s">
        <v>4272</v>
      </c>
      <c r="B837" t="s">
        <v>4273</v>
      </c>
      <c r="C837" t="s">
        <v>4274</v>
      </c>
      <c r="D837" t="s">
        <v>4273</v>
      </c>
      <c r="E837" t="s">
        <v>2666</v>
      </c>
      <c r="F837" t="s">
        <v>2705</v>
      </c>
      <c r="G837" t="s">
        <v>2666</v>
      </c>
      <c r="H837" t="s">
        <v>2054</v>
      </c>
      <c r="I837" t="s">
        <v>2706</v>
      </c>
      <c r="J837" t="s">
        <v>2054</v>
      </c>
      <c r="K837" t="s">
        <v>2665</v>
      </c>
      <c r="L837" t="s">
        <v>1104</v>
      </c>
      <c r="M837" t="s">
        <v>2669</v>
      </c>
      <c r="N837" t="s">
        <v>2665</v>
      </c>
      <c r="O837" t="s">
        <v>2670</v>
      </c>
      <c r="P837" t="s">
        <v>2671</v>
      </c>
      <c r="Q837" t="s">
        <v>2672</v>
      </c>
      <c r="R837" t="s">
        <v>2665</v>
      </c>
      <c r="S837" t="s">
        <v>2779</v>
      </c>
      <c r="T837" t="s">
        <v>2780</v>
      </c>
      <c r="U837" t="s">
        <v>2665</v>
      </c>
      <c r="V837" t="s">
        <v>2713</v>
      </c>
      <c r="W837" t="s">
        <v>2714</v>
      </c>
      <c r="X837" t="s">
        <v>2665</v>
      </c>
      <c r="Y837" t="s">
        <v>2054</v>
      </c>
      <c r="Z837" t="s">
        <v>1104</v>
      </c>
      <c r="AA837" t="s">
        <v>2665</v>
      </c>
      <c r="AB837" t="s">
        <v>2665</v>
      </c>
      <c r="AC837" t="s">
        <v>2665</v>
      </c>
      <c r="AD837" t="s">
        <v>2054</v>
      </c>
      <c r="AE837" t="s">
        <v>2054</v>
      </c>
    </row>
    <row r="838" spans="1:31" x14ac:dyDescent="0.25">
      <c r="A838" t="s">
        <v>4275</v>
      </c>
      <c r="B838" t="s">
        <v>4276</v>
      </c>
      <c r="C838" t="s">
        <v>3761</v>
      </c>
      <c r="D838" t="s">
        <v>4276</v>
      </c>
      <c r="E838" t="s">
        <v>2666</v>
      </c>
      <c r="F838" t="s">
        <v>2705</v>
      </c>
      <c r="G838" t="s">
        <v>2666</v>
      </c>
      <c r="H838" t="s">
        <v>2054</v>
      </c>
      <c r="I838" t="s">
        <v>2706</v>
      </c>
      <c r="J838" t="s">
        <v>2054</v>
      </c>
      <c r="K838" t="s">
        <v>2665</v>
      </c>
      <c r="L838" t="s">
        <v>1104</v>
      </c>
      <c r="M838" t="s">
        <v>2669</v>
      </c>
      <c r="N838" t="s">
        <v>2665</v>
      </c>
      <c r="O838" t="s">
        <v>2670</v>
      </c>
      <c r="P838" t="s">
        <v>2671</v>
      </c>
      <c r="Q838" t="s">
        <v>2672</v>
      </c>
      <c r="R838" t="s">
        <v>2665</v>
      </c>
      <c r="S838" t="s">
        <v>2779</v>
      </c>
      <c r="T838" t="s">
        <v>2780</v>
      </c>
      <c r="U838" t="s">
        <v>2665</v>
      </c>
      <c r="V838" t="s">
        <v>2713</v>
      </c>
      <c r="W838" t="s">
        <v>2714</v>
      </c>
      <c r="X838" t="s">
        <v>2665</v>
      </c>
      <c r="Y838" t="s">
        <v>2054</v>
      </c>
      <c r="Z838" t="s">
        <v>1104</v>
      </c>
      <c r="AA838" t="s">
        <v>2665</v>
      </c>
      <c r="AB838" t="s">
        <v>2665</v>
      </c>
      <c r="AC838" t="s">
        <v>2665</v>
      </c>
      <c r="AD838" t="s">
        <v>2054</v>
      </c>
      <c r="AE838" t="s">
        <v>2054</v>
      </c>
    </row>
    <row r="839" spans="1:31" x14ac:dyDescent="0.25">
      <c r="A839" t="s">
        <v>4277</v>
      </c>
      <c r="B839" t="s">
        <v>4278</v>
      </c>
      <c r="C839" t="s">
        <v>4279</v>
      </c>
      <c r="D839" t="s">
        <v>4278</v>
      </c>
      <c r="E839" t="s">
        <v>2666</v>
      </c>
      <c r="F839" t="s">
        <v>2705</v>
      </c>
      <c r="G839" t="s">
        <v>2666</v>
      </c>
      <c r="H839" t="s">
        <v>2054</v>
      </c>
      <c r="I839" t="s">
        <v>2706</v>
      </c>
      <c r="J839" t="s">
        <v>2054</v>
      </c>
      <c r="K839" t="s">
        <v>2665</v>
      </c>
      <c r="L839" t="s">
        <v>1104</v>
      </c>
      <c r="M839" t="s">
        <v>2669</v>
      </c>
      <c r="N839" t="s">
        <v>2665</v>
      </c>
      <c r="O839" t="s">
        <v>2670</v>
      </c>
      <c r="P839" t="s">
        <v>2671</v>
      </c>
      <c r="Q839" t="s">
        <v>2672</v>
      </c>
      <c r="R839" t="s">
        <v>2665</v>
      </c>
      <c r="S839" t="s">
        <v>2779</v>
      </c>
      <c r="T839" t="s">
        <v>2780</v>
      </c>
      <c r="U839" t="s">
        <v>2665</v>
      </c>
      <c r="V839" t="s">
        <v>2713</v>
      </c>
      <c r="W839" t="s">
        <v>2714</v>
      </c>
      <c r="X839" t="s">
        <v>2665</v>
      </c>
      <c r="Y839" t="s">
        <v>2054</v>
      </c>
      <c r="Z839" t="s">
        <v>1104</v>
      </c>
      <c r="AA839" t="s">
        <v>2665</v>
      </c>
      <c r="AB839" t="s">
        <v>2665</v>
      </c>
      <c r="AC839" t="s">
        <v>2665</v>
      </c>
      <c r="AD839" t="s">
        <v>2054</v>
      </c>
      <c r="AE839" t="s">
        <v>2054</v>
      </c>
    </row>
    <row r="840" spans="1:31" x14ac:dyDescent="0.25">
      <c r="A840" t="s">
        <v>4280</v>
      </c>
      <c r="B840" t="s">
        <v>4281</v>
      </c>
      <c r="C840" t="s">
        <v>4282</v>
      </c>
      <c r="D840" t="s">
        <v>4281</v>
      </c>
      <c r="E840" t="s">
        <v>2666</v>
      </c>
      <c r="F840" t="s">
        <v>2705</v>
      </c>
      <c r="G840" t="s">
        <v>2666</v>
      </c>
      <c r="H840" t="s">
        <v>2054</v>
      </c>
      <c r="I840" t="s">
        <v>2706</v>
      </c>
      <c r="J840" t="s">
        <v>2054</v>
      </c>
      <c r="K840" t="s">
        <v>2665</v>
      </c>
      <c r="L840" t="s">
        <v>1104</v>
      </c>
      <c r="M840" t="s">
        <v>2669</v>
      </c>
      <c r="N840" t="s">
        <v>2665</v>
      </c>
      <c r="O840" t="s">
        <v>2670</v>
      </c>
      <c r="P840" t="s">
        <v>2671</v>
      </c>
      <c r="Q840" t="s">
        <v>2672</v>
      </c>
      <c r="R840" t="s">
        <v>2665</v>
      </c>
      <c r="S840" t="s">
        <v>2779</v>
      </c>
      <c r="T840" t="s">
        <v>2780</v>
      </c>
      <c r="U840" t="s">
        <v>2665</v>
      </c>
      <c r="V840" t="s">
        <v>2713</v>
      </c>
      <c r="W840" t="s">
        <v>2714</v>
      </c>
      <c r="X840" t="s">
        <v>2665</v>
      </c>
      <c r="Y840" t="s">
        <v>2054</v>
      </c>
      <c r="Z840" t="s">
        <v>1104</v>
      </c>
      <c r="AA840" t="s">
        <v>2665</v>
      </c>
      <c r="AB840" t="s">
        <v>2665</v>
      </c>
      <c r="AC840" t="s">
        <v>2665</v>
      </c>
      <c r="AD840" t="s">
        <v>2054</v>
      </c>
      <c r="AE840" t="s">
        <v>2054</v>
      </c>
    </row>
    <row r="841" spans="1:31" x14ac:dyDescent="0.25">
      <c r="A841" t="s">
        <v>4283</v>
      </c>
      <c r="B841" t="s">
        <v>4284</v>
      </c>
      <c r="C841" t="s">
        <v>4285</v>
      </c>
      <c r="D841" t="s">
        <v>4284</v>
      </c>
      <c r="E841" t="s">
        <v>2666</v>
      </c>
      <c r="F841" t="s">
        <v>2666</v>
      </c>
      <c r="G841" t="s">
        <v>2666</v>
      </c>
      <c r="H841" t="s">
        <v>2054</v>
      </c>
      <c r="I841" t="s">
        <v>2706</v>
      </c>
      <c r="J841" t="s">
        <v>2054</v>
      </c>
      <c r="K841" t="s">
        <v>2665</v>
      </c>
      <c r="L841" t="s">
        <v>1104</v>
      </c>
      <c r="M841" t="s">
        <v>2669</v>
      </c>
      <c r="N841" t="s">
        <v>2665</v>
      </c>
      <c r="O841" t="s">
        <v>2670</v>
      </c>
      <c r="P841" t="s">
        <v>2671</v>
      </c>
      <c r="Q841" t="s">
        <v>2672</v>
      </c>
      <c r="R841" t="s">
        <v>2665</v>
      </c>
      <c r="S841" t="s">
        <v>2779</v>
      </c>
      <c r="T841" t="s">
        <v>2780</v>
      </c>
      <c r="U841" t="s">
        <v>2665</v>
      </c>
      <c r="V841" t="s">
        <v>2713</v>
      </c>
      <c r="W841" t="s">
        <v>2714</v>
      </c>
      <c r="X841" t="s">
        <v>2665</v>
      </c>
      <c r="Y841" t="s">
        <v>2054</v>
      </c>
      <c r="Z841" t="s">
        <v>1104</v>
      </c>
      <c r="AA841" t="s">
        <v>2665</v>
      </c>
      <c r="AB841" t="s">
        <v>2665</v>
      </c>
      <c r="AC841" t="s">
        <v>2665</v>
      </c>
      <c r="AD841" t="s">
        <v>2054</v>
      </c>
      <c r="AE841" t="s">
        <v>2054</v>
      </c>
    </row>
    <row r="842" spans="1:31" x14ac:dyDescent="0.25">
      <c r="A842" t="s">
        <v>4286</v>
      </c>
      <c r="B842" t="s">
        <v>4287</v>
      </c>
      <c r="C842" t="s">
        <v>4288</v>
      </c>
      <c r="D842" t="s">
        <v>4287</v>
      </c>
      <c r="E842" t="s">
        <v>2666</v>
      </c>
      <c r="F842" t="s">
        <v>2705</v>
      </c>
      <c r="G842" t="s">
        <v>2666</v>
      </c>
      <c r="H842" t="s">
        <v>2054</v>
      </c>
      <c r="I842" t="s">
        <v>2706</v>
      </c>
      <c r="J842" t="s">
        <v>2054</v>
      </c>
      <c r="K842" t="s">
        <v>2665</v>
      </c>
      <c r="L842" t="s">
        <v>1104</v>
      </c>
      <c r="M842" t="s">
        <v>2669</v>
      </c>
      <c r="N842" t="s">
        <v>2665</v>
      </c>
      <c r="O842" t="s">
        <v>2670</v>
      </c>
      <c r="P842" t="s">
        <v>2671</v>
      </c>
      <c r="Q842" t="s">
        <v>2672</v>
      </c>
      <c r="R842" t="s">
        <v>2665</v>
      </c>
      <c r="S842" t="s">
        <v>2779</v>
      </c>
      <c r="T842" t="s">
        <v>2780</v>
      </c>
      <c r="U842" t="s">
        <v>2665</v>
      </c>
      <c r="V842" t="s">
        <v>2713</v>
      </c>
      <c r="W842" t="s">
        <v>2714</v>
      </c>
      <c r="X842" t="s">
        <v>2665</v>
      </c>
      <c r="Y842" t="s">
        <v>2054</v>
      </c>
      <c r="Z842" t="s">
        <v>1104</v>
      </c>
      <c r="AA842" t="s">
        <v>2665</v>
      </c>
      <c r="AB842" t="s">
        <v>2665</v>
      </c>
      <c r="AC842" t="s">
        <v>2665</v>
      </c>
      <c r="AD842" t="s">
        <v>2054</v>
      </c>
      <c r="AE842" t="s">
        <v>2054</v>
      </c>
    </row>
    <row r="843" spans="1:31" x14ac:dyDescent="0.25">
      <c r="A843" t="s">
        <v>4289</v>
      </c>
      <c r="B843" t="s">
        <v>4290</v>
      </c>
      <c r="C843" t="s">
        <v>4291</v>
      </c>
      <c r="D843" t="s">
        <v>4290</v>
      </c>
      <c r="E843" t="s">
        <v>2666</v>
      </c>
      <c r="F843" t="s">
        <v>2705</v>
      </c>
      <c r="G843" t="s">
        <v>2666</v>
      </c>
      <c r="H843" t="s">
        <v>2054</v>
      </c>
      <c r="I843" t="s">
        <v>2706</v>
      </c>
      <c r="J843" t="s">
        <v>2054</v>
      </c>
      <c r="K843" t="s">
        <v>2665</v>
      </c>
      <c r="L843" t="s">
        <v>1104</v>
      </c>
      <c r="M843" t="s">
        <v>2669</v>
      </c>
      <c r="N843" t="s">
        <v>2665</v>
      </c>
      <c r="O843" t="s">
        <v>2670</v>
      </c>
      <c r="P843" t="s">
        <v>2671</v>
      </c>
      <c r="Q843" t="s">
        <v>2672</v>
      </c>
      <c r="R843" t="s">
        <v>2665</v>
      </c>
      <c r="S843" t="s">
        <v>2779</v>
      </c>
      <c r="T843" t="s">
        <v>2780</v>
      </c>
      <c r="U843" t="s">
        <v>2665</v>
      </c>
      <c r="V843" t="s">
        <v>2713</v>
      </c>
      <c r="W843" t="s">
        <v>2714</v>
      </c>
      <c r="X843" t="s">
        <v>2665</v>
      </c>
      <c r="Y843" t="s">
        <v>2054</v>
      </c>
      <c r="Z843" t="s">
        <v>1104</v>
      </c>
      <c r="AA843" t="s">
        <v>2665</v>
      </c>
      <c r="AB843" t="s">
        <v>2665</v>
      </c>
      <c r="AC843" t="s">
        <v>2665</v>
      </c>
      <c r="AD843" t="s">
        <v>2054</v>
      </c>
      <c r="AE843" t="s">
        <v>2054</v>
      </c>
    </row>
    <row r="844" spans="1:31" x14ac:dyDescent="0.25">
      <c r="A844" t="s">
        <v>4292</v>
      </c>
      <c r="B844" t="s">
        <v>4293</v>
      </c>
      <c r="C844" t="s">
        <v>4294</v>
      </c>
      <c r="D844" t="s">
        <v>4293</v>
      </c>
      <c r="E844" t="s">
        <v>2666</v>
      </c>
      <c r="F844" t="s">
        <v>2705</v>
      </c>
      <c r="G844" t="s">
        <v>2666</v>
      </c>
      <c r="H844" t="s">
        <v>2054</v>
      </c>
      <c r="I844" t="s">
        <v>2706</v>
      </c>
      <c r="J844" t="s">
        <v>2054</v>
      </c>
      <c r="K844" t="s">
        <v>2665</v>
      </c>
      <c r="L844" t="s">
        <v>1104</v>
      </c>
      <c r="M844" t="s">
        <v>2669</v>
      </c>
      <c r="N844" t="s">
        <v>2665</v>
      </c>
      <c r="O844" t="s">
        <v>2670</v>
      </c>
      <c r="P844" t="s">
        <v>2671</v>
      </c>
      <c r="Q844" t="s">
        <v>2672</v>
      </c>
      <c r="R844" t="s">
        <v>2665</v>
      </c>
      <c r="S844" t="s">
        <v>2779</v>
      </c>
      <c r="T844" t="s">
        <v>2780</v>
      </c>
      <c r="U844" t="s">
        <v>2665</v>
      </c>
      <c r="V844" t="s">
        <v>2713</v>
      </c>
      <c r="W844" t="s">
        <v>2714</v>
      </c>
      <c r="X844" t="s">
        <v>2665</v>
      </c>
      <c r="Y844" t="s">
        <v>2054</v>
      </c>
      <c r="Z844" t="s">
        <v>1104</v>
      </c>
      <c r="AA844" t="s">
        <v>2665</v>
      </c>
      <c r="AB844" t="s">
        <v>2665</v>
      </c>
      <c r="AC844" t="s">
        <v>2665</v>
      </c>
      <c r="AD844" t="s">
        <v>2054</v>
      </c>
      <c r="AE844" t="s">
        <v>2054</v>
      </c>
    </row>
    <row r="845" spans="1:31" x14ac:dyDescent="0.25">
      <c r="A845" t="s">
        <v>4295</v>
      </c>
      <c r="B845" t="s">
        <v>4296</v>
      </c>
      <c r="C845" t="s">
        <v>4297</v>
      </c>
      <c r="D845" t="s">
        <v>4296</v>
      </c>
      <c r="E845" t="s">
        <v>2666</v>
      </c>
      <c r="F845" t="s">
        <v>2705</v>
      </c>
      <c r="G845" t="s">
        <v>2666</v>
      </c>
      <c r="H845" t="s">
        <v>2054</v>
      </c>
      <c r="I845" t="s">
        <v>2706</v>
      </c>
      <c r="J845" t="s">
        <v>2054</v>
      </c>
      <c r="K845" t="s">
        <v>2665</v>
      </c>
      <c r="L845" t="s">
        <v>1104</v>
      </c>
      <c r="M845" t="s">
        <v>2669</v>
      </c>
      <c r="N845" t="s">
        <v>2665</v>
      </c>
      <c r="O845" t="s">
        <v>2670</v>
      </c>
      <c r="P845" t="s">
        <v>2671</v>
      </c>
      <c r="Q845" t="s">
        <v>2672</v>
      </c>
      <c r="R845" t="s">
        <v>2665</v>
      </c>
      <c r="S845" t="s">
        <v>2779</v>
      </c>
      <c r="T845" t="s">
        <v>2780</v>
      </c>
      <c r="U845" t="s">
        <v>2665</v>
      </c>
      <c r="V845" t="s">
        <v>2713</v>
      </c>
      <c r="W845" t="s">
        <v>2714</v>
      </c>
      <c r="X845" t="s">
        <v>2665</v>
      </c>
      <c r="Y845" t="s">
        <v>2054</v>
      </c>
      <c r="Z845" t="s">
        <v>1104</v>
      </c>
      <c r="AA845" t="s">
        <v>2665</v>
      </c>
      <c r="AB845" t="s">
        <v>2665</v>
      </c>
      <c r="AC845" t="s">
        <v>2665</v>
      </c>
      <c r="AD845" t="s">
        <v>2054</v>
      </c>
      <c r="AE845" t="s">
        <v>2054</v>
      </c>
    </row>
    <row r="846" spans="1:31" x14ac:dyDescent="0.25">
      <c r="A846" t="s">
        <v>4298</v>
      </c>
      <c r="B846" t="s">
        <v>4299</v>
      </c>
      <c r="C846" t="s">
        <v>4300</v>
      </c>
      <c r="D846" t="s">
        <v>4299</v>
      </c>
      <c r="E846" t="s">
        <v>2666</v>
      </c>
      <c r="F846" t="s">
        <v>2705</v>
      </c>
      <c r="G846" t="s">
        <v>2666</v>
      </c>
      <c r="H846" t="s">
        <v>2054</v>
      </c>
      <c r="I846" t="s">
        <v>2706</v>
      </c>
      <c r="J846" t="s">
        <v>2054</v>
      </c>
      <c r="K846" t="s">
        <v>2665</v>
      </c>
      <c r="L846" t="s">
        <v>1104</v>
      </c>
      <c r="M846" t="s">
        <v>2669</v>
      </c>
      <c r="N846" t="s">
        <v>2665</v>
      </c>
      <c r="O846" t="s">
        <v>2670</v>
      </c>
      <c r="P846" t="s">
        <v>2671</v>
      </c>
      <c r="Q846" t="s">
        <v>2672</v>
      </c>
      <c r="R846" t="s">
        <v>2665</v>
      </c>
      <c r="S846" t="s">
        <v>2779</v>
      </c>
      <c r="T846" t="s">
        <v>2780</v>
      </c>
      <c r="U846" t="s">
        <v>2665</v>
      </c>
      <c r="V846" t="s">
        <v>2713</v>
      </c>
      <c r="W846" t="s">
        <v>2714</v>
      </c>
      <c r="X846" t="s">
        <v>2665</v>
      </c>
      <c r="Y846" t="s">
        <v>2054</v>
      </c>
      <c r="Z846" t="s">
        <v>1104</v>
      </c>
      <c r="AA846" t="s">
        <v>2665</v>
      </c>
      <c r="AB846" t="s">
        <v>2665</v>
      </c>
      <c r="AC846" t="s">
        <v>2665</v>
      </c>
      <c r="AD846" t="s">
        <v>2054</v>
      </c>
      <c r="AE846" t="s">
        <v>2726</v>
      </c>
    </row>
    <row r="847" spans="1:31" x14ac:dyDescent="0.25">
      <c r="A847" t="s">
        <v>4301</v>
      </c>
      <c r="B847" t="s">
        <v>4302</v>
      </c>
      <c r="C847" t="s">
        <v>4303</v>
      </c>
      <c r="D847" t="s">
        <v>4302</v>
      </c>
      <c r="E847" t="s">
        <v>2666</v>
      </c>
      <c r="F847" t="s">
        <v>2705</v>
      </c>
      <c r="G847" t="s">
        <v>2666</v>
      </c>
      <c r="H847" t="s">
        <v>2054</v>
      </c>
      <c r="I847" t="s">
        <v>2706</v>
      </c>
      <c r="J847" t="s">
        <v>2054</v>
      </c>
      <c r="K847" t="s">
        <v>2665</v>
      </c>
      <c r="L847" t="s">
        <v>1104</v>
      </c>
      <c r="M847" t="s">
        <v>2669</v>
      </c>
      <c r="N847" t="s">
        <v>2665</v>
      </c>
      <c r="O847" t="s">
        <v>2670</v>
      </c>
      <c r="P847" t="s">
        <v>2671</v>
      </c>
      <c r="Q847" t="s">
        <v>2672</v>
      </c>
      <c r="R847" t="s">
        <v>2665</v>
      </c>
      <c r="S847" t="s">
        <v>2779</v>
      </c>
      <c r="T847" t="s">
        <v>2780</v>
      </c>
      <c r="U847" t="s">
        <v>2665</v>
      </c>
      <c r="V847" t="s">
        <v>2713</v>
      </c>
      <c r="W847" t="s">
        <v>2714</v>
      </c>
      <c r="X847" t="s">
        <v>2665</v>
      </c>
      <c r="Y847" t="s">
        <v>2054</v>
      </c>
      <c r="Z847" t="s">
        <v>1104</v>
      </c>
      <c r="AA847" t="s">
        <v>2665</v>
      </c>
      <c r="AB847" t="s">
        <v>2665</v>
      </c>
      <c r="AC847" t="s">
        <v>2665</v>
      </c>
      <c r="AD847" t="s">
        <v>2054</v>
      </c>
      <c r="AE847" t="s">
        <v>2054</v>
      </c>
    </row>
    <row r="848" spans="1:31" x14ac:dyDescent="0.25">
      <c r="A848" t="s">
        <v>4304</v>
      </c>
      <c r="B848" t="s">
        <v>4305</v>
      </c>
      <c r="C848" t="s">
        <v>4306</v>
      </c>
      <c r="D848" t="s">
        <v>4305</v>
      </c>
      <c r="E848" t="s">
        <v>2666</v>
      </c>
      <c r="F848" t="s">
        <v>2705</v>
      </c>
      <c r="G848" t="s">
        <v>2666</v>
      </c>
      <c r="H848" t="s">
        <v>2054</v>
      </c>
      <c r="I848" t="s">
        <v>2706</v>
      </c>
      <c r="J848" t="s">
        <v>2054</v>
      </c>
      <c r="K848" t="s">
        <v>2665</v>
      </c>
      <c r="L848" t="s">
        <v>1104</v>
      </c>
      <c r="M848" t="s">
        <v>2669</v>
      </c>
      <c r="N848" t="s">
        <v>2665</v>
      </c>
      <c r="O848" t="s">
        <v>2670</v>
      </c>
      <c r="P848" t="s">
        <v>2671</v>
      </c>
      <c r="Q848" t="s">
        <v>2672</v>
      </c>
      <c r="R848" t="s">
        <v>2665</v>
      </c>
      <c r="S848" t="s">
        <v>2779</v>
      </c>
      <c r="T848" t="s">
        <v>2780</v>
      </c>
      <c r="U848" t="s">
        <v>2665</v>
      </c>
      <c r="V848" t="s">
        <v>2713</v>
      </c>
      <c r="W848" t="s">
        <v>2714</v>
      </c>
      <c r="X848" t="s">
        <v>2665</v>
      </c>
      <c r="Y848" t="s">
        <v>2054</v>
      </c>
      <c r="Z848" t="s">
        <v>1104</v>
      </c>
      <c r="AA848" t="s">
        <v>2665</v>
      </c>
      <c r="AB848" t="s">
        <v>2665</v>
      </c>
      <c r="AC848" t="s">
        <v>2665</v>
      </c>
      <c r="AD848" t="s">
        <v>2054</v>
      </c>
      <c r="AE848" t="s">
        <v>2054</v>
      </c>
    </row>
    <row r="849" spans="1:31" x14ac:dyDescent="0.25">
      <c r="A849" t="s">
        <v>4307</v>
      </c>
      <c r="B849" t="s">
        <v>4308</v>
      </c>
      <c r="C849" t="s">
        <v>4309</v>
      </c>
      <c r="D849" t="s">
        <v>4308</v>
      </c>
      <c r="E849" t="s">
        <v>2666</v>
      </c>
      <c r="F849" t="s">
        <v>2705</v>
      </c>
      <c r="G849" t="s">
        <v>2666</v>
      </c>
      <c r="H849" t="s">
        <v>2054</v>
      </c>
      <c r="I849" t="s">
        <v>2706</v>
      </c>
      <c r="J849" t="s">
        <v>2054</v>
      </c>
      <c r="K849" t="s">
        <v>2665</v>
      </c>
      <c r="L849" t="s">
        <v>1104</v>
      </c>
      <c r="M849" t="s">
        <v>2669</v>
      </c>
      <c r="N849" t="s">
        <v>2665</v>
      </c>
      <c r="O849" t="s">
        <v>2670</v>
      </c>
      <c r="P849" t="s">
        <v>2671</v>
      </c>
      <c r="Q849" t="s">
        <v>2672</v>
      </c>
      <c r="R849" t="s">
        <v>2665</v>
      </c>
      <c r="S849" t="s">
        <v>2779</v>
      </c>
      <c r="T849" t="s">
        <v>2780</v>
      </c>
      <c r="U849" t="s">
        <v>2665</v>
      </c>
      <c r="V849" t="s">
        <v>2713</v>
      </c>
      <c r="W849" t="s">
        <v>2714</v>
      </c>
      <c r="X849" t="s">
        <v>2665</v>
      </c>
      <c r="Y849" t="s">
        <v>2054</v>
      </c>
      <c r="Z849" t="s">
        <v>1104</v>
      </c>
      <c r="AA849" t="s">
        <v>2665</v>
      </c>
      <c r="AB849" t="s">
        <v>2665</v>
      </c>
      <c r="AC849" t="s">
        <v>2665</v>
      </c>
      <c r="AD849" t="s">
        <v>2054</v>
      </c>
      <c r="AE849" t="s">
        <v>2726</v>
      </c>
    </row>
    <row r="850" spans="1:31" x14ac:dyDescent="0.25">
      <c r="A850" t="s">
        <v>4310</v>
      </c>
      <c r="B850" t="s">
        <v>4311</v>
      </c>
      <c r="C850" t="s">
        <v>4312</v>
      </c>
      <c r="D850" t="s">
        <v>4311</v>
      </c>
      <c r="E850" t="s">
        <v>2666</v>
      </c>
      <c r="F850" t="s">
        <v>2705</v>
      </c>
      <c r="G850" t="s">
        <v>2666</v>
      </c>
      <c r="H850" t="s">
        <v>2054</v>
      </c>
      <c r="I850" t="s">
        <v>2706</v>
      </c>
      <c r="J850" t="s">
        <v>2054</v>
      </c>
      <c r="K850" t="s">
        <v>2665</v>
      </c>
      <c r="L850" t="s">
        <v>1104</v>
      </c>
      <c r="M850" t="s">
        <v>2669</v>
      </c>
      <c r="N850" t="s">
        <v>2665</v>
      </c>
      <c r="O850" t="s">
        <v>2670</v>
      </c>
      <c r="P850" t="s">
        <v>2671</v>
      </c>
      <c r="Q850" t="s">
        <v>2672</v>
      </c>
      <c r="R850" t="s">
        <v>2665</v>
      </c>
      <c r="S850" t="s">
        <v>2779</v>
      </c>
      <c r="T850" t="s">
        <v>2780</v>
      </c>
      <c r="U850" t="s">
        <v>2665</v>
      </c>
      <c r="V850" t="s">
        <v>2713</v>
      </c>
      <c r="W850" t="s">
        <v>2714</v>
      </c>
      <c r="X850" t="s">
        <v>2665</v>
      </c>
      <c r="Y850" t="s">
        <v>2054</v>
      </c>
      <c r="Z850" t="s">
        <v>1104</v>
      </c>
      <c r="AA850" t="s">
        <v>2665</v>
      </c>
      <c r="AB850" t="s">
        <v>2665</v>
      </c>
      <c r="AC850" t="s">
        <v>2665</v>
      </c>
      <c r="AD850" t="s">
        <v>2054</v>
      </c>
      <c r="AE850" t="s">
        <v>2726</v>
      </c>
    </row>
    <row r="851" spans="1:31" x14ac:dyDescent="0.25">
      <c r="A851" t="s">
        <v>4313</v>
      </c>
      <c r="B851" t="s">
        <v>4314</v>
      </c>
      <c r="C851" t="s">
        <v>4315</v>
      </c>
      <c r="D851" t="s">
        <v>4314</v>
      </c>
      <c r="E851" t="s">
        <v>2666</v>
      </c>
      <c r="F851" t="s">
        <v>2705</v>
      </c>
      <c r="G851" t="s">
        <v>2666</v>
      </c>
      <c r="H851" t="s">
        <v>2054</v>
      </c>
      <c r="I851" t="s">
        <v>2706</v>
      </c>
      <c r="J851" t="s">
        <v>2054</v>
      </c>
      <c r="K851" t="s">
        <v>2665</v>
      </c>
      <c r="L851" t="s">
        <v>1104</v>
      </c>
      <c r="M851" t="s">
        <v>2669</v>
      </c>
      <c r="N851" t="s">
        <v>2665</v>
      </c>
      <c r="O851" t="s">
        <v>2670</v>
      </c>
      <c r="P851" t="s">
        <v>2671</v>
      </c>
      <c r="Q851" t="s">
        <v>2672</v>
      </c>
      <c r="R851" t="s">
        <v>2665</v>
      </c>
      <c r="S851" t="s">
        <v>2779</v>
      </c>
      <c r="T851" t="s">
        <v>2780</v>
      </c>
      <c r="U851" t="s">
        <v>2665</v>
      </c>
      <c r="V851" t="s">
        <v>2713</v>
      </c>
      <c r="W851" t="s">
        <v>2714</v>
      </c>
      <c r="X851" t="s">
        <v>2665</v>
      </c>
      <c r="Y851" t="s">
        <v>2054</v>
      </c>
      <c r="Z851" t="s">
        <v>1104</v>
      </c>
      <c r="AA851" t="s">
        <v>2665</v>
      </c>
      <c r="AB851" t="s">
        <v>2665</v>
      </c>
      <c r="AC851" t="s">
        <v>2665</v>
      </c>
      <c r="AD851" t="s">
        <v>2054</v>
      </c>
      <c r="AE851" t="s">
        <v>2726</v>
      </c>
    </row>
    <row r="852" spans="1:31" x14ac:dyDescent="0.25">
      <c r="A852" t="s">
        <v>4316</v>
      </c>
      <c r="B852" t="s">
        <v>4317</v>
      </c>
      <c r="C852" t="s">
        <v>4318</v>
      </c>
      <c r="D852" t="s">
        <v>4317</v>
      </c>
      <c r="E852" t="s">
        <v>2666</v>
      </c>
      <c r="F852" t="s">
        <v>2705</v>
      </c>
      <c r="G852" t="s">
        <v>2666</v>
      </c>
      <c r="H852" t="s">
        <v>2054</v>
      </c>
      <c r="I852" t="s">
        <v>2706</v>
      </c>
      <c r="J852" t="s">
        <v>2054</v>
      </c>
      <c r="K852" t="s">
        <v>2665</v>
      </c>
      <c r="L852" t="s">
        <v>1104</v>
      </c>
      <c r="M852" t="s">
        <v>2669</v>
      </c>
      <c r="N852" t="s">
        <v>2665</v>
      </c>
      <c r="O852" t="s">
        <v>2670</v>
      </c>
      <c r="P852" t="s">
        <v>2671</v>
      </c>
      <c r="Q852" t="s">
        <v>2672</v>
      </c>
      <c r="R852" t="s">
        <v>2665</v>
      </c>
      <c r="S852" t="s">
        <v>2779</v>
      </c>
      <c r="T852" t="s">
        <v>2780</v>
      </c>
      <c r="U852" t="s">
        <v>2665</v>
      </c>
      <c r="V852" t="s">
        <v>2713</v>
      </c>
      <c r="W852" t="s">
        <v>2714</v>
      </c>
      <c r="X852" t="s">
        <v>2665</v>
      </c>
      <c r="Y852" t="s">
        <v>2054</v>
      </c>
      <c r="Z852" t="s">
        <v>1104</v>
      </c>
      <c r="AA852" t="s">
        <v>2665</v>
      </c>
      <c r="AB852" t="s">
        <v>2665</v>
      </c>
      <c r="AC852" t="s">
        <v>2665</v>
      </c>
      <c r="AD852" t="s">
        <v>2054</v>
      </c>
      <c r="AE852" t="s">
        <v>2726</v>
      </c>
    </row>
    <row r="853" spans="1:31" x14ac:dyDescent="0.25">
      <c r="A853" t="s">
        <v>4319</v>
      </c>
      <c r="B853" t="s">
        <v>4320</v>
      </c>
      <c r="C853" t="s">
        <v>4321</v>
      </c>
      <c r="D853" t="s">
        <v>4320</v>
      </c>
      <c r="E853" t="s">
        <v>2666</v>
      </c>
      <c r="F853" t="s">
        <v>2705</v>
      </c>
      <c r="G853" t="s">
        <v>2666</v>
      </c>
      <c r="H853" t="s">
        <v>2054</v>
      </c>
      <c r="I853" t="s">
        <v>2706</v>
      </c>
      <c r="J853" t="s">
        <v>2054</v>
      </c>
      <c r="K853" t="s">
        <v>2665</v>
      </c>
      <c r="L853" t="s">
        <v>1104</v>
      </c>
      <c r="M853" t="s">
        <v>2669</v>
      </c>
      <c r="N853" t="s">
        <v>2665</v>
      </c>
      <c r="O853" t="s">
        <v>2670</v>
      </c>
      <c r="P853" t="s">
        <v>2671</v>
      </c>
      <c r="Q853" t="s">
        <v>2672</v>
      </c>
      <c r="R853" t="s">
        <v>2665</v>
      </c>
      <c r="S853" t="s">
        <v>2779</v>
      </c>
      <c r="T853" t="s">
        <v>2780</v>
      </c>
      <c r="U853" t="s">
        <v>2665</v>
      </c>
      <c r="V853" t="s">
        <v>2713</v>
      </c>
      <c r="W853" t="s">
        <v>2714</v>
      </c>
      <c r="X853" t="s">
        <v>2665</v>
      </c>
      <c r="Y853" t="s">
        <v>2054</v>
      </c>
      <c r="Z853" t="s">
        <v>1104</v>
      </c>
      <c r="AA853" t="s">
        <v>2665</v>
      </c>
      <c r="AB853" t="s">
        <v>2665</v>
      </c>
      <c r="AC853" t="s">
        <v>2665</v>
      </c>
      <c r="AD853" t="s">
        <v>2054</v>
      </c>
      <c r="AE853" t="s">
        <v>2726</v>
      </c>
    </row>
    <row r="854" spans="1:31" x14ac:dyDescent="0.25">
      <c r="A854" t="s">
        <v>4322</v>
      </c>
      <c r="B854" t="s">
        <v>4323</v>
      </c>
      <c r="C854" t="s">
        <v>4324</v>
      </c>
      <c r="D854" t="s">
        <v>4323</v>
      </c>
      <c r="E854" t="s">
        <v>2666</v>
      </c>
      <c r="F854" t="s">
        <v>2705</v>
      </c>
      <c r="G854" t="s">
        <v>2666</v>
      </c>
      <c r="H854" t="s">
        <v>2054</v>
      </c>
      <c r="I854" t="s">
        <v>2706</v>
      </c>
      <c r="J854" t="s">
        <v>2054</v>
      </c>
      <c r="K854" t="s">
        <v>2665</v>
      </c>
      <c r="L854" t="s">
        <v>1104</v>
      </c>
      <c r="M854" t="s">
        <v>2669</v>
      </c>
      <c r="N854" t="s">
        <v>2665</v>
      </c>
      <c r="O854" t="s">
        <v>2670</v>
      </c>
      <c r="P854" t="s">
        <v>2671</v>
      </c>
      <c r="Q854" t="s">
        <v>2672</v>
      </c>
      <c r="R854" t="s">
        <v>2665</v>
      </c>
      <c r="S854" t="s">
        <v>2779</v>
      </c>
      <c r="T854" t="s">
        <v>2780</v>
      </c>
      <c r="U854" t="s">
        <v>2665</v>
      </c>
      <c r="V854" t="s">
        <v>2713</v>
      </c>
      <c r="W854" t="s">
        <v>2714</v>
      </c>
      <c r="X854" t="s">
        <v>2665</v>
      </c>
      <c r="Y854" t="s">
        <v>2054</v>
      </c>
      <c r="Z854" t="s">
        <v>1104</v>
      </c>
      <c r="AA854" t="s">
        <v>2665</v>
      </c>
      <c r="AB854" t="s">
        <v>2665</v>
      </c>
      <c r="AC854" t="s">
        <v>2665</v>
      </c>
      <c r="AD854" t="s">
        <v>2054</v>
      </c>
      <c r="AE854" t="s">
        <v>2054</v>
      </c>
    </row>
    <row r="855" spans="1:31" x14ac:dyDescent="0.25">
      <c r="A855" t="s">
        <v>4325</v>
      </c>
      <c r="B855" t="s">
        <v>4326</v>
      </c>
      <c r="C855" t="s">
        <v>4327</v>
      </c>
      <c r="D855" t="s">
        <v>4326</v>
      </c>
      <c r="E855" t="s">
        <v>2666</v>
      </c>
      <c r="F855" t="s">
        <v>2705</v>
      </c>
      <c r="G855" t="s">
        <v>2666</v>
      </c>
      <c r="H855" t="s">
        <v>2054</v>
      </c>
      <c r="I855" t="s">
        <v>2706</v>
      </c>
      <c r="J855" t="s">
        <v>2054</v>
      </c>
      <c r="K855" t="s">
        <v>2665</v>
      </c>
      <c r="L855" t="s">
        <v>1104</v>
      </c>
      <c r="M855" t="s">
        <v>2669</v>
      </c>
      <c r="N855" t="s">
        <v>2665</v>
      </c>
      <c r="O855" t="s">
        <v>2670</v>
      </c>
      <c r="P855" t="s">
        <v>2671</v>
      </c>
      <c r="Q855" t="s">
        <v>2672</v>
      </c>
      <c r="R855" t="s">
        <v>2665</v>
      </c>
      <c r="S855" t="s">
        <v>2779</v>
      </c>
      <c r="T855" t="s">
        <v>2780</v>
      </c>
      <c r="U855" t="s">
        <v>2665</v>
      </c>
      <c r="V855" t="s">
        <v>2713</v>
      </c>
      <c r="W855" t="s">
        <v>2714</v>
      </c>
      <c r="X855" t="s">
        <v>2665</v>
      </c>
      <c r="Y855" t="s">
        <v>2054</v>
      </c>
      <c r="Z855" t="s">
        <v>1104</v>
      </c>
      <c r="AA855" t="s">
        <v>2665</v>
      </c>
      <c r="AB855" t="s">
        <v>2665</v>
      </c>
      <c r="AC855" t="s">
        <v>2665</v>
      </c>
      <c r="AD855" t="s">
        <v>2054</v>
      </c>
      <c r="AE855" t="s">
        <v>2054</v>
      </c>
    </row>
    <row r="856" spans="1:31" x14ac:dyDescent="0.25">
      <c r="A856" t="s">
        <v>4328</v>
      </c>
      <c r="B856" t="s">
        <v>4329</v>
      </c>
      <c r="C856" t="s">
        <v>4330</v>
      </c>
      <c r="D856" t="s">
        <v>4329</v>
      </c>
      <c r="E856" t="s">
        <v>2666</v>
      </c>
      <c r="F856" t="s">
        <v>2705</v>
      </c>
      <c r="G856" t="s">
        <v>2666</v>
      </c>
      <c r="H856" t="s">
        <v>2054</v>
      </c>
      <c r="I856" t="s">
        <v>2706</v>
      </c>
      <c r="J856" t="s">
        <v>2054</v>
      </c>
      <c r="K856" t="s">
        <v>2665</v>
      </c>
      <c r="L856" t="s">
        <v>1104</v>
      </c>
      <c r="M856" t="s">
        <v>2669</v>
      </c>
      <c r="N856" t="s">
        <v>2665</v>
      </c>
      <c r="O856" t="s">
        <v>2670</v>
      </c>
      <c r="P856" t="s">
        <v>2671</v>
      </c>
      <c r="Q856" t="s">
        <v>2672</v>
      </c>
      <c r="R856" t="s">
        <v>2665</v>
      </c>
      <c r="S856" t="s">
        <v>2779</v>
      </c>
      <c r="T856" t="s">
        <v>2780</v>
      </c>
      <c r="U856" t="s">
        <v>2665</v>
      </c>
      <c r="V856" t="s">
        <v>2713</v>
      </c>
      <c r="W856" t="s">
        <v>2714</v>
      </c>
      <c r="X856" t="s">
        <v>2665</v>
      </c>
      <c r="Y856" t="s">
        <v>2054</v>
      </c>
      <c r="Z856" t="s">
        <v>1104</v>
      </c>
      <c r="AA856" t="s">
        <v>2665</v>
      </c>
      <c r="AB856" t="s">
        <v>2665</v>
      </c>
      <c r="AC856" t="s">
        <v>2665</v>
      </c>
      <c r="AD856" t="s">
        <v>2054</v>
      </c>
      <c r="AE856" t="s">
        <v>2054</v>
      </c>
    </row>
    <row r="857" spans="1:31" x14ac:dyDescent="0.25">
      <c r="A857" t="s">
        <v>4331</v>
      </c>
      <c r="B857" t="s">
        <v>4332</v>
      </c>
      <c r="C857" t="s">
        <v>4333</v>
      </c>
      <c r="D857" t="s">
        <v>4332</v>
      </c>
      <c r="E857" t="s">
        <v>2666</v>
      </c>
      <c r="F857" t="s">
        <v>2705</v>
      </c>
      <c r="G857" t="s">
        <v>2666</v>
      </c>
      <c r="H857" t="s">
        <v>2054</v>
      </c>
      <c r="I857" t="s">
        <v>2706</v>
      </c>
      <c r="J857" t="s">
        <v>2054</v>
      </c>
      <c r="K857" t="s">
        <v>2665</v>
      </c>
      <c r="L857" t="s">
        <v>1104</v>
      </c>
      <c r="M857" t="s">
        <v>2669</v>
      </c>
      <c r="N857" t="s">
        <v>2665</v>
      </c>
      <c r="O857" t="s">
        <v>2670</v>
      </c>
      <c r="P857" t="s">
        <v>2671</v>
      </c>
      <c r="Q857" t="s">
        <v>2672</v>
      </c>
      <c r="R857" t="s">
        <v>2665</v>
      </c>
      <c r="S857" t="s">
        <v>2779</v>
      </c>
      <c r="T857" t="s">
        <v>2780</v>
      </c>
      <c r="U857" t="s">
        <v>2665</v>
      </c>
      <c r="V857" t="s">
        <v>2713</v>
      </c>
      <c r="W857" t="s">
        <v>2714</v>
      </c>
      <c r="X857" t="s">
        <v>2665</v>
      </c>
      <c r="Y857" t="s">
        <v>2054</v>
      </c>
      <c r="Z857" t="s">
        <v>1104</v>
      </c>
      <c r="AA857" t="s">
        <v>2665</v>
      </c>
      <c r="AB857" t="s">
        <v>2665</v>
      </c>
      <c r="AC857" t="s">
        <v>2665</v>
      </c>
      <c r="AD857" t="s">
        <v>2054</v>
      </c>
      <c r="AE857" t="s">
        <v>2726</v>
      </c>
    </row>
    <row r="858" spans="1:31" x14ac:dyDescent="0.25">
      <c r="A858" t="s">
        <v>4334</v>
      </c>
      <c r="B858" t="s">
        <v>4335</v>
      </c>
      <c r="C858" t="s">
        <v>4336</v>
      </c>
      <c r="D858" t="s">
        <v>4335</v>
      </c>
      <c r="E858" t="s">
        <v>2666</v>
      </c>
      <c r="F858" t="s">
        <v>2705</v>
      </c>
      <c r="G858" t="s">
        <v>2666</v>
      </c>
      <c r="H858" t="s">
        <v>2054</v>
      </c>
      <c r="I858" t="s">
        <v>2706</v>
      </c>
      <c r="J858" t="s">
        <v>2054</v>
      </c>
      <c r="K858" t="s">
        <v>2665</v>
      </c>
      <c r="L858" t="s">
        <v>1104</v>
      </c>
      <c r="M858" t="s">
        <v>2669</v>
      </c>
      <c r="N858" t="s">
        <v>2665</v>
      </c>
      <c r="O858" t="s">
        <v>2670</v>
      </c>
      <c r="P858" t="s">
        <v>2671</v>
      </c>
      <c r="Q858" t="s">
        <v>2672</v>
      </c>
      <c r="R858" t="s">
        <v>2665</v>
      </c>
      <c r="S858" t="s">
        <v>2779</v>
      </c>
      <c r="T858" t="s">
        <v>2780</v>
      </c>
      <c r="U858" t="s">
        <v>2665</v>
      </c>
      <c r="V858" t="s">
        <v>2713</v>
      </c>
      <c r="W858" t="s">
        <v>2714</v>
      </c>
      <c r="X858" t="s">
        <v>2665</v>
      </c>
      <c r="Y858" t="s">
        <v>2054</v>
      </c>
      <c r="Z858" t="s">
        <v>1104</v>
      </c>
      <c r="AA858" t="s">
        <v>2665</v>
      </c>
      <c r="AB858" t="s">
        <v>2665</v>
      </c>
      <c r="AC858" t="s">
        <v>2665</v>
      </c>
      <c r="AD858" t="s">
        <v>2054</v>
      </c>
      <c r="AE858" t="s">
        <v>2726</v>
      </c>
    </row>
    <row r="859" spans="1:31" x14ac:dyDescent="0.25">
      <c r="A859" t="s">
        <v>4337</v>
      </c>
      <c r="B859" t="s">
        <v>4338</v>
      </c>
      <c r="C859" t="s">
        <v>4339</v>
      </c>
      <c r="D859" t="s">
        <v>4338</v>
      </c>
      <c r="E859" t="s">
        <v>2666</v>
      </c>
      <c r="F859" t="s">
        <v>2705</v>
      </c>
      <c r="G859" t="s">
        <v>2666</v>
      </c>
      <c r="H859" t="s">
        <v>2054</v>
      </c>
      <c r="I859" t="s">
        <v>2706</v>
      </c>
      <c r="J859" t="s">
        <v>2054</v>
      </c>
      <c r="K859" t="s">
        <v>2665</v>
      </c>
      <c r="L859" t="s">
        <v>1104</v>
      </c>
      <c r="M859" t="s">
        <v>2669</v>
      </c>
      <c r="N859" t="s">
        <v>2665</v>
      </c>
      <c r="O859" t="s">
        <v>2670</v>
      </c>
      <c r="P859" t="s">
        <v>2671</v>
      </c>
      <c r="Q859" t="s">
        <v>2672</v>
      </c>
      <c r="R859" t="s">
        <v>2665</v>
      </c>
      <c r="S859" t="s">
        <v>2671</v>
      </c>
      <c r="T859" t="s">
        <v>2673</v>
      </c>
      <c r="U859" t="s">
        <v>2665</v>
      </c>
      <c r="V859" t="s">
        <v>2713</v>
      </c>
      <c r="W859" t="s">
        <v>2714</v>
      </c>
      <c r="X859" t="s">
        <v>2665</v>
      </c>
      <c r="Y859" t="s">
        <v>2054</v>
      </c>
      <c r="Z859" t="s">
        <v>1104</v>
      </c>
      <c r="AA859" t="s">
        <v>2665</v>
      </c>
      <c r="AB859" t="s">
        <v>2665</v>
      </c>
      <c r="AC859" t="s">
        <v>2665</v>
      </c>
      <c r="AD859" t="s">
        <v>2054</v>
      </c>
      <c r="AE859" t="s">
        <v>2054</v>
      </c>
    </row>
    <row r="860" spans="1:31" x14ac:dyDescent="0.25">
      <c r="A860" t="s">
        <v>4340</v>
      </c>
      <c r="B860" t="s">
        <v>4341</v>
      </c>
      <c r="C860" t="s">
        <v>4342</v>
      </c>
      <c r="D860" t="s">
        <v>4341</v>
      </c>
      <c r="E860" t="s">
        <v>2666</v>
      </c>
      <c r="F860" t="s">
        <v>2705</v>
      </c>
      <c r="G860" t="s">
        <v>2666</v>
      </c>
      <c r="H860" t="s">
        <v>2054</v>
      </c>
      <c r="I860" t="s">
        <v>2706</v>
      </c>
      <c r="J860" t="s">
        <v>2054</v>
      </c>
      <c r="K860" t="s">
        <v>2665</v>
      </c>
      <c r="L860" t="s">
        <v>1104</v>
      </c>
      <c r="M860" t="s">
        <v>2669</v>
      </c>
      <c r="N860" t="s">
        <v>2665</v>
      </c>
      <c r="O860" t="s">
        <v>2670</v>
      </c>
      <c r="P860" t="s">
        <v>2671</v>
      </c>
      <c r="Q860" t="s">
        <v>2672</v>
      </c>
      <c r="R860" t="s">
        <v>2665</v>
      </c>
      <c r="S860" t="s">
        <v>2779</v>
      </c>
      <c r="T860" t="s">
        <v>2780</v>
      </c>
      <c r="U860" t="s">
        <v>2665</v>
      </c>
      <c r="V860" t="s">
        <v>2713</v>
      </c>
      <c r="W860" t="s">
        <v>2714</v>
      </c>
      <c r="X860" t="s">
        <v>2665</v>
      </c>
      <c r="Y860" t="s">
        <v>2054</v>
      </c>
      <c r="Z860" t="s">
        <v>1104</v>
      </c>
      <c r="AA860" t="s">
        <v>2665</v>
      </c>
      <c r="AB860" t="s">
        <v>2665</v>
      </c>
      <c r="AC860" t="s">
        <v>2665</v>
      </c>
      <c r="AD860" t="s">
        <v>2054</v>
      </c>
      <c r="AE860" t="s">
        <v>2054</v>
      </c>
    </row>
    <row r="861" spans="1:31" x14ac:dyDescent="0.25">
      <c r="A861" t="s">
        <v>4343</v>
      </c>
      <c r="B861" t="s">
        <v>4344</v>
      </c>
      <c r="C861" t="s">
        <v>4345</v>
      </c>
      <c r="D861" t="s">
        <v>4346</v>
      </c>
      <c r="E861" t="s">
        <v>2666</v>
      </c>
      <c r="F861" t="s">
        <v>2705</v>
      </c>
      <c r="G861" t="s">
        <v>2666</v>
      </c>
      <c r="H861" t="s">
        <v>2054</v>
      </c>
      <c r="I861" t="s">
        <v>2706</v>
      </c>
      <c r="J861" t="s">
        <v>2054</v>
      </c>
      <c r="K861" t="s">
        <v>2665</v>
      </c>
      <c r="L861" t="s">
        <v>1104</v>
      </c>
      <c r="M861" t="s">
        <v>2898</v>
      </c>
      <c r="N861" t="s">
        <v>2665</v>
      </c>
      <c r="O861" t="s">
        <v>2984</v>
      </c>
      <c r="P861" t="s">
        <v>2834</v>
      </c>
      <c r="Q861" t="s">
        <v>3162</v>
      </c>
      <c r="R861" t="s">
        <v>2665</v>
      </c>
      <c r="S861" t="s">
        <v>2781</v>
      </c>
      <c r="T861" t="s">
        <v>2922</v>
      </c>
      <c r="U861" t="s">
        <v>2665</v>
      </c>
      <c r="V861" t="s">
        <v>4347</v>
      </c>
      <c r="W861" t="s">
        <v>4348</v>
      </c>
      <c r="X861" t="s">
        <v>2665</v>
      </c>
      <c r="Y861" t="s">
        <v>2054</v>
      </c>
      <c r="Z861" t="s">
        <v>1104</v>
      </c>
      <c r="AA861" t="s">
        <v>2665</v>
      </c>
      <c r="AB861" t="s">
        <v>2665</v>
      </c>
      <c r="AC861" t="s">
        <v>2665</v>
      </c>
      <c r="AD861" t="s">
        <v>2054</v>
      </c>
      <c r="AE861" t="s">
        <v>2054</v>
      </c>
    </row>
    <row r="862" spans="1:31" x14ac:dyDescent="0.25">
      <c r="A862" t="s">
        <v>4349</v>
      </c>
      <c r="B862" t="s">
        <v>4350</v>
      </c>
      <c r="C862" t="s">
        <v>4351</v>
      </c>
      <c r="D862" t="s">
        <v>4352</v>
      </c>
      <c r="E862" t="s">
        <v>2666</v>
      </c>
      <c r="F862" t="s">
        <v>4353</v>
      </c>
      <c r="G862" t="s">
        <v>2666</v>
      </c>
      <c r="H862" t="s">
        <v>2054</v>
      </c>
      <c r="I862" t="s">
        <v>2706</v>
      </c>
      <c r="J862" t="s">
        <v>2054</v>
      </c>
      <c r="K862" t="s">
        <v>2665</v>
      </c>
      <c r="L862" t="s">
        <v>1104</v>
      </c>
      <c r="M862" t="s">
        <v>3318</v>
      </c>
      <c r="N862" t="s">
        <v>2665</v>
      </c>
      <c r="O862" t="s">
        <v>4114</v>
      </c>
      <c r="P862" t="s">
        <v>3017</v>
      </c>
      <c r="Q862" t="s">
        <v>2984</v>
      </c>
      <c r="R862" t="s">
        <v>2665</v>
      </c>
      <c r="S862" t="s">
        <v>2779</v>
      </c>
      <c r="T862" t="s">
        <v>2780</v>
      </c>
      <c r="U862" t="s">
        <v>2665</v>
      </c>
      <c r="V862" t="s">
        <v>4347</v>
      </c>
      <c r="W862" t="s">
        <v>4348</v>
      </c>
      <c r="X862" t="s">
        <v>2665</v>
      </c>
      <c r="Y862" t="s">
        <v>2054</v>
      </c>
      <c r="Z862" t="s">
        <v>1104</v>
      </c>
      <c r="AA862" t="s">
        <v>2665</v>
      </c>
      <c r="AB862" t="s">
        <v>2665</v>
      </c>
      <c r="AC862" t="s">
        <v>2665</v>
      </c>
      <c r="AD862" t="s">
        <v>2054</v>
      </c>
      <c r="AE862" t="s">
        <v>2054</v>
      </c>
    </row>
    <row r="863" spans="1:31" x14ac:dyDescent="0.25">
      <c r="A863" t="s">
        <v>4354</v>
      </c>
      <c r="B863" t="s">
        <v>4355</v>
      </c>
      <c r="C863" t="s">
        <v>4356</v>
      </c>
      <c r="D863" t="s">
        <v>4355</v>
      </c>
      <c r="E863" t="s">
        <v>2666</v>
      </c>
      <c r="F863" t="s">
        <v>2705</v>
      </c>
      <c r="G863" t="s">
        <v>2666</v>
      </c>
      <c r="H863" t="s">
        <v>2054</v>
      </c>
      <c r="I863" t="s">
        <v>2706</v>
      </c>
      <c r="J863" t="s">
        <v>2054</v>
      </c>
      <c r="K863" t="s">
        <v>2665</v>
      </c>
      <c r="L863" t="s">
        <v>1104</v>
      </c>
      <c r="M863" t="s">
        <v>2875</v>
      </c>
      <c r="N863" t="s">
        <v>2665</v>
      </c>
      <c r="O863" t="s">
        <v>2876</v>
      </c>
      <c r="P863" t="s">
        <v>3152</v>
      </c>
      <c r="Q863" t="s">
        <v>4357</v>
      </c>
      <c r="R863" t="s">
        <v>2665</v>
      </c>
      <c r="S863" t="s">
        <v>2779</v>
      </c>
      <c r="T863" t="s">
        <v>2780</v>
      </c>
      <c r="U863" t="s">
        <v>2665</v>
      </c>
      <c r="V863" t="s">
        <v>3017</v>
      </c>
      <c r="W863" t="s">
        <v>3018</v>
      </c>
      <c r="X863" t="s">
        <v>2665</v>
      </c>
      <c r="Y863" t="s">
        <v>2054</v>
      </c>
      <c r="Z863" t="s">
        <v>1104</v>
      </c>
      <c r="AA863" t="s">
        <v>2665</v>
      </c>
      <c r="AB863" t="s">
        <v>2665</v>
      </c>
      <c r="AC863" t="s">
        <v>2665</v>
      </c>
      <c r="AD863" t="s">
        <v>2054</v>
      </c>
      <c r="AE863" t="s">
        <v>2054</v>
      </c>
    </row>
    <row r="864" spans="1:31" x14ac:dyDescent="0.25">
      <c r="A864" t="s">
        <v>4358</v>
      </c>
      <c r="B864" t="s">
        <v>4359</v>
      </c>
      <c r="C864" t="s">
        <v>4360</v>
      </c>
      <c r="D864" t="s">
        <v>4359</v>
      </c>
      <c r="E864" t="s">
        <v>2666</v>
      </c>
      <c r="F864" t="s">
        <v>2705</v>
      </c>
      <c r="G864" t="s">
        <v>2666</v>
      </c>
      <c r="H864" t="s">
        <v>2054</v>
      </c>
      <c r="I864" t="s">
        <v>2706</v>
      </c>
      <c r="J864" t="s">
        <v>2054</v>
      </c>
      <c r="K864" t="s">
        <v>2665</v>
      </c>
      <c r="L864" t="s">
        <v>1104</v>
      </c>
      <c r="M864" t="s">
        <v>2875</v>
      </c>
      <c r="N864" t="s">
        <v>2665</v>
      </c>
      <c r="O864" t="s">
        <v>2876</v>
      </c>
      <c r="P864" t="s">
        <v>2898</v>
      </c>
      <c r="Q864" t="s">
        <v>3617</v>
      </c>
      <c r="R864" t="s">
        <v>2665</v>
      </c>
      <c r="S864" t="s">
        <v>2779</v>
      </c>
      <c r="T864" t="s">
        <v>2780</v>
      </c>
      <c r="U864" t="s">
        <v>2665</v>
      </c>
      <c r="V864" t="s">
        <v>3017</v>
      </c>
      <c r="W864" t="s">
        <v>3018</v>
      </c>
      <c r="X864" t="s">
        <v>2665</v>
      </c>
      <c r="Y864" t="s">
        <v>2054</v>
      </c>
      <c r="Z864" t="s">
        <v>1104</v>
      </c>
      <c r="AA864" t="s">
        <v>2665</v>
      </c>
      <c r="AB864" t="s">
        <v>2665</v>
      </c>
      <c r="AC864" t="s">
        <v>2665</v>
      </c>
      <c r="AD864" t="s">
        <v>2054</v>
      </c>
      <c r="AE864" t="s">
        <v>2054</v>
      </c>
    </row>
    <row r="865" spans="1:31" x14ac:dyDescent="0.25">
      <c r="A865" t="s">
        <v>4361</v>
      </c>
      <c r="B865" t="s">
        <v>4362</v>
      </c>
      <c r="C865" t="s">
        <v>4363</v>
      </c>
      <c r="D865" t="s">
        <v>4362</v>
      </c>
      <c r="E865" t="s">
        <v>2666</v>
      </c>
      <c r="F865" t="s">
        <v>2705</v>
      </c>
      <c r="G865" t="s">
        <v>2666</v>
      </c>
      <c r="H865" t="s">
        <v>2054</v>
      </c>
      <c r="I865" t="s">
        <v>2706</v>
      </c>
      <c r="J865" t="s">
        <v>2054</v>
      </c>
      <c r="K865" t="s">
        <v>2665</v>
      </c>
      <c r="L865" t="s">
        <v>1104</v>
      </c>
      <c r="M865" t="s">
        <v>2875</v>
      </c>
      <c r="N865" t="s">
        <v>2665</v>
      </c>
      <c r="O865" t="s">
        <v>2876</v>
      </c>
      <c r="P865" t="s">
        <v>3119</v>
      </c>
      <c r="Q865" t="s">
        <v>4364</v>
      </c>
      <c r="R865" t="s">
        <v>2665</v>
      </c>
      <c r="S865" t="s">
        <v>2779</v>
      </c>
      <c r="T865" t="s">
        <v>2780</v>
      </c>
      <c r="U865" t="s">
        <v>2665</v>
      </c>
      <c r="V865" t="s">
        <v>3152</v>
      </c>
      <c r="W865" t="s">
        <v>3153</v>
      </c>
      <c r="X865" t="s">
        <v>2665</v>
      </c>
      <c r="Y865" t="s">
        <v>2054</v>
      </c>
      <c r="Z865" t="s">
        <v>1104</v>
      </c>
      <c r="AA865" t="s">
        <v>2665</v>
      </c>
      <c r="AB865" t="s">
        <v>2665</v>
      </c>
      <c r="AC865" t="s">
        <v>2665</v>
      </c>
      <c r="AD865" t="s">
        <v>2054</v>
      </c>
      <c r="AE865" t="s">
        <v>2054</v>
      </c>
    </row>
    <row r="866" spans="1:31" x14ac:dyDescent="0.25">
      <c r="A866" t="s">
        <v>4365</v>
      </c>
      <c r="B866" t="s">
        <v>4366</v>
      </c>
      <c r="C866" t="s">
        <v>4367</v>
      </c>
      <c r="D866" t="s">
        <v>4366</v>
      </c>
      <c r="E866" t="s">
        <v>2666</v>
      </c>
      <c r="F866" t="s">
        <v>2705</v>
      </c>
      <c r="G866" t="s">
        <v>2666</v>
      </c>
      <c r="H866" t="s">
        <v>2054</v>
      </c>
      <c r="I866" t="s">
        <v>2706</v>
      </c>
      <c r="J866" t="s">
        <v>2054</v>
      </c>
      <c r="K866" t="s">
        <v>2665</v>
      </c>
      <c r="L866" t="s">
        <v>1104</v>
      </c>
      <c r="M866" t="s">
        <v>2875</v>
      </c>
      <c r="N866" t="s">
        <v>2665</v>
      </c>
      <c r="O866" t="s">
        <v>2876</v>
      </c>
      <c r="P866" t="s">
        <v>3119</v>
      </c>
      <c r="Q866" t="s">
        <v>4364</v>
      </c>
      <c r="R866" t="s">
        <v>2665</v>
      </c>
      <c r="S866" t="s">
        <v>2779</v>
      </c>
      <c r="T866" t="s">
        <v>2780</v>
      </c>
      <c r="U866" t="s">
        <v>2665</v>
      </c>
      <c r="V866" t="s">
        <v>3152</v>
      </c>
      <c r="W866" t="s">
        <v>3153</v>
      </c>
      <c r="X866" t="s">
        <v>2665</v>
      </c>
      <c r="Y866" t="s">
        <v>2054</v>
      </c>
      <c r="Z866" t="s">
        <v>1104</v>
      </c>
      <c r="AA866" t="s">
        <v>2665</v>
      </c>
      <c r="AB866" t="s">
        <v>2665</v>
      </c>
      <c r="AC866" t="s">
        <v>2665</v>
      </c>
      <c r="AD866" t="s">
        <v>2054</v>
      </c>
      <c r="AE866" t="s">
        <v>2054</v>
      </c>
    </row>
    <row r="867" spans="1:31" x14ac:dyDescent="0.25">
      <c r="A867" t="s">
        <v>4368</v>
      </c>
      <c r="B867" t="s">
        <v>4369</v>
      </c>
      <c r="C867" t="s">
        <v>4370</v>
      </c>
      <c r="D867" t="s">
        <v>4369</v>
      </c>
      <c r="E867" t="s">
        <v>2666</v>
      </c>
      <c r="F867" t="s">
        <v>2705</v>
      </c>
      <c r="G867" t="s">
        <v>2666</v>
      </c>
      <c r="H867" t="s">
        <v>2054</v>
      </c>
      <c r="I867" t="s">
        <v>2706</v>
      </c>
      <c r="J867" t="s">
        <v>2054</v>
      </c>
      <c r="K867" t="s">
        <v>2665</v>
      </c>
      <c r="L867" t="s">
        <v>1104</v>
      </c>
      <c r="M867" t="s">
        <v>2875</v>
      </c>
      <c r="N867" t="s">
        <v>2665</v>
      </c>
      <c r="O867" t="s">
        <v>2876</v>
      </c>
      <c r="P867" t="s">
        <v>3119</v>
      </c>
      <c r="Q867" t="s">
        <v>4364</v>
      </c>
      <c r="R867" t="s">
        <v>2665</v>
      </c>
      <c r="S867" t="s">
        <v>2779</v>
      </c>
      <c r="T867" t="s">
        <v>2780</v>
      </c>
      <c r="U867" t="s">
        <v>2665</v>
      </c>
      <c r="V867" t="s">
        <v>3152</v>
      </c>
      <c r="W867" t="s">
        <v>3153</v>
      </c>
      <c r="X867" t="s">
        <v>2665</v>
      </c>
      <c r="Y867" t="s">
        <v>2054</v>
      </c>
      <c r="Z867" t="s">
        <v>1104</v>
      </c>
      <c r="AA867" t="s">
        <v>2665</v>
      </c>
      <c r="AB867" t="s">
        <v>2665</v>
      </c>
      <c r="AC867" t="s">
        <v>2665</v>
      </c>
      <c r="AD867" t="s">
        <v>2054</v>
      </c>
      <c r="AE867" t="s">
        <v>2054</v>
      </c>
    </row>
    <row r="868" spans="1:31" x14ac:dyDescent="0.25">
      <c r="A868" t="s">
        <v>4371</v>
      </c>
      <c r="B868" t="s">
        <v>4372</v>
      </c>
      <c r="C868" t="s">
        <v>4373</v>
      </c>
      <c r="D868" t="s">
        <v>4372</v>
      </c>
      <c r="E868" t="s">
        <v>2666</v>
      </c>
      <c r="F868" t="s">
        <v>2705</v>
      </c>
      <c r="G868" t="s">
        <v>2666</v>
      </c>
      <c r="H868" t="s">
        <v>2054</v>
      </c>
      <c r="I868" t="s">
        <v>2706</v>
      </c>
      <c r="J868" t="s">
        <v>2054</v>
      </c>
      <c r="K868" t="s">
        <v>2665</v>
      </c>
      <c r="L868" t="s">
        <v>1104</v>
      </c>
      <c r="M868" t="s">
        <v>2875</v>
      </c>
      <c r="N868" t="s">
        <v>2665</v>
      </c>
      <c r="O868" t="s">
        <v>2876</v>
      </c>
      <c r="P868" t="s">
        <v>3119</v>
      </c>
      <c r="Q868" t="s">
        <v>4364</v>
      </c>
      <c r="R868" t="s">
        <v>2665</v>
      </c>
      <c r="S868" t="s">
        <v>2779</v>
      </c>
      <c r="T868" t="s">
        <v>2780</v>
      </c>
      <c r="U868" t="s">
        <v>2665</v>
      </c>
      <c r="V868" t="s">
        <v>3152</v>
      </c>
      <c r="W868" t="s">
        <v>3153</v>
      </c>
      <c r="X868" t="s">
        <v>2665</v>
      </c>
      <c r="Y868" t="s">
        <v>2054</v>
      </c>
      <c r="Z868" t="s">
        <v>1104</v>
      </c>
      <c r="AA868" t="s">
        <v>2665</v>
      </c>
      <c r="AB868" t="s">
        <v>2665</v>
      </c>
      <c r="AC868" t="s">
        <v>2665</v>
      </c>
      <c r="AD868" t="s">
        <v>2054</v>
      </c>
      <c r="AE868" t="s">
        <v>2054</v>
      </c>
    </row>
    <row r="869" spans="1:31" x14ac:dyDescent="0.25">
      <c r="A869" t="s">
        <v>1961</v>
      </c>
      <c r="B869" t="s">
        <v>1960</v>
      </c>
      <c r="C869" t="s">
        <v>4374</v>
      </c>
      <c r="D869" t="s">
        <v>1960</v>
      </c>
      <c r="E869" t="s">
        <v>2666</v>
      </c>
      <c r="F869" t="s">
        <v>2705</v>
      </c>
      <c r="G869" t="s">
        <v>2666</v>
      </c>
      <c r="H869" t="s">
        <v>2054</v>
      </c>
      <c r="I869" t="s">
        <v>2706</v>
      </c>
      <c r="J869" t="s">
        <v>2054</v>
      </c>
      <c r="K869" t="s">
        <v>2665</v>
      </c>
      <c r="L869" t="s">
        <v>1104</v>
      </c>
      <c r="M869" t="s">
        <v>2875</v>
      </c>
      <c r="N869" t="s">
        <v>2665</v>
      </c>
      <c r="O869" t="s">
        <v>2876</v>
      </c>
      <c r="P869" t="s">
        <v>3119</v>
      </c>
      <c r="Q869" t="s">
        <v>4364</v>
      </c>
      <c r="R869" t="s">
        <v>2665</v>
      </c>
      <c r="S869" t="s">
        <v>2779</v>
      </c>
      <c r="T869" t="s">
        <v>2780</v>
      </c>
      <c r="U869" t="s">
        <v>2665</v>
      </c>
      <c r="V869" t="s">
        <v>3152</v>
      </c>
      <c r="W869" t="s">
        <v>3153</v>
      </c>
      <c r="X869" t="s">
        <v>2665</v>
      </c>
      <c r="Y869" t="s">
        <v>2054</v>
      </c>
      <c r="Z869" t="s">
        <v>1104</v>
      </c>
      <c r="AA869" t="s">
        <v>2665</v>
      </c>
      <c r="AB869" t="s">
        <v>2665</v>
      </c>
      <c r="AC869" t="s">
        <v>2665</v>
      </c>
      <c r="AD869" t="s">
        <v>2054</v>
      </c>
      <c r="AE869" t="s">
        <v>2054</v>
      </c>
    </row>
    <row r="870" spans="1:31" x14ac:dyDescent="0.25">
      <c r="A870" t="s">
        <v>1963</v>
      </c>
      <c r="B870" t="s">
        <v>1962</v>
      </c>
      <c r="C870" t="s">
        <v>4375</v>
      </c>
      <c r="D870" t="s">
        <v>1962</v>
      </c>
      <c r="E870" t="s">
        <v>2666</v>
      </c>
      <c r="F870" t="s">
        <v>2705</v>
      </c>
      <c r="G870" t="s">
        <v>2666</v>
      </c>
      <c r="H870" t="s">
        <v>2054</v>
      </c>
      <c r="I870" t="s">
        <v>2706</v>
      </c>
      <c r="J870" t="s">
        <v>2054</v>
      </c>
      <c r="K870" t="s">
        <v>2665</v>
      </c>
      <c r="L870" t="s">
        <v>1104</v>
      </c>
      <c r="M870" t="s">
        <v>2875</v>
      </c>
      <c r="N870" t="s">
        <v>2665</v>
      </c>
      <c r="O870" t="s">
        <v>2876</v>
      </c>
      <c r="P870" t="s">
        <v>3119</v>
      </c>
      <c r="Q870" t="s">
        <v>4364</v>
      </c>
      <c r="R870" t="s">
        <v>2665</v>
      </c>
      <c r="S870" t="s">
        <v>2779</v>
      </c>
      <c r="T870" t="s">
        <v>2780</v>
      </c>
      <c r="U870" t="s">
        <v>2665</v>
      </c>
      <c r="V870" t="s">
        <v>3152</v>
      </c>
      <c r="W870" t="s">
        <v>3153</v>
      </c>
      <c r="X870" t="s">
        <v>2665</v>
      </c>
      <c r="Y870" t="s">
        <v>2054</v>
      </c>
      <c r="Z870" t="s">
        <v>1104</v>
      </c>
      <c r="AA870" t="s">
        <v>2665</v>
      </c>
      <c r="AB870" t="s">
        <v>2665</v>
      </c>
      <c r="AC870" t="s">
        <v>2665</v>
      </c>
      <c r="AD870" t="s">
        <v>2054</v>
      </c>
      <c r="AE870" t="s">
        <v>2054</v>
      </c>
    </row>
    <row r="871" spans="1:31" x14ac:dyDescent="0.25">
      <c r="A871" t="s">
        <v>1965</v>
      </c>
      <c r="B871" t="s">
        <v>1964</v>
      </c>
      <c r="C871" t="s">
        <v>4376</v>
      </c>
      <c r="D871" t="s">
        <v>1964</v>
      </c>
      <c r="E871" t="s">
        <v>2666</v>
      </c>
      <c r="F871" t="s">
        <v>2705</v>
      </c>
      <c r="G871" t="s">
        <v>2666</v>
      </c>
      <c r="H871" t="s">
        <v>2054</v>
      </c>
      <c r="I871" t="s">
        <v>2706</v>
      </c>
      <c r="J871" t="s">
        <v>2054</v>
      </c>
      <c r="K871" t="s">
        <v>2665</v>
      </c>
      <c r="L871" t="s">
        <v>1104</v>
      </c>
      <c r="M871" t="s">
        <v>2875</v>
      </c>
      <c r="N871" t="s">
        <v>2665</v>
      </c>
      <c r="O871" t="s">
        <v>2876</v>
      </c>
      <c r="P871" t="s">
        <v>3119</v>
      </c>
      <c r="Q871" t="s">
        <v>4364</v>
      </c>
      <c r="R871" t="s">
        <v>2665</v>
      </c>
      <c r="S871" t="s">
        <v>2779</v>
      </c>
      <c r="T871" t="s">
        <v>2780</v>
      </c>
      <c r="U871" t="s">
        <v>2665</v>
      </c>
      <c r="V871" t="s">
        <v>3152</v>
      </c>
      <c r="W871" t="s">
        <v>3153</v>
      </c>
      <c r="X871" t="s">
        <v>2665</v>
      </c>
      <c r="Y871" t="s">
        <v>2054</v>
      </c>
      <c r="Z871" t="s">
        <v>1104</v>
      </c>
      <c r="AA871" t="s">
        <v>2665</v>
      </c>
      <c r="AB871" t="s">
        <v>2665</v>
      </c>
      <c r="AC871" t="s">
        <v>2665</v>
      </c>
      <c r="AD871" t="s">
        <v>2054</v>
      </c>
      <c r="AE871" t="s">
        <v>2054</v>
      </c>
    </row>
    <row r="872" spans="1:31" x14ac:dyDescent="0.25">
      <c r="A872" t="s">
        <v>4377</v>
      </c>
      <c r="B872" t="s">
        <v>4378</v>
      </c>
      <c r="C872" t="s">
        <v>4379</v>
      </c>
      <c r="D872" t="s">
        <v>4378</v>
      </c>
      <c r="E872" t="s">
        <v>2666</v>
      </c>
      <c r="F872" t="s">
        <v>2705</v>
      </c>
      <c r="G872" t="s">
        <v>2666</v>
      </c>
      <c r="H872" t="s">
        <v>2054</v>
      </c>
      <c r="I872" t="s">
        <v>2706</v>
      </c>
      <c r="J872" t="s">
        <v>2054</v>
      </c>
      <c r="K872" t="s">
        <v>2665</v>
      </c>
      <c r="L872" t="s">
        <v>1104</v>
      </c>
      <c r="M872" t="s">
        <v>2669</v>
      </c>
      <c r="N872" t="s">
        <v>2665</v>
      </c>
      <c r="O872" t="s">
        <v>2670</v>
      </c>
      <c r="P872" t="s">
        <v>2671</v>
      </c>
      <c r="Q872" t="s">
        <v>2672</v>
      </c>
      <c r="R872" t="s">
        <v>2665</v>
      </c>
      <c r="S872" t="s">
        <v>2779</v>
      </c>
      <c r="T872" t="s">
        <v>2780</v>
      </c>
      <c r="U872" t="s">
        <v>2665</v>
      </c>
      <c r="V872" t="s">
        <v>2713</v>
      </c>
      <c r="W872" t="s">
        <v>2714</v>
      </c>
      <c r="X872" t="s">
        <v>2665</v>
      </c>
      <c r="Y872" t="s">
        <v>2054</v>
      </c>
      <c r="Z872" t="s">
        <v>1104</v>
      </c>
      <c r="AA872" t="s">
        <v>2665</v>
      </c>
      <c r="AB872" t="s">
        <v>2665</v>
      </c>
      <c r="AC872" t="s">
        <v>2665</v>
      </c>
      <c r="AD872" t="s">
        <v>2054</v>
      </c>
      <c r="AE872" t="s">
        <v>2054</v>
      </c>
    </row>
    <row r="873" spans="1:31" x14ac:dyDescent="0.25">
      <c r="A873" t="s">
        <v>1967</v>
      </c>
      <c r="B873" t="s">
        <v>1966</v>
      </c>
      <c r="C873" t="s">
        <v>4380</v>
      </c>
      <c r="D873" t="s">
        <v>1966</v>
      </c>
      <c r="E873" t="s">
        <v>2666</v>
      </c>
      <c r="F873" t="s">
        <v>2705</v>
      </c>
      <c r="G873" t="s">
        <v>2666</v>
      </c>
      <c r="H873" t="s">
        <v>2054</v>
      </c>
      <c r="I873" t="s">
        <v>2706</v>
      </c>
      <c r="J873" t="s">
        <v>2054</v>
      </c>
      <c r="K873" t="s">
        <v>2665</v>
      </c>
      <c r="L873" t="s">
        <v>1104</v>
      </c>
      <c r="M873" t="s">
        <v>2669</v>
      </c>
      <c r="N873" t="s">
        <v>2665</v>
      </c>
      <c r="O873" t="s">
        <v>2670</v>
      </c>
      <c r="P873" t="s">
        <v>2671</v>
      </c>
      <c r="Q873" t="s">
        <v>2672</v>
      </c>
      <c r="R873" t="s">
        <v>2665</v>
      </c>
      <c r="S873" t="s">
        <v>2779</v>
      </c>
      <c r="T873" t="s">
        <v>2780</v>
      </c>
      <c r="U873" t="s">
        <v>2665</v>
      </c>
      <c r="V873" t="s">
        <v>2713</v>
      </c>
      <c r="W873" t="s">
        <v>2714</v>
      </c>
      <c r="X873" t="s">
        <v>2665</v>
      </c>
      <c r="Y873" t="s">
        <v>2054</v>
      </c>
      <c r="Z873" t="s">
        <v>1104</v>
      </c>
      <c r="AA873" t="s">
        <v>2665</v>
      </c>
      <c r="AB873" t="s">
        <v>2665</v>
      </c>
      <c r="AC873" t="s">
        <v>2665</v>
      </c>
      <c r="AD873" t="s">
        <v>2054</v>
      </c>
      <c r="AE873" t="s">
        <v>2054</v>
      </c>
    </row>
    <row r="874" spans="1:31" x14ac:dyDescent="0.25">
      <c r="A874" t="s">
        <v>4381</v>
      </c>
      <c r="B874" t="s">
        <v>4382</v>
      </c>
      <c r="C874" t="s">
        <v>4383</v>
      </c>
      <c r="D874" t="s">
        <v>4382</v>
      </c>
      <c r="E874" t="s">
        <v>2666</v>
      </c>
      <c r="F874" t="s">
        <v>2705</v>
      </c>
      <c r="G874" t="s">
        <v>2666</v>
      </c>
      <c r="H874" t="s">
        <v>2054</v>
      </c>
      <c r="I874" t="s">
        <v>2706</v>
      </c>
      <c r="J874" t="s">
        <v>2054</v>
      </c>
      <c r="K874" t="s">
        <v>2665</v>
      </c>
      <c r="L874" t="s">
        <v>1104</v>
      </c>
      <c r="M874" t="s">
        <v>2669</v>
      </c>
      <c r="N874" t="s">
        <v>2665</v>
      </c>
      <c r="O874" t="s">
        <v>2670</v>
      </c>
      <c r="P874" t="s">
        <v>2671</v>
      </c>
      <c r="Q874" t="s">
        <v>2672</v>
      </c>
      <c r="R874" t="s">
        <v>2665</v>
      </c>
      <c r="S874" t="s">
        <v>2779</v>
      </c>
      <c r="T874" t="s">
        <v>2780</v>
      </c>
      <c r="U874" t="s">
        <v>2665</v>
      </c>
      <c r="V874" t="s">
        <v>2713</v>
      </c>
      <c r="W874" t="s">
        <v>2714</v>
      </c>
      <c r="X874" t="s">
        <v>2665</v>
      </c>
      <c r="Y874" t="s">
        <v>2054</v>
      </c>
      <c r="Z874" t="s">
        <v>1104</v>
      </c>
      <c r="AA874" t="s">
        <v>2665</v>
      </c>
      <c r="AB874" t="s">
        <v>2665</v>
      </c>
      <c r="AC874" t="s">
        <v>2665</v>
      </c>
      <c r="AD874" t="s">
        <v>2054</v>
      </c>
      <c r="AE874" t="s">
        <v>2054</v>
      </c>
    </row>
    <row r="875" spans="1:31" x14ac:dyDescent="0.25">
      <c r="A875" t="s">
        <v>4384</v>
      </c>
      <c r="B875" t="s">
        <v>4385</v>
      </c>
      <c r="C875" t="s">
        <v>4386</v>
      </c>
      <c r="D875" t="s">
        <v>4385</v>
      </c>
      <c r="E875" t="s">
        <v>2666</v>
      </c>
      <c r="F875" t="s">
        <v>2705</v>
      </c>
      <c r="G875" t="s">
        <v>2666</v>
      </c>
      <c r="H875" t="s">
        <v>2054</v>
      </c>
      <c r="I875" t="s">
        <v>2706</v>
      </c>
      <c r="J875" t="s">
        <v>2054</v>
      </c>
      <c r="K875" t="s">
        <v>2665</v>
      </c>
      <c r="L875" t="s">
        <v>1104</v>
      </c>
      <c r="M875" t="s">
        <v>2669</v>
      </c>
      <c r="N875" t="s">
        <v>2665</v>
      </c>
      <c r="O875" t="s">
        <v>2670</v>
      </c>
      <c r="P875" t="s">
        <v>2671</v>
      </c>
      <c r="Q875" t="s">
        <v>2672</v>
      </c>
      <c r="R875" t="s">
        <v>2665</v>
      </c>
      <c r="S875" t="s">
        <v>2779</v>
      </c>
      <c r="T875" t="s">
        <v>2780</v>
      </c>
      <c r="U875" t="s">
        <v>2665</v>
      </c>
      <c r="V875" t="s">
        <v>2713</v>
      </c>
      <c r="W875" t="s">
        <v>2714</v>
      </c>
      <c r="X875" t="s">
        <v>2665</v>
      </c>
      <c r="Y875" t="s">
        <v>2054</v>
      </c>
      <c r="Z875" t="s">
        <v>1104</v>
      </c>
      <c r="AA875" t="s">
        <v>2665</v>
      </c>
      <c r="AB875" t="s">
        <v>2665</v>
      </c>
      <c r="AC875" t="s">
        <v>2665</v>
      </c>
      <c r="AD875" t="s">
        <v>2054</v>
      </c>
      <c r="AE875" t="s">
        <v>2726</v>
      </c>
    </row>
    <row r="876" spans="1:31" x14ac:dyDescent="0.25">
      <c r="A876" t="s">
        <v>4387</v>
      </c>
      <c r="B876" t="s">
        <v>4388</v>
      </c>
      <c r="C876" t="s">
        <v>4389</v>
      </c>
      <c r="D876" t="s">
        <v>4388</v>
      </c>
      <c r="E876" t="s">
        <v>2666</v>
      </c>
      <c r="F876" t="s">
        <v>2705</v>
      </c>
      <c r="G876" t="s">
        <v>2666</v>
      </c>
      <c r="H876" t="s">
        <v>2054</v>
      </c>
      <c r="I876" t="s">
        <v>2706</v>
      </c>
      <c r="J876" t="s">
        <v>2054</v>
      </c>
      <c r="K876" t="s">
        <v>2665</v>
      </c>
      <c r="L876" t="s">
        <v>1104</v>
      </c>
      <c r="M876" t="s">
        <v>2669</v>
      </c>
      <c r="N876" t="s">
        <v>2665</v>
      </c>
      <c r="O876" t="s">
        <v>2670</v>
      </c>
      <c r="P876" t="s">
        <v>2671</v>
      </c>
      <c r="Q876" t="s">
        <v>2672</v>
      </c>
      <c r="R876" t="s">
        <v>2665</v>
      </c>
      <c r="S876" t="s">
        <v>2779</v>
      </c>
      <c r="T876" t="s">
        <v>2780</v>
      </c>
      <c r="U876" t="s">
        <v>2665</v>
      </c>
      <c r="V876" t="s">
        <v>2713</v>
      </c>
      <c r="W876" t="s">
        <v>2714</v>
      </c>
      <c r="X876" t="s">
        <v>2665</v>
      </c>
      <c r="Y876" t="s">
        <v>2054</v>
      </c>
      <c r="Z876" t="s">
        <v>1104</v>
      </c>
      <c r="AA876" t="s">
        <v>2665</v>
      </c>
      <c r="AB876" t="s">
        <v>2665</v>
      </c>
      <c r="AC876" t="s">
        <v>2665</v>
      </c>
      <c r="AD876" t="s">
        <v>2054</v>
      </c>
      <c r="AE876" t="s">
        <v>2726</v>
      </c>
    </row>
    <row r="877" spans="1:31" x14ac:dyDescent="0.25">
      <c r="A877" t="s">
        <v>4390</v>
      </c>
      <c r="B877" t="s">
        <v>4391</v>
      </c>
      <c r="C877" t="s">
        <v>4392</v>
      </c>
      <c r="D877" t="s">
        <v>4391</v>
      </c>
      <c r="E877" t="s">
        <v>2666</v>
      </c>
      <c r="F877" t="s">
        <v>2705</v>
      </c>
      <c r="G877" t="s">
        <v>2666</v>
      </c>
      <c r="H877" t="s">
        <v>2054</v>
      </c>
      <c r="I877" t="s">
        <v>2706</v>
      </c>
      <c r="J877" t="s">
        <v>2054</v>
      </c>
      <c r="K877" t="s">
        <v>2665</v>
      </c>
      <c r="L877" t="s">
        <v>1104</v>
      </c>
      <c r="M877" t="s">
        <v>2669</v>
      </c>
      <c r="N877" t="s">
        <v>2665</v>
      </c>
      <c r="O877" t="s">
        <v>2670</v>
      </c>
      <c r="P877" t="s">
        <v>2671</v>
      </c>
      <c r="Q877" t="s">
        <v>2672</v>
      </c>
      <c r="R877" t="s">
        <v>2665</v>
      </c>
      <c r="S877" t="s">
        <v>2779</v>
      </c>
      <c r="T877" t="s">
        <v>2780</v>
      </c>
      <c r="U877" t="s">
        <v>2665</v>
      </c>
      <c r="V877" t="s">
        <v>2713</v>
      </c>
      <c r="W877" t="s">
        <v>2714</v>
      </c>
      <c r="X877" t="s">
        <v>2665</v>
      </c>
      <c r="Y877" t="s">
        <v>2054</v>
      </c>
      <c r="Z877" t="s">
        <v>1104</v>
      </c>
      <c r="AA877" t="s">
        <v>2665</v>
      </c>
      <c r="AB877" t="s">
        <v>2665</v>
      </c>
      <c r="AC877" t="s">
        <v>2665</v>
      </c>
      <c r="AD877" t="s">
        <v>2054</v>
      </c>
      <c r="AE877" t="s">
        <v>2726</v>
      </c>
    </row>
    <row r="878" spans="1:31" x14ac:dyDescent="0.25">
      <c r="A878" t="s">
        <v>4393</v>
      </c>
      <c r="B878" t="s">
        <v>4394</v>
      </c>
      <c r="C878" t="s">
        <v>4395</v>
      </c>
      <c r="D878" t="s">
        <v>4394</v>
      </c>
      <c r="E878" t="s">
        <v>2666</v>
      </c>
      <c r="F878" t="s">
        <v>2705</v>
      </c>
      <c r="G878" t="s">
        <v>2666</v>
      </c>
      <c r="H878" t="s">
        <v>2054</v>
      </c>
      <c r="I878" t="s">
        <v>2706</v>
      </c>
      <c r="J878" t="s">
        <v>2054</v>
      </c>
      <c r="K878" t="s">
        <v>2665</v>
      </c>
      <c r="L878" t="s">
        <v>1104</v>
      </c>
      <c r="M878" t="s">
        <v>2669</v>
      </c>
      <c r="N878" t="s">
        <v>2665</v>
      </c>
      <c r="O878" t="s">
        <v>2670</v>
      </c>
      <c r="P878" t="s">
        <v>2671</v>
      </c>
      <c r="Q878" t="s">
        <v>2672</v>
      </c>
      <c r="R878" t="s">
        <v>2665</v>
      </c>
      <c r="S878" t="s">
        <v>2779</v>
      </c>
      <c r="T878" t="s">
        <v>2780</v>
      </c>
      <c r="U878" t="s">
        <v>2665</v>
      </c>
      <c r="V878" t="s">
        <v>2713</v>
      </c>
      <c r="W878" t="s">
        <v>2714</v>
      </c>
      <c r="X878" t="s">
        <v>2665</v>
      </c>
      <c r="Y878" t="s">
        <v>2054</v>
      </c>
      <c r="Z878" t="s">
        <v>1104</v>
      </c>
      <c r="AA878" t="s">
        <v>2665</v>
      </c>
      <c r="AB878" t="s">
        <v>2665</v>
      </c>
      <c r="AC878" t="s">
        <v>2665</v>
      </c>
      <c r="AD878" t="s">
        <v>2054</v>
      </c>
      <c r="AE878" t="s">
        <v>2726</v>
      </c>
    </row>
    <row r="879" spans="1:31" x14ac:dyDescent="0.25">
      <c r="A879" t="s">
        <v>4396</v>
      </c>
      <c r="B879" t="s">
        <v>4397</v>
      </c>
      <c r="C879" t="s">
        <v>4398</v>
      </c>
      <c r="D879" t="s">
        <v>4397</v>
      </c>
      <c r="E879" t="s">
        <v>2666</v>
      </c>
      <c r="F879" t="s">
        <v>2705</v>
      </c>
      <c r="G879" t="s">
        <v>2666</v>
      </c>
      <c r="H879" t="s">
        <v>2054</v>
      </c>
      <c r="I879" t="s">
        <v>2706</v>
      </c>
      <c r="J879" t="s">
        <v>2054</v>
      </c>
      <c r="K879" t="s">
        <v>2665</v>
      </c>
      <c r="L879" t="s">
        <v>1104</v>
      </c>
      <c r="M879" t="s">
        <v>2669</v>
      </c>
      <c r="N879" t="s">
        <v>2665</v>
      </c>
      <c r="O879" t="s">
        <v>2670</v>
      </c>
      <c r="P879" t="s">
        <v>2671</v>
      </c>
      <c r="Q879" t="s">
        <v>2672</v>
      </c>
      <c r="R879" t="s">
        <v>2665</v>
      </c>
      <c r="S879" t="s">
        <v>2779</v>
      </c>
      <c r="T879" t="s">
        <v>2780</v>
      </c>
      <c r="U879" t="s">
        <v>2665</v>
      </c>
      <c r="V879" t="s">
        <v>2713</v>
      </c>
      <c r="W879" t="s">
        <v>2714</v>
      </c>
      <c r="X879" t="s">
        <v>2665</v>
      </c>
      <c r="Y879" t="s">
        <v>2054</v>
      </c>
      <c r="Z879" t="s">
        <v>1104</v>
      </c>
      <c r="AA879" t="s">
        <v>2665</v>
      </c>
      <c r="AB879" t="s">
        <v>2665</v>
      </c>
      <c r="AC879" t="s">
        <v>2665</v>
      </c>
      <c r="AD879" t="s">
        <v>2054</v>
      </c>
      <c r="AE879" t="s">
        <v>2726</v>
      </c>
    </row>
    <row r="880" spans="1:31" x14ac:dyDescent="0.25">
      <c r="A880" t="s">
        <v>4399</v>
      </c>
      <c r="B880" t="s">
        <v>4400</v>
      </c>
      <c r="C880" t="s">
        <v>4401</v>
      </c>
      <c r="D880" t="s">
        <v>4400</v>
      </c>
      <c r="E880" t="s">
        <v>2666</v>
      </c>
      <c r="F880" t="s">
        <v>2705</v>
      </c>
      <c r="G880" t="s">
        <v>2666</v>
      </c>
      <c r="H880" t="s">
        <v>2054</v>
      </c>
      <c r="I880" t="s">
        <v>2706</v>
      </c>
      <c r="J880" t="s">
        <v>2054</v>
      </c>
      <c r="K880" t="s">
        <v>2665</v>
      </c>
      <c r="L880" t="s">
        <v>1104</v>
      </c>
      <c r="M880" t="s">
        <v>2669</v>
      </c>
      <c r="N880" t="s">
        <v>2665</v>
      </c>
      <c r="O880" t="s">
        <v>2670</v>
      </c>
      <c r="P880" t="s">
        <v>2671</v>
      </c>
      <c r="Q880" t="s">
        <v>2672</v>
      </c>
      <c r="R880" t="s">
        <v>2665</v>
      </c>
      <c r="S880" t="s">
        <v>2779</v>
      </c>
      <c r="T880" t="s">
        <v>2780</v>
      </c>
      <c r="U880" t="s">
        <v>2665</v>
      </c>
      <c r="V880" t="s">
        <v>2713</v>
      </c>
      <c r="W880" t="s">
        <v>2714</v>
      </c>
      <c r="X880" t="s">
        <v>2665</v>
      </c>
      <c r="Y880" t="s">
        <v>2054</v>
      </c>
      <c r="Z880" t="s">
        <v>1104</v>
      </c>
      <c r="AA880" t="s">
        <v>2665</v>
      </c>
      <c r="AB880" t="s">
        <v>2665</v>
      </c>
      <c r="AC880" t="s">
        <v>2665</v>
      </c>
      <c r="AD880" t="s">
        <v>2054</v>
      </c>
      <c r="AE880" t="s">
        <v>2054</v>
      </c>
    </row>
    <row r="881" spans="1:31" x14ac:dyDescent="0.25">
      <c r="A881" t="s">
        <v>4402</v>
      </c>
      <c r="B881" t="s">
        <v>4403</v>
      </c>
      <c r="C881" t="s">
        <v>4404</v>
      </c>
      <c r="D881" t="s">
        <v>4403</v>
      </c>
      <c r="E881" t="s">
        <v>2666</v>
      </c>
      <c r="F881" t="s">
        <v>2705</v>
      </c>
      <c r="G881" t="s">
        <v>2666</v>
      </c>
      <c r="H881" t="s">
        <v>2054</v>
      </c>
      <c r="I881" t="s">
        <v>2706</v>
      </c>
      <c r="J881" t="s">
        <v>2054</v>
      </c>
      <c r="K881" t="s">
        <v>2665</v>
      </c>
      <c r="L881" t="s">
        <v>1104</v>
      </c>
      <c r="M881" t="s">
        <v>2669</v>
      </c>
      <c r="N881" t="s">
        <v>2665</v>
      </c>
      <c r="O881" t="s">
        <v>2670</v>
      </c>
      <c r="P881" t="s">
        <v>2671</v>
      </c>
      <c r="Q881" t="s">
        <v>2672</v>
      </c>
      <c r="R881" t="s">
        <v>2665</v>
      </c>
      <c r="S881" t="s">
        <v>2779</v>
      </c>
      <c r="T881" t="s">
        <v>2780</v>
      </c>
      <c r="U881" t="s">
        <v>2665</v>
      </c>
      <c r="V881" t="s">
        <v>2713</v>
      </c>
      <c r="W881" t="s">
        <v>2714</v>
      </c>
      <c r="X881" t="s">
        <v>2665</v>
      </c>
      <c r="Y881" t="s">
        <v>2054</v>
      </c>
      <c r="Z881" t="s">
        <v>1104</v>
      </c>
      <c r="AA881" t="s">
        <v>2665</v>
      </c>
      <c r="AB881" t="s">
        <v>2665</v>
      </c>
      <c r="AC881" t="s">
        <v>2665</v>
      </c>
      <c r="AD881" t="s">
        <v>2054</v>
      </c>
      <c r="AE881" t="s">
        <v>2054</v>
      </c>
    </row>
    <row r="882" spans="1:31" x14ac:dyDescent="0.25">
      <c r="A882" t="s">
        <v>4405</v>
      </c>
      <c r="B882" t="s">
        <v>4406</v>
      </c>
      <c r="C882" t="s">
        <v>4407</v>
      </c>
      <c r="D882" t="s">
        <v>4406</v>
      </c>
      <c r="E882" t="s">
        <v>2666</v>
      </c>
      <c r="F882" t="s">
        <v>2705</v>
      </c>
      <c r="G882" t="s">
        <v>2666</v>
      </c>
      <c r="H882" t="s">
        <v>2054</v>
      </c>
      <c r="I882" t="s">
        <v>2706</v>
      </c>
      <c r="J882" t="s">
        <v>2054</v>
      </c>
      <c r="K882" t="s">
        <v>2665</v>
      </c>
      <c r="L882" t="s">
        <v>1104</v>
      </c>
      <c r="M882" t="s">
        <v>2669</v>
      </c>
      <c r="N882" t="s">
        <v>2665</v>
      </c>
      <c r="O882" t="s">
        <v>2670</v>
      </c>
      <c r="P882" t="s">
        <v>2671</v>
      </c>
      <c r="Q882" t="s">
        <v>2672</v>
      </c>
      <c r="R882" t="s">
        <v>2665</v>
      </c>
      <c r="S882" t="s">
        <v>2779</v>
      </c>
      <c r="T882" t="s">
        <v>2780</v>
      </c>
      <c r="U882" t="s">
        <v>2665</v>
      </c>
      <c r="V882" t="s">
        <v>2713</v>
      </c>
      <c r="W882" t="s">
        <v>2714</v>
      </c>
      <c r="X882" t="s">
        <v>2665</v>
      </c>
      <c r="Y882" t="s">
        <v>2054</v>
      </c>
      <c r="Z882" t="s">
        <v>1104</v>
      </c>
      <c r="AA882" t="s">
        <v>2665</v>
      </c>
      <c r="AB882" t="s">
        <v>2665</v>
      </c>
      <c r="AC882" t="s">
        <v>2665</v>
      </c>
      <c r="AD882" t="s">
        <v>2054</v>
      </c>
      <c r="AE882" t="s">
        <v>2054</v>
      </c>
    </row>
    <row r="883" spans="1:31" x14ac:dyDescent="0.25">
      <c r="A883" t="s">
        <v>4408</v>
      </c>
      <c r="B883" t="s">
        <v>4409</v>
      </c>
      <c r="C883" t="s">
        <v>4410</v>
      </c>
      <c r="D883" t="s">
        <v>4409</v>
      </c>
      <c r="E883" t="s">
        <v>2666</v>
      </c>
      <c r="F883" t="s">
        <v>2705</v>
      </c>
      <c r="G883" t="s">
        <v>2666</v>
      </c>
      <c r="H883" t="s">
        <v>2054</v>
      </c>
      <c r="I883" t="s">
        <v>2706</v>
      </c>
      <c r="J883" t="s">
        <v>2054</v>
      </c>
      <c r="K883" t="s">
        <v>2665</v>
      </c>
      <c r="L883" t="s">
        <v>1104</v>
      </c>
      <c r="M883" t="s">
        <v>2669</v>
      </c>
      <c r="N883" t="s">
        <v>2665</v>
      </c>
      <c r="O883" t="s">
        <v>2670</v>
      </c>
      <c r="P883" t="s">
        <v>2671</v>
      </c>
      <c r="Q883" t="s">
        <v>2672</v>
      </c>
      <c r="R883" t="s">
        <v>2665</v>
      </c>
      <c r="S883" t="s">
        <v>2779</v>
      </c>
      <c r="T883" t="s">
        <v>2780</v>
      </c>
      <c r="U883" t="s">
        <v>2665</v>
      </c>
      <c r="V883" t="s">
        <v>2713</v>
      </c>
      <c r="W883" t="s">
        <v>2714</v>
      </c>
      <c r="X883" t="s">
        <v>2665</v>
      </c>
      <c r="Y883" t="s">
        <v>2054</v>
      </c>
      <c r="Z883" t="s">
        <v>1104</v>
      </c>
      <c r="AA883" t="s">
        <v>2665</v>
      </c>
      <c r="AB883" t="s">
        <v>2665</v>
      </c>
      <c r="AC883" t="s">
        <v>2665</v>
      </c>
      <c r="AD883" t="s">
        <v>2054</v>
      </c>
      <c r="AE883" t="s">
        <v>2054</v>
      </c>
    </row>
    <row r="884" spans="1:31" x14ac:dyDescent="0.25">
      <c r="A884" t="s">
        <v>4411</v>
      </c>
      <c r="B884" t="s">
        <v>4412</v>
      </c>
      <c r="C884" t="s">
        <v>4413</v>
      </c>
      <c r="D884" t="s">
        <v>4412</v>
      </c>
      <c r="E884" t="s">
        <v>2666</v>
      </c>
      <c r="F884" t="s">
        <v>2705</v>
      </c>
      <c r="G884" t="s">
        <v>2666</v>
      </c>
      <c r="H884" t="s">
        <v>2054</v>
      </c>
      <c r="I884" t="s">
        <v>2706</v>
      </c>
      <c r="J884" t="s">
        <v>2054</v>
      </c>
      <c r="K884" t="s">
        <v>2665</v>
      </c>
      <c r="L884" t="s">
        <v>1104</v>
      </c>
      <c r="M884" t="s">
        <v>2669</v>
      </c>
      <c r="N884" t="s">
        <v>2665</v>
      </c>
      <c r="O884" t="s">
        <v>2670</v>
      </c>
      <c r="P884" t="s">
        <v>2671</v>
      </c>
      <c r="Q884" t="s">
        <v>2672</v>
      </c>
      <c r="R884" t="s">
        <v>2665</v>
      </c>
      <c r="S884" t="s">
        <v>2779</v>
      </c>
      <c r="T884" t="s">
        <v>2780</v>
      </c>
      <c r="U884" t="s">
        <v>2665</v>
      </c>
      <c r="V884" t="s">
        <v>2713</v>
      </c>
      <c r="W884" t="s">
        <v>2714</v>
      </c>
      <c r="X884" t="s">
        <v>2665</v>
      </c>
      <c r="Y884" t="s">
        <v>2054</v>
      </c>
      <c r="Z884" t="s">
        <v>1104</v>
      </c>
      <c r="AA884" t="s">
        <v>2665</v>
      </c>
      <c r="AB884" t="s">
        <v>2665</v>
      </c>
      <c r="AC884" t="s">
        <v>2665</v>
      </c>
      <c r="AD884" t="s">
        <v>2054</v>
      </c>
      <c r="AE884" t="s">
        <v>2054</v>
      </c>
    </row>
    <row r="885" spans="1:31" x14ac:dyDescent="0.25">
      <c r="A885" t="s">
        <v>4414</v>
      </c>
      <c r="B885" t="s">
        <v>4415</v>
      </c>
      <c r="C885" t="s">
        <v>4416</v>
      </c>
      <c r="D885" t="s">
        <v>4415</v>
      </c>
      <c r="E885" t="s">
        <v>2666</v>
      </c>
      <c r="F885" t="s">
        <v>2666</v>
      </c>
      <c r="G885" t="s">
        <v>2666</v>
      </c>
      <c r="H885" t="s">
        <v>2054</v>
      </c>
      <c r="I885" t="s">
        <v>2723</v>
      </c>
      <c r="J885" t="s">
        <v>2054</v>
      </c>
      <c r="K885" t="s">
        <v>2665</v>
      </c>
      <c r="L885" t="s">
        <v>1114</v>
      </c>
      <c r="M885" t="s">
        <v>2827</v>
      </c>
      <c r="N885" t="s">
        <v>2665</v>
      </c>
      <c r="O885" t="s">
        <v>2828</v>
      </c>
      <c r="P885" t="s">
        <v>2671</v>
      </c>
      <c r="Q885" t="s">
        <v>2672</v>
      </c>
      <c r="R885" t="s">
        <v>2665</v>
      </c>
      <c r="S885" t="s">
        <v>2779</v>
      </c>
      <c r="T885" t="s">
        <v>2780</v>
      </c>
      <c r="U885" t="s">
        <v>2665</v>
      </c>
      <c r="V885" t="s">
        <v>4417</v>
      </c>
      <c r="W885" t="s">
        <v>2778</v>
      </c>
      <c r="X885" t="s">
        <v>2665</v>
      </c>
      <c r="Y885" t="s">
        <v>2054</v>
      </c>
      <c r="Z885" t="s">
        <v>1114</v>
      </c>
      <c r="AA885" t="s">
        <v>2665</v>
      </c>
      <c r="AB885" t="s">
        <v>2665</v>
      </c>
      <c r="AC885" t="s">
        <v>2665</v>
      </c>
      <c r="AD885" t="s">
        <v>2054</v>
      </c>
      <c r="AE885" t="s">
        <v>2726</v>
      </c>
    </row>
    <row r="886" spans="1:31" x14ac:dyDescent="0.25">
      <c r="A886" t="s">
        <v>4418</v>
      </c>
      <c r="B886" t="s">
        <v>4419</v>
      </c>
      <c r="C886" t="s">
        <v>4420</v>
      </c>
      <c r="D886" t="s">
        <v>4419</v>
      </c>
      <c r="E886" t="s">
        <v>2666</v>
      </c>
      <c r="F886" t="s">
        <v>2666</v>
      </c>
      <c r="G886" t="s">
        <v>2054</v>
      </c>
      <c r="H886" t="s">
        <v>2054</v>
      </c>
      <c r="I886" t="s">
        <v>2723</v>
      </c>
      <c r="J886" t="s">
        <v>2054</v>
      </c>
      <c r="K886" t="s">
        <v>2665</v>
      </c>
      <c r="L886" t="s">
        <v>1114</v>
      </c>
      <c r="M886" t="s">
        <v>2827</v>
      </c>
      <c r="N886" t="s">
        <v>2665</v>
      </c>
      <c r="O886" t="s">
        <v>2828</v>
      </c>
      <c r="P886" t="s">
        <v>2671</v>
      </c>
      <c r="Q886" t="s">
        <v>2672</v>
      </c>
      <c r="R886" t="s">
        <v>2665</v>
      </c>
      <c r="S886" t="s">
        <v>2779</v>
      </c>
      <c r="T886" t="s">
        <v>2780</v>
      </c>
      <c r="U886" t="s">
        <v>2665</v>
      </c>
      <c r="V886" t="s">
        <v>4417</v>
      </c>
      <c r="W886" t="s">
        <v>2778</v>
      </c>
      <c r="X886" t="s">
        <v>2665</v>
      </c>
      <c r="Y886" t="s">
        <v>2054</v>
      </c>
      <c r="Z886" t="s">
        <v>1114</v>
      </c>
      <c r="AA886" t="s">
        <v>2665</v>
      </c>
      <c r="AB886" t="s">
        <v>2665</v>
      </c>
      <c r="AC886" t="s">
        <v>2665</v>
      </c>
      <c r="AD886" t="s">
        <v>2054</v>
      </c>
      <c r="AE886" t="s">
        <v>2718</v>
      </c>
    </row>
    <row r="887" spans="1:31" x14ac:dyDescent="0.25">
      <c r="A887" t="s">
        <v>4421</v>
      </c>
      <c r="B887" t="s">
        <v>4422</v>
      </c>
      <c r="C887" t="s">
        <v>4423</v>
      </c>
      <c r="D887" t="s">
        <v>4422</v>
      </c>
      <c r="E887" t="s">
        <v>2666</v>
      </c>
      <c r="F887" t="s">
        <v>2666</v>
      </c>
      <c r="G887" t="s">
        <v>2666</v>
      </c>
      <c r="H887" t="s">
        <v>2054</v>
      </c>
      <c r="I887" t="s">
        <v>2723</v>
      </c>
      <c r="J887" t="s">
        <v>2054</v>
      </c>
      <c r="K887" t="s">
        <v>2665</v>
      </c>
      <c r="L887" t="s">
        <v>1114</v>
      </c>
      <c r="M887" t="s">
        <v>2827</v>
      </c>
      <c r="N887" t="s">
        <v>2665</v>
      </c>
      <c r="O887" t="s">
        <v>2828</v>
      </c>
      <c r="P887" t="s">
        <v>2671</v>
      </c>
      <c r="Q887" t="s">
        <v>2672</v>
      </c>
      <c r="R887" t="s">
        <v>2665</v>
      </c>
      <c r="S887" t="s">
        <v>2779</v>
      </c>
      <c r="T887" t="s">
        <v>2780</v>
      </c>
      <c r="U887" t="s">
        <v>2665</v>
      </c>
      <c r="V887" t="s">
        <v>4417</v>
      </c>
      <c r="W887" t="s">
        <v>2778</v>
      </c>
      <c r="X887" t="s">
        <v>2665</v>
      </c>
      <c r="Y887" t="s">
        <v>2054</v>
      </c>
      <c r="Z887" t="s">
        <v>1114</v>
      </c>
      <c r="AA887" t="s">
        <v>2665</v>
      </c>
      <c r="AB887" t="s">
        <v>2665</v>
      </c>
      <c r="AC887" t="s">
        <v>2665</v>
      </c>
      <c r="AD887" t="s">
        <v>2054</v>
      </c>
      <c r="AE887" t="s">
        <v>2054</v>
      </c>
    </row>
    <row r="888" spans="1:31" x14ac:dyDescent="0.25">
      <c r="A888" t="s">
        <v>4424</v>
      </c>
      <c r="B888" t="s">
        <v>4425</v>
      </c>
      <c r="C888" t="s">
        <v>4426</v>
      </c>
      <c r="D888" t="s">
        <v>4425</v>
      </c>
      <c r="E888" t="s">
        <v>2666</v>
      </c>
      <c r="F888" t="s">
        <v>2666</v>
      </c>
      <c r="G888" t="s">
        <v>2666</v>
      </c>
      <c r="H888" t="s">
        <v>2054</v>
      </c>
      <c r="I888" t="s">
        <v>2723</v>
      </c>
      <c r="J888" t="s">
        <v>2054</v>
      </c>
      <c r="K888" t="s">
        <v>2665</v>
      </c>
      <c r="L888" t="s">
        <v>1114</v>
      </c>
      <c r="M888" t="s">
        <v>2827</v>
      </c>
      <c r="N888" t="s">
        <v>2665</v>
      </c>
      <c r="O888" t="s">
        <v>2828</v>
      </c>
      <c r="P888" t="s">
        <v>2671</v>
      </c>
      <c r="Q888" t="s">
        <v>2672</v>
      </c>
      <c r="R888" t="s">
        <v>2665</v>
      </c>
      <c r="S888" t="s">
        <v>2779</v>
      </c>
      <c r="T888" t="s">
        <v>2780</v>
      </c>
      <c r="U888" t="s">
        <v>2665</v>
      </c>
      <c r="V888" t="s">
        <v>4417</v>
      </c>
      <c r="W888" t="s">
        <v>2778</v>
      </c>
      <c r="X888" t="s">
        <v>2665</v>
      </c>
      <c r="Y888" t="s">
        <v>2054</v>
      </c>
      <c r="Z888" t="s">
        <v>1114</v>
      </c>
      <c r="AA888" t="s">
        <v>2665</v>
      </c>
      <c r="AB888" t="s">
        <v>2665</v>
      </c>
      <c r="AC888" t="s">
        <v>2665</v>
      </c>
      <c r="AD888" t="s">
        <v>2054</v>
      </c>
      <c r="AE888" t="s">
        <v>2054</v>
      </c>
    </row>
    <row r="889" spans="1:31" x14ac:dyDescent="0.25">
      <c r="A889" t="s">
        <v>4427</v>
      </c>
      <c r="B889" t="s">
        <v>4428</v>
      </c>
      <c r="C889" t="s">
        <v>4429</v>
      </c>
      <c r="D889" t="s">
        <v>4428</v>
      </c>
      <c r="E889" t="s">
        <v>2666</v>
      </c>
      <c r="F889" t="s">
        <v>2666</v>
      </c>
      <c r="G889" t="s">
        <v>2666</v>
      </c>
      <c r="H889" t="s">
        <v>2054</v>
      </c>
      <c r="I889" t="s">
        <v>2723</v>
      </c>
      <c r="J889" t="s">
        <v>2054</v>
      </c>
      <c r="K889" t="s">
        <v>2665</v>
      </c>
      <c r="L889" t="s">
        <v>1114</v>
      </c>
      <c r="M889" t="s">
        <v>2827</v>
      </c>
      <c r="N889" t="s">
        <v>2665</v>
      </c>
      <c r="O889" t="s">
        <v>2828</v>
      </c>
      <c r="P889" t="s">
        <v>2671</v>
      </c>
      <c r="Q889" t="s">
        <v>2672</v>
      </c>
      <c r="R889" t="s">
        <v>2665</v>
      </c>
      <c r="S889" t="s">
        <v>2779</v>
      </c>
      <c r="T889" t="s">
        <v>2780</v>
      </c>
      <c r="U889" t="s">
        <v>2665</v>
      </c>
      <c r="V889" t="s">
        <v>4417</v>
      </c>
      <c r="W889" t="s">
        <v>2778</v>
      </c>
      <c r="X889" t="s">
        <v>2665</v>
      </c>
      <c r="Y889" t="s">
        <v>2054</v>
      </c>
      <c r="Z889" t="s">
        <v>1114</v>
      </c>
      <c r="AA889" t="s">
        <v>2665</v>
      </c>
      <c r="AB889" t="s">
        <v>2665</v>
      </c>
      <c r="AC889" t="s">
        <v>2665</v>
      </c>
      <c r="AD889" t="s">
        <v>2054</v>
      </c>
      <c r="AE889" t="s">
        <v>2726</v>
      </c>
    </row>
    <row r="890" spans="1:31" x14ac:dyDescent="0.25">
      <c r="A890" t="s">
        <v>4430</v>
      </c>
      <c r="B890" t="s">
        <v>4431</v>
      </c>
      <c r="C890" t="s">
        <v>4432</v>
      </c>
      <c r="D890" t="s">
        <v>4431</v>
      </c>
      <c r="E890" t="s">
        <v>2666</v>
      </c>
      <c r="F890" t="s">
        <v>2666</v>
      </c>
      <c r="G890" t="s">
        <v>2666</v>
      </c>
      <c r="H890" t="s">
        <v>2054</v>
      </c>
      <c r="I890" t="s">
        <v>2723</v>
      </c>
      <c r="J890" t="s">
        <v>2054</v>
      </c>
      <c r="K890" t="s">
        <v>2665</v>
      </c>
      <c r="L890" t="s">
        <v>1114</v>
      </c>
      <c r="M890" t="s">
        <v>2827</v>
      </c>
      <c r="N890" t="s">
        <v>2665</v>
      </c>
      <c r="O890" t="s">
        <v>2828</v>
      </c>
      <c r="P890" t="s">
        <v>2671</v>
      </c>
      <c r="Q890" t="s">
        <v>2672</v>
      </c>
      <c r="R890" t="s">
        <v>2665</v>
      </c>
      <c r="S890" t="s">
        <v>2779</v>
      </c>
      <c r="T890" t="s">
        <v>2780</v>
      </c>
      <c r="U890" t="s">
        <v>2665</v>
      </c>
      <c r="V890" t="s">
        <v>4417</v>
      </c>
      <c r="W890" t="s">
        <v>2778</v>
      </c>
      <c r="X890" t="s">
        <v>2665</v>
      </c>
      <c r="Y890" t="s">
        <v>2054</v>
      </c>
      <c r="Z890" t="s">
        <v>1114</v>
      </c>
      <c r="AA890" t="s">
        <v>2742</v>
      </c>
      <c r="AB890" t="s">
        <v>2742</v>
      </c>
      <c r="AC890" t="s">
        <v>2665</v>
      </c>
      <c r="AD890" t="s">
        <v>2054</v>
      </c>
      <c r="AE890" t="s">
        <v>2054</v>
      </c>
    </row>
    <row r="891" spans="1:31" x14ac:dyDescent="0.25">
      <c r="A891" t="s">
        <v>4433</v>
      </c>
      <c r="B891" t="s">
        <v>4434</v>
      </c>
      <c r="C891" t="s">
        <v>4435</v>
      </c>
      <c r="D891" t="s">
        <v>4434</v>
      </c>
      <c r="E891" t="s">
        <v>2666</v>
      </c>
      <c r="F891" t="s">
        <v>2666</v>
      </c>
      <c r="G891" t="s">
        <v>2666</v>
      </c>
      <c r="H891" t="s">
        <v>2054</v>
      </c>
      <c r="I891" t="s">
        <v>2723</v>
      </c>
      <c r="J891" t="s">
        <v>2054</v>
      </c>
      <c r="K891" t="s">
        <v>2665</v>
      </c>
      <c r="L891" t="s">
        <v>1114</v>
      </c>
      <c r="M891" t="s">
        <v>2827</v>
      </c>
      <c r="N891" t="s">
        <v>2665</v>
      </c>
      <c r="O891" t="s">
        <v>2828</v>
      </c>
      <c r="P891" t="s">
        <v>2671</v>
      </c>
      <c r="Q891" t="s">
        <v>2672</v>
      </c>
      <c r="R891" t="s">
        <v>2665</v>
      </c>
      <c r="S891" t="s">
        <v>2779</v>
      </c>
      <c r="T891" t="s">
        <v>2780</v>
      </c>
      <c r="U891" t="s">
        <v>2665</v>
      </c>
      <c r="V891" t="s">
        <v>4417</v>
      </c>
      <c r="W891" t="s">
        <v>2778</v>
      </c>
      <c r="X891" t="s">
        <v>2665</v>
      </c>
      <c r="Y891" t="s">
        <v>2054</v>
      </c>
      <c r="Z891" t="s">
        <v>1114</v>
      </c>
      <c r="AA891" t="s">
        <v>2742</v>
      </c>
      <c r="AB891" t="s">
        <v>2742</v>
      </c>
      <c r="AC891" t="s">
        <v>2665</v>
      </c>
      <c r="AD891" t="s">
        <v>2054</v>
      </c>
      <c r="AE891" t="s">
        <v>2054</v>
      </c>
    </row>
    <row r="892" spans="1:31" x14ac:dyDescent="0.25">
      <c r="A892" t="s">
        <v>4436</v>
      </c>
      <c r="B892" t="s">
        <v>4437</v>
      </c>
      <c r="C892" t="s">
        <v>4438</v>
      </c>
      <c r="D892" t="s">
        <v>4437</v>
      </c>
      <c r="E892" t="s">
        <v>2666</v>
      </c>
      <c r="F892" t="s">
        <v>2666</v>
      </c>
      <c r="G892" t="s">
        <v>2666</v>
      </c>
      <c r="H892" t="s">
        <v>2054</v>
      </c>
      <c r="I892" t="s">
        <v>2723</v>
      </c>
      <c r="J892" t="s">
        <v>2054</v>
      </c>
      <c r="K892" t="s">
        <v>2665</v>
      </c>
      <c r="L892" t="s">
        <v>1114</v>
      </c>
      <c r="M892" t="s">
        <v>2827</v>
      </c>
      <c r="N892" t="s">
        <v>2665</v>
      </c>
      <c r="O892" t="s">
        <v>2828</v>
      </c>
      <c r="P892" t="s">
        <v>2671</v>
      </c>
      <c r="Q892" t="s">
        <v>2672</v>
      </c>
      <c r="R892" t="s">
        <v>2665</v>
      </c>
      <c r="S892" t="s">
        <v>2779</v>
      </c>
      <c r="T892" t="s">
        <v>2780</v>
      </c>
      <c r="U892" t="s">
        <v>2665</v>
      </c>
      <c r="V892" t="s">
        <v>4417</v>
      </c>
      <c r="W892" t="s">
        <v>2778</v>
      </c>
      <c r="X892" t="s">
        <v>2665</v>
      </c>
      <c r="Y892" t="s">
        <v>2054</v>
      </c>
      <c r="Z892" t="s">
        <v>1114</v>
      </c>
      <c r="AA892" t="s">
        <v>2665</v>
      </c>
      <c r="AB892" t="s">
        <v>2665</v>
      </c>
      <c r="AC892" t="s">
        <v>2665</v>
      </c>
      <c r="AD892" t="s">
        <v>2054</v>
      </c>
      <c r="AE892" t="s">
        <v>2054</v>
      </c>
    </row>
    <row r="893" spans="1:31" x14ac:dyDescent="0.25">
      <c r="A893" t="s">
        <v>4439</v>
      </c>
      <c r="B893" t="s">
        <v>4440</v>
      </c>
      <c r="C893" t="s">
        <v>4441</v>
      </c>
      <c r="D893" t="s">
        <v>4440</v>
      </c>
      <c r="E893" t="s">
        <v>2666</v>
      </c>
      <c r="F893" t="s">
        <v>2666</v>
      </c>
      <c r="G893" t="s">
        <v>2666</v>
      </c>
      <c r="H893" t="s">
        <v>2054</v>
      </c>
      <c r="I893" t="s">
        <v>2723</v>
      </c>
      <c r="J893" t="s">
        <v>2054</v>
      </c>
      <c r="K893" t="s">
        <v>2665</v>
      </c>
      <c r="L893" t="s">
        <v>1114</v>
      </c>
      <c r="M893" t="s">
        <v>2827</v>
      </c>
      <c r="N893" t="s">
        <v>2665</v>
      </c>
      <c r="O893" t="s">
        <v>2828</v>
      </c>
      <c r="P893" t="s">
        <v>2671</v>
      </c>
      <c r="Q893" t="s">
        <v>2672</v>
      </c>
      <c r="R893" t="s">
        <v>2665</v>
      </c>
      <c r="S893" t="s">
        <v>2779</v>
      </c>
      <c r="T893" t="s">
        <v>2780</v>
      </c>
      <c r="U893" t="s">
        <v>2665</v>
      </c>
      <c r="V893" t="s">
        <v>4417</v>
      </c>
      <c r="W893" t="s">
        <v>2778</v>
      </c>
      <c r="X893" t="s">
        <v>2665</v>
      </c>
      <c r="Y893" t="s">
        <v>2054</v>
      </c>
      <c r="Z893" t="s">
        <v>1114</v>
      </c>
      <c r="AA893" t="s">
        <v>2665</v>
      </c>
      <c r="AB893" t="s">
        <v>2665</v>
      </c>
      <c r="AC893" t="s">
        <v>2665</v>
      </c>
      <c r="AD893" t="s">
        <v>2054</v>
      </c>
      <c r="AE893" t="s">
        <v>2054</v>
      </c>
    </row>
    <row r="894" spans="1:31" x14ac:dyDescent="0.25">
      <c r="A894" t="s">
        <v>4442</v>
      </c>
      <c r="B894" t="s">
        <v>4443</v>
      </c>
      <c r="C894" t="s">
        <v>4444</v>
      </c>
      <c r="D894" t="s">
        <v>4443</v>
      </c>
      <c r="E894" t="s">
        <v>2666</v>
      </c>
      <c r="F894" t="s">
        <v>2666</v>
      </c>
      <c r="G894" t="s">
        <v>2666</v>
      </c>
      <c r="H894" t="s">
        <v>2054</v>
      </c>
      <c r="I894" t="s">
        <v>2723</v>
      </c>
      <c r="J894" t="s">
        <v>2054</v>
      </c>
      <c r="K894" t="s">
        <v>2665</v>
      </c>
      <c r="L894" t="s">
        <v>1114</v>
      </c>
      <c r="M894" t="s">
        <v>2827</v>
      </c>
      <c r="N894" t="s">
        <v>2665</v>
      </c>
      <c r="O894" t="s">
        <v>2828</v>
      </c>
      <c r="P894" t="s">
        <v>2671</v>
      </c>
      <c r="Q894" t="s">
        <v>2672</v>
      </c>
      <c r="R894" t="s">
        <v>2665</v>
      </c>
      <c r="S894" t="s">
        <v>2779</v>
      </c>
      <c r="T894" t="s">
        <v>2780</v>
      </c>
      <c r="U894" t="s">
        <v>2665</v>
      </c>
      <c r="V894" t="s">
        <v>4417</v>
      </c>
      <c r="W894" t="s">
        <v>2778</v>
      </c>
      <c r="X894" t="s">
        <v>2665</v>
      </c>
      <c r="Y894" t="s">
        <v>2054</v>
      </c>
      <c r="Z894" t="s">
        <v>1114</v>
      </c>
      <c r="AA894" t="s">
        <v>2665</v>
      </c>
      <c r="AB894" t="s">
        <v>2665</v>
      </c>
      <c r="AC894" t="s">
        <v>2665</v>
      </c>
      <c r="AD894" t="s">
        <v>2054</v>
      </c>
      <c r="AE894" t="s">
        <v>2054</v>
      </c>
    </row>
    <row r="895" spans="1:31" x14ac:dyDescent="0.25">
      <c r="A895" t="s">
        <v>4445</v>
      </c>
      <c r="B895" t="s">
        <v>4446</v>
      </c>
      <c r="C895" t="s">
        <v>4447</v>
      </c>
      <c r="D895" t="s">
        <v>4446</v>
      </c>
      <c r="E895" t="s">
        <v>2666</v>
      </c>
      <c r="F895" t="s">
        <v>2666</v>
      </c>
      <c r="G895" t="s">
        <v>2666</v>
      </c>
      <c r="H895" t="s">
        <v>2054</v>
      </c>
      <c r="I895" t="s">
        <v>2723</v>
      </c>
      <c r="J895" t="s">
        <v>2054</v>
      </c>
      <c r="K895" t="s">
        <v>2665</v>
      </c>
      <c r="L895" t="s">
        <v>1114</v>
      </c>
      <c r="M895" t="s">
        <v>2827</v>
      </c>
      <c r="N895" t="s">
        <v>2665</v>
      </c>
      <c r="O895" t="s">
        <v>2828</v>
      </c>
      <c r="P895" t="s">
        <v>2671</v>
      </c>
      <c r="Q895" t="s">
        <v>2672</v>
      </c>
      <c r="R895" t="s">
        <v>2665</v>
      </c>
      <c r="S895" t="s">
        <v>2779</v>
      </c>
      <c r="T895" t="s">
        <v>2780</v>
      </c>
      <c r="U895" t="s">
        <v>2665</v>
      </c>
      <c r="V895" t="s">
        <v>4417</v>
      </c>
      <c r="W895" t="s">
        <v>2778</v>
      </c>
      <c r="X895" t="s">
        <v>2665</v>
      </c>
      <c r="Y895" t="s">
        <v>2054</v>
      </c>
      <c r="Z895" t="s">
        <v>1114</v>
      </c>
      <c r="AA895" t="s">
        <v>2665</v>
      </c>
      <c r="AB895" t="s">
        <v>2665</v>
      </c>
      <c r="AC895" t="s">
        <v>2665</v>
      </c>
      <c r="AD895" t="s">
        <v>2054</v>
      </c>
      <c r="AE895" t="s">
        <v>2054</v>
      </c>
    </row>
    <row r="896" spans="1:31" x14ac:dyDescent="0.25">
      <c r="A896" t="s">
        <v>4448</v>
      </c>
      <c r="B896" t="s">
        <v>4449</v>
      </c>
      <c r="C896" t="s">
        <v>4450</v>
      </c>
      <c r="D896" t="s">
        <v>4449</v>
      </c>
      <c r="E896" t="s">
        <v>2666</v>
      </c>
      <c r="F896" t="s">
        <v>2666</v>
      </c>
      <c r="G896" t="s">
        <v>2666</v>
      </c>
      <c r="H896" t="s">
        <v>2054</v>
      </c>
      <c r="I896" t="s">
        <v>2723</v>
      </c>
      <c r="J896" t="s">
        <v>2054</v>
      </c>
      <c r="K896" t="s">
        <v>2665</v>
      </c>
      <c r="L896" t="s">
        <v>1114</v>
      </c>
      <c r="M896" t="s">
        <v>2827</v>
      </c>
      <c r="N896" t="s">
        <v>2665</v>
      </c>
      <c r="O896" t="s">
        <v>2828</v>
      </c>
      <c r="P896" t="s">
        <v>2671</v>
      </c>
      <c r="Q896" t="s">
        <v>2672</v>
      </c>
      <c r="R896" t="s">
        <v>2665</v>
      </c>
      <c r="S896" t="s">
        <v>2779</v>
      </c>
      <c r="T896" t="s">
        <v>2780</v>
      </c>
      <c r="U896" t="s">
        <v>2665</v>
      </c>
      <c r="V896" t="s">
        <v>4417</v>
      </c>
      <c r="W896" t="s">
        <v>2778</v>
      </c>
      <c r="X896" t="s">
        <v>2665</v>
      </c>
      <c r="Y896" t="s">
        <v>2054</v>
      </c>
      <c r="Z896" t="s">
        <v>1114</v>
      </c>
      <c r="AA896" t="s">
        <v>2665</v>
      </c>
      <c r="AB896" t="s">
        <v>2665</v>
      </c>
      <c r="AC896" t="s">
        <v>2665</v>
      </c>
      <c r="AD896" t="s">
        <v>2054</v>
      </c>
      <c r="AE896" t="s">
        <v>2054</v>
      </c>
    </row>
    <row r="897" spans="1:31" x14ac:dyDescent="0.25">
      <c r="A897" t="s">
        <v>4451</v>
      </c>
      <c r="B897" t="s">
        <v>4452</v>
      </c>
      <c r="C897" t="s">
        <v>4453</v>
      </c>
      <c r="D897" t="s">
        <v>4452</v>
      </c>
      <c r="E897" t="s">
        <v>2666</v>
      </c>
      <c r="F897" t="s">
        <v>2666</v>
      </c>
      <c r="G897" t="s">
        <v>2666</v>
      </c>
      <c r="H897" t="s">
        <v>2054</v>
      </c>
      <c r="I897" t="s">
        <v>2723</v>
      </c>
      <c r="J897" t="s">
        <v>2054</v>
      </c>
      <c r="K897" t="s">
        <v>2665</v>
      </c>
      <c r="L897" t="s">
        <v>1114</v>
      </c>
      <c r="M897" t="s">
        <v>2827</v>
      </c>
      <c r="N897" t="s">
        <v>2665</v>
      </c>
      <c r="O897" t="s">
        <v>2828</v>
      </c>
      <c r="P897" t="s">
        <v>2671</v>
      </c>
      <c r="Q897" t="s">
        <v>2672</v>
      </c>
      <c r="R897" t="s">
        <v>2665</v>
      </c>
      <c r="S897" t="s">
        <v>2779</v>
      </c>
      <c r="T897" t="s">
        <v>2780</v>
      </c>
      <c r="U897" t="s">
        <v>2665</v>
      </c>
      <c r="V897" t="s">
        <v>4417</v>
      </c>
      <c r="W897" t="s">
        <v>2778</v>
      </c>
      <c r="X897" t="s">
        <v>2665</v>
      </c>
      <c r="Y897" t="s">
        <v>2054</v>
      </c>
      <c r="Z897" t="s">
        <v>1114</v>
      </c>
      <c r="AA897" t="s">
        <v>2665</v>
      </c>
      <c r="AB897" t="s">
        <v>2665</v>
      </c>
      <c r="AC897" t="s">
        <v>2665</v>
      </c>
      <c r="AD897" t="s">
        <v>2054</v>
      </c>
      <c r="AE897" t="s">
        <v>2054</v>
      </c>
    </row>
    <row r="898" spans="1:31" x14ac:dyDescent="0.25">
      <c r="A898" t="s">
        <v>4454</v>
      </c>
      <c r="B898" t="s">
        <v>4455</v>
      </c>
      <c r="C898" t="s">
        <v>4456</v>
      </c>
      <c r="D898" t="s">
        <v>4455</v>
      </c>
      <c r="E898" t="s">
        <v>2666</v>
      </c>
      <c r="F898" t="s">
        <v>2666</v>
      </c>
      <c r="G898" t="s">
        <v>2666</v>
      </c>
      <c r="H898" t="s">
        <v>2054</v>
      </c>
      <c r="I898" t="s">
        <v>2723</v>
      </c>
      <c r="J898" t="s">
        <v>2054</v>
      </c>
      <c r="K898" t="s">
        <v>2665</v>
      </c>
      <c r="L898" t="s">
        <v>1114</v>
      </c>
      <c r="M898" t="s">
        <v>2827</v>
      </c>
      <c r="N898" t="s">
        <v>2665</v>
      </c>
      <c r="O898" t="s">
        <v>2828</v>
      </c>
      <c r="P898" t="s">
        <v>2671</v>
      </c>
      <c r="Q898" t="s">
        <v>2672</v>
      </c>
      <c r="R898" t="s">
        <v>2665</v>
      </c>
      <c r="S898" t="s">
        <v>2779</v>
      </c>
      <c r="T898" t="s">
        <v>2780</v>
      </c>
      <c r="U898" t="s">
        <v>2665</v>
      </c>
      <c r="V898" t="s">
        <v>4417</v>
      </c>
      <c r="W898" t="s">
        <v>2778</v>
      </c>
      <c r="X898" t="s">
        <v>2665</v>
      </c>
      <c r="Y898" t="s">
        <v>2054</v>
      </c>
      <c r="Z898" t="s">
        <v>1114</v>
      </c>
      <c r="AA898" t="s">
        <v>2665</v>
      </c>
      <c r="AB898" t="s">
        <v>2665</v>
      </c>
      <c r="AC898" t="s">
        <v>2665</v>
      </c>
      <c r="AD898" t="s">
        <v>2054</v>
      </c>
      <c r="AE898" t="s">
        <v>2726</v>
      </c>
    </row>
    <row r="899" spans="1:31" x14ac:dyDescent="0.25">
      <c r="A899" t="s">
        <v>4457</v>
      </c>
      <c r="B899" t="s">
        <v>4458</v>
      </c>
      <c r="C899" t="s">
        <v>4459</v>
      </c>
      <c r="D899" t="s">
        <v>4458</v>
      </c>
      <c r="E899" t="s">
        <v>2666</v>
      </c>
      <c r="F899" t="s">
        <v>2666</v>
      </c>
      <c r="G899" t="s">
        <v>2666</v>
      </c>
      <c r="H899" t="s">
        <v>2054</v>
      </c>
      <c r="I899" t="s">
        <v>2723</v>
      </c>
      <c r="J899" t="s">
        <v>2054</v>
      </c>
      <c r="K899" t="s">
        <v>2665</v>
      </c>
      <c r="L899" t="s">
        <v>1114</v>
      </c>
      <c r="M899" t="s">
        <v>2827</v>
      </c>
      <c r="N899" t="s">
        <v>2665</v>
      </c>
      <c r="O899" t="s">
        <v>2828</v>
      </c>
      <c r="P899" t="s">
        <v>2671</v>
      </c>
      <c r="Q899" t="s">
        <v>2672</v>
      </c>
      <c r="R899" t="s">
        <v>2665</v>
      </c>
      <c r="S899" t="s">
        <v>2779</v>
      </c>
      <c r="T899" t="s">
        <v>2780</v>
      </c>
      <c r="U899" t="s">
        <v>2665</v>
      </c>
      <c r="V899" t="s">
        <v>4417</v>
      </c>
      <c r="W899" t="s">
        <v>2778</v>
      </c>
      <c r="X899" t="s">
        <v>2665</v>
      </c>
      <c r="Y899" t="s">
        <v>2054</v>
      </c>
      <c r="Z899" t="s">
        <v>1114</v>
      </c>
      <c r="AA899" t="s">
        <v>2665</v>
      </c>
      <c r="AB899" t="s">
        <v>2665</v>
      </c>
      <c r="AC899" t="s">
        <v>2665</v>
      </c>
      <c r="AD899" t="s">
        <v>2054</v>
      </c>
      <c r="AE899" t="s">
        <v>2054</v>
      </c>
    </row>
    <row r="900" spans="1:31" x14ac:dyDescent="0.25">
      <c r="A900" t="s">
        <v>4460</v>
      </c>
      <c r="B900" t="s">
        <v>4461</v>
      </c>
      <c r="C900" t="s">
        <v>2847</v>
      </c>
      <c r="D900" t="s">
        <v>4461</v>
      </c>
      <c r="E900" t="s">
        <v>2666</v>
      </c>
      <c r="F900" t="s">
        <v>2666</v>
      </c>
      <c r="G900" t="s">
        <v>2666</v>
      </c>
      <c r="H900" t="s">
        <v>2054</v>
      </c>
      <c r="I900" t="s">
        <v>2723</v>
      </c>
      <c r="J900" t="s">
        <v>2054</v>
      </c>
      <c r="K900" t="s">
        <v>2665</v>
      </c>
      <c r="L900" t="s">
        <v>1114</v>
      </c>
      <c r="M900" t="s">
        <v>2827</v>
      </c>
      <c r="N900" t="s">
        <v>2665</v>
      </c>
      <c r="O900" t="s">
        <v>2828</v>
      </c>
      <c r="P900" t="s">
        <v>2671</v>
      </c>
      <c r="Q900" t="s">
        <v>2672</v>
      </c>
      <c r="R900" t="s">
        <v>2665</v>
      </c>
      <c r="S900" t="s">
        <v>2779</v>
      </c>
      <c r="T900" t="s">
        <v>2780</v>
      </c>
      <c r="U900" t="s">
        <v>2665</v>
      </c>
      <c r="V900" t="s">
        <v>4417</v>
      </c>
      <c r="W900" t="s">
        <v>2778</v>
      </c>
      <c r="X900" t="s">
        <v>2665</v>
      </c>
      <c r="Y900" t="s">
        <v>2054</v>
      </c>
      <c r="Z900" t="s">
        <v>1114</v>
      </c>
      <c r="AA900" t="s">
        <v>2665</v>
      </c>
      <c r="AB900" t="s">
        <v>2665</v>
      </c>
      <c r="AC900" t="s">
        <v>2665</v>
      </c>
      <c r="AD900" t="s">
        <v>2054</v>
      </c>
      <c r="AE900" t="s">
        <v>2054</v>
      </c>
    </row>
    <row r="901" spans="1:31" x14ac:dyDescent="0.25">
      <c r="A901" t="s">
        <v>4462</v>
      </c>
      <c r="B901" t="s">
        <v>4463</v>
      </c>
      <c r="C901" t="s">
        <v>4464</v>
      </c>
      <c r="D901" t="s">
        <v>4463</v>
      </c>
      <c r="E901" t="s">
        <v>2666</v>
      </c>
      <c r="F901" t="s">
        <v>2705</v>
      </c>
      <c r="G901" t="s">
        <v>2054</v>
      </c>
      <c r="H901" t="s">
        <v>2054</v>
      </c>
      <c r="I901" t="s">
        <v>2723</v>
      </c>
      <c r="J901" t="s">
        <v>2054</v>
      </c>
      <c r="K901" t="s">
        <v>2665</v>
      </c>
      <c r="L901" t="s">
        <v>1114</v>
      </c>
      <c r="M901" t="s">
        <v>2827</v>
      </c>
      <c r="N901" t="s">
        <v>2665</v>
      </c>
      <c r="O901" t="s">
        <v>2828</v>
      </c>
      <c r="P901" t="s">
        <v>2671</v>
      </c>
      <c r="Q901" t="s">
        <v>2672</v>
      </c>
      <c r="R901" t="s">
        <v>2665</v>
      </c>
      <c r="S901" t="s">
        <v>2779</v>
      </c>
      <c r="T901" t="s">
        <v>2780</v>
      </c>
      <c r="U901" t="s">
        <v>2665</v>
      </c>
      <c r="V901" t="s">
        <v>4417</v>
      </c>
      <c r="W901" t="s">
        <v>2778</v>
      </c>
      <c r="X901" t="s">
        <v>2665</v>
      </c>
      <c r="Y901" t="s">
        <v>2054</v>
      </c>
      <c r="Z901" t="s">
        <v>1114</v>
      </c>
      <c r="AA901" t="s">
        <v>2665</v>
      </c>
      <c r="AB901" t="s">
        <v>2665</v>
      </c>
      <c r="AC901" t="s">
        <v>2665</v>
      </c>
      <c r="AD901" t="s">
        <v>2054</v>
      </c>
      <c r="AE901" t="s">
        <v>2718</v>
      </c>
    </row>
    <row r="902" spans="1:31" x14ac:dyDescent="0.25">
      <c r="A902" t="s">
        <v>4465</v>
      </c>
      <c r="B902" t="s">
        <v>4466</v>
      </c>
      <c r="C902" t="s">
        <v>4467</v>
      </c>
      <c r="D902" t="s">
        <v>4466</v>
      </c>
      <c r="E902" t="s">
        <v>2666</v>
      </c>
      <c r="F902" t="s">
        <v>2666</v>
      </c>
      <c r="G902" t="s">
        <v>2666</v>
      </c>
      <c r="H902" t="s">
        <v>2054</v>
      </c>
      <c r="I902" t="s">
        <v>2723</v>
      </c>
      <c r="J902" t="s">
        <v>2054</v>
      </c>
      <c r="K902" t="s">
        <v>2665</v>
      </c>
      <c r="L902" t="s">
        <v>1114</v>
      </c>
      <c r="M902" t="s">
        <v>2827</v>
      </c>
      <c r="N902" t="s">
        <v>2665</v>
      </c>
      <c r="O902" t="s">
        <v>2828</v>
      </c>
      <c r="P902" t="s">
        <v>2671</v>
      </c>
      <c r="Q902" t="s">
        <v>2672</v>
      </c>
      <c r="R902" t="s">
        <v>2665</v>
      </c>
      <c r="S902" t="s">
        <v>2779</v>
      </c>
      <c r="T902" t="s">
        <v>2780</v>
      </c>
      <c r="U902" t="s">
        <v>2665</v>
      </c>
      <c r="V902" t="s">
        <v>4417</v>
      </c>
      <c r="W902" t="s">
        <v>2778</v>
      </c>
      <c r="X902" t="s">
        <v>2665</v>
      </c>
      <c r="Y902" t="s">
        <v>2054</v>
      </c>
      <c r="Z902" t="s">
        <v>1114</v>
      </c>
      <c r="AA902" t="s">
        <v>2665</v>
      </c>
      <c r="AB902" t="s">
        <v>2665</v>
      </c>
      <c r="AC902" t="s">
        <v>2665</v>
      </c>
      <c r="AD902" t="s">
        <v>2054</v>
      </c>
      <c r="AE902" t="s">
        <v>2726</v>
      </c>
    </row>
    <row r="903" spans="1:31" x14ac:dyDescent="0.25">
      <c r="A903" t="s">
        <v>4468</v>
      </c>
      <c r="B903" t="s">
        <v>4469</v>
      </c>
      <c r="C903" t="s">
        <v>4470</v>
      </c>
      <c r="D903" t="s">
        <v>4469</v>
      </c>
      <c r="E903" t="s">
        <v>2666</v>
      </c>
      <c r="F903" t="s">
        <v>2666</v>
      </c>
      <c r="G903" t="s">
        <v>2666</v>
      </c>
      <c r="H903" t="s">
        <v>2054</v>
      </c>
      <c r="I903" t="s">
        <v>2723</v>
      </c>
      <c r="J903" t="s">
        <v>2054</v>
      </c>
      <c r="K903" t="s">
        <v>2665</v>
      </c>
      <c r="L903" t="s">
        <v>1114</v>
      </c>
      <c r="M903" t="s">
        <v>2827</v>
      </c>
      <c r="N903" t="s">
        <v>2665</v>
      </c>
      <c r="O903" t="s">
        <v>2828</v>
      </c>
      <c r="P903" t="s">
        <v>2671</v>
      </c>
      <c r="Q903" t="s">
        <v>2672</v>
      </c>
      <c r="R903" t="s">
        <v>2665</v>
      </c>
      <c r="S903" t="s">
        <v>2779</v>
      </c>
      <c r="T903" t="s">
        <v>2780</v>
      </c>
      <c r="U903" t="s">
        <v>2665</v>
      </c>
      <c r="V903" t="s">
        <v>4417</v>
      </c>
      <c r="W903" t="s">
        <v>2778</v>
      </c>
      <c r="X903" t="s">
        <v>2665</v>
      </c>
      <c r="Y903" t="s">
        <v>2054</v>
      </c>
      <c r="Z903" t="s">
        <v>1114</v>
      </c>
      <c r="AA903" t="s">
        <v>2665</v>
      </c>
      <c r="AB903" t="s">
        <v>2665</v>
      </c>
      <c r="AC903" t="s">
        <v>2665</v>
      </c>
      <c r="AD903" t="s">
        <v>2054</v>
      </c>
      <c r="AE903" t="s">
        <v>2726</v>
      </c>
    </row>
    <row r="904" spans="1:31" x14ac:dyDescent="0.25">
      <c r="A904" t="s">
        <v>4471</v>
      </c>
      <c r="B904" t="s">
        <v>4472</v>
      </c>
      <c r="C904" t="s">
        <v>4473</v>
      </c>
      <c r="D904" t="s">
        <v>4472</v>
      </c>
      <c r="E904" t="s">
        <v>2666</v>
      </c>
      <c r="F904" t="s">
        <v>2666</v>
      </c>
      <c r="G904" t="s">
        <v>2666</v>
      </c>
      <c r="H904" t="s">
        <v>2054</v>
      </c>
      <c r="I904" t="s">
        <v>2723</v>
      </c>
      <c r="J904" t="s">
        <v>2054</v>
      </c>
      <c r="K904" t="s">
        <v>2665</v>
      </c>
      <c r="L904" t="s">
        <v>1114</v>
      </c>
      <c r="M904" t="s">
        <v>2827</v>
      </c>
      <c r="N904" t="s">
        <v>2665</v>
      </c>
      <c r="O904" t="s">
        <v>2828</v>
      </c>
      <c r="P904" t="s">
        <v>2671</v>
      </c>
      <c r="Q904" t="s">
        <v>2672</v>
      </c>
      <c r="R904" t="s">
        <v>2665</v>
      </c>
      <c r="S904" t="s">
        <v>2779</v>
      </c>
      <c r="T904" t="s">
        <v>2780</v>
      </c>
      <c r="U904" t="s">
        <v>2665</v>
      </c>
      <c r="V904" t="s">
        <v>4417</v>
      </c>
      <c r="W904" t="s">
        <v>2778</v>
      </c>
      <c r="X904" t="s">
        <v>2665</v>
      </c>
      <c r="Y904" t="s">
        <v>2054</v>
      </c>
      <c r="Z904" t="s">
        <v>1114</v>
      </c>
      <c r="AA904" t="s">
        <v>2665</v>
      </c>
      <c r="AB904" t="s">
        <v>2665</v>
      </c>
      <c r="AC904" t="s">
        <v>2665</v>
      </c>
      <c r="AD904" t="s">
        <v>2054</v>
      </c>
      <c r="AE904" t="s">
        <v>2726</v>
      </c>
    </row>
    <row r="905" spans="1:31" x14ac:dyDescent="0.25">
      <c r="A905" t="s">
        <v>4474</v>
      </c>
      <c r="B905" t="s">
        <v>4475</v>
      </c>
      <c r="C905" t="s">
        <v>4476</v>
      </c>
      <c r="D905" t="s">
        <v>4475</v>
      </c>
      <c r="E905" t="s">
        <v>2666</v>
      </c>
      <c r="F905" t="s">
        <v>2666</v>
      </c>
      <c r="G905" t="s">
        <v>2666</v>
      </c>
      <c r="H905" t="s">
        <v>2054</v>
      </c>
      <c r="I905" t="s">
        <v>2723</v>
      </c>
      <c r="J905" t="s">
        <v>2054</v>
      </c>
      <c r="K905" t="s">
        <v>2665</v>
      </c>
      <c r="L905" t="s">
        <v>1114</v>
      </c>
      <c r="M905" t="s">
        <v>2827</v>
      </c>
      <c r="N905" t="s">
        <v>2665</v>
      </c>
      <c r="O905" t="s">
        <v>2828</v>
      </c>
      <c r="P905" t="s">
        <v>2671</v>
      </c>
      <c r="Q905" t="s">
        <v>2672</v>
      </c>
      <c r="R905" t="s">
        <v>2665</v>
      </c>
      <c r="S905" t="s">
        <v>2779</v>
      </c>
      <c r="T905" t="s">
        <v>2780</v>
      </c>
      <c r="U905" t="s">
        <v>2665</v>
      </c>
      <c r="V905" t="s">
        <v>4417</v>
      </c>
      <c r="W905" t="s">
        <v>2778</v>
      </c>
      <c r="X905" t="s">
        <v>2665</v>
      </c>
      <c r="Y905" t="s">
        <v>2054</v>
      </c>
      <c r="Z905" t="s">
        <v>1114</v>
      </c>
      <c r="AA905" t="s">
        <v>2665</v>
      </c>
      <c r="AB905" t="s">
        <v>2665</v>
      </c>
      <c r="AC905" t="s">
        <v>2665</v>
      </c>
      <c r="AD905" t="s">
        <v>2054</v>
      </c>
      <c r="AE905" t="s">
        <v>2726</v>
      </c>
    </row>
    <row r="906" spans="1:31" x14ac:dyDescent="0.25">
      <c r="A906" t="s">
        <v>4477</v>
      </c>
      <c r="B906" t="s">
        <v>4478</v>
      </c>
      <c r="C906" t="s">
        <v>4479</v>
      </c>
      <c r="D906" t="s">
        <v>4478</v>
      </c>
      <c r="E906" t="s">
        <v>2666</v>
      </c>
      <c r="F906" t="s">
        <v>2666</v>
      </c>
      <c r="G906" t="s">
        <v>2666</v>
      </c>
      <c r="H906" t="s">
        <v>2054</v>
      </c>
      <c r="I906" t="s">
        <v>2706</v>
      </c>
      <c r="J906" t="s">
        <v>2054</v>
      </c>
      <c r="K906" t="s">
        <v>2665</v>
      </c>
      <c r="L906" t="s">
        <v>1104</v>
      </c>
      <c r="M906" t="s">
        <v>2898</v>
      </c>
      <c r="N906" t="s">
        <v>2665</v>
      </c>
      <c r="O906" t="s">
        <v>2984</v>
      </c>
      <c r="P906" t="s">
        <v>3163</v>
      </c>
      <c r="Q906" t="s">
        <v>4176</v>
      </c>
      <c r="R906" t="s">
        <v>2665</v>
      </c>
      <c r="S906" t="s">
        <v>2779</v>
      </c>
      <c r="T906" t="s">
        <v>2780</v>
      </c>
      <c r="U906" t="s">
        <v>2665</v>
      </c>
      <c r="V906" t="s">
        <v>4192</v>
      </c>
      <c r="W906" t="s">
        <v>4193</v>
      </c>
      <c r="X906" t="s">
        <v>2665</v>
      </c>
      <c r="Y906" t="s">
        <v>2054</v>
      </c>
      <c r="Z906" t="s">
        <v>1104</v>
      </c>
      <c r="AA906" t="s">
        <v>2665</v>
      </c>
      <c r="AB906" t="s">
        <v>2665</v>
      </c>
      <c r="AC906" t="s">
        <v>2665</v>
      </c>
      <c r="AD906" t="s">
        <v>2054</v>
      </c>
      <c r="AE906" t="s">
        <v>2054</v>
      </c>
    </row>
    <row r="907" spans="1:31" x14ac:dyDescent="0.25">
      <c r="A907" t="s">
        <v>4480</v>
      </c>
      <c r="B907" t="s">
        <v>4481</v>
      </c>
      <c r="C907" t="s">
        <v>4482</v>
      </c>
      <c r="D907" t="s">
        <v>4481</v>
      </c>
      <c r="E907" t="s">
        <v>2666</v>
      </c>
      <c r="F907" t="s">
        <v>2666</v>
      </c>
      <c r="G907" t="s">
        <v>2666</v>
      </c>
      <c r="H907" t="s">
        <v>2054</v>
      </c>
      <c r="I907" t="s">
        <v>2706</v>
      </c>
      <c r="J907" t="s">
        <v>2054</v>
      </c>
      <c r="K907" t="s">
        <v>2665</v>
      </c>
      <c r="L907" t="s">
        <v>1104</v>
      </c>
      <c r="M907" t="s">
        <v>2898</v>
      </c>
      <c r="N907" t="s">
        <v>2665</v>
      </c>
      <c r="O907" t="s">
        <v>2984</v>
      </c>
      <c r="P907" t="s">
        <v>3163</v>
      </c>
      <c r="Q907" t="s">
        <v>4176</v>
      </c>
      <c r="R907" t="s">
        <v>2665</v>
      </c>
      <c r="S907" t="s">
        <v>2779</v>
      </c>
      <c r="T907" t="s">
        <v>2780</v>
      </c>
      <c r="U907" t="s">
        <v>2665</v>
      </c>
      <c r="V907" t="s">
        <v>4192</v>
      </c>
      <c r="W907" t="s">
        <v>4193</v>
      </c>
      <c r="X907" t="s">
        <v>2665</v>
      </c>
      <c r="Y907" t="s">
        <v>2054</v>
      </c>
      <c r="Z907" t="s">
        <v>1104</v>
      </c>
      <c r="AA907" t="s">
        <v>2665</v>
      </c>
      <c r="AB907" t="s">
        <v>2665</v>
      </c>
      <c r="AC907" t="s">
        <v>2665</v>
      </c>
      <c r="AD907" t="s">
        <v>2054</v>
      </c>
      <c r="AE907" t="s">
        <v>2054</v>
      </c>
    </row>
    <row r="908" spans="1:31" x14ac:dyDescent="0.25">
      <c r="A908" t="s">
        <v>4483</v>
      </c>
      <c r="B908" t="s">
        <v>4484</v>
      </c>
      <c r="C908" t="s">
        <v>4485</v>
      </c>
      <c r="D908" t="s">
        <v>4484</v>
      </c>
      <c r="E908" t="s">
        <v>2666</v>
      </c>
      <c r="F908" t="s">
        <v>2666</v>
      </c>
      <c r="G908" t="s">
        <v>2666</v>
      </c>
      <c r="H908" t="s">
        <v>2054</v>
      </c>
      <c r="I908" t="s">
        <v>2706</v>
      </c>
      <c r="J908" t="s">
        <v>2054</v>
      </c>
      <c r="K908" t="s">
        <v>2665</v>
      </c>
      <c r="L908" t="s">
        <v>1104</v>
      </c>
      <c r="M908" t="s">
        <v>2898</v>
      </c>
      <c r="N908" t="s">
        <v>2665</v>
      </c>
      <c r="O908" t="s">
        <v>2984</v>
      </c>
      <c r="P908" t="s">
        <v>3163</v>
      </c>
      <c r="Q908" t="s">
        <v>4176</v>
      </c>
      <c r="R908" t="s">
        <v>2665</v>
      </c>
      <c r="S908" t="s">
        <v>2779</v>
      </c>
      <c r="T908" t="s">
        <v>2780</v>
      </c>
      <c r="U908" t="s">
        <v>2665</v>
      </c>
      <c r="V908" t="s">
        <v>4192</v>
      </c>
      <c r="W908" t="s">
        <v>4193</v>
      </c>
      <c r="X908" t="s">
        <v>2665</v>
      </c>
      <c r="Y908" t="s">
        <v>2054</v>
      </c>
      <c r="Z908" t="s">
        <v>1104</v>
      </c>
      <c r="AA908" t="s">
        <v>2665</v>
      </c>
      <c r="AB908" t="s">
        <v>2665</v>
      </c>
      <c r="AC908" t="s">
        <v>2665</v>
      </c>
      <c r="AD908" t="s">
        <v>2054</v>
      </c>
      <c r="AE908" t="s">
        <v>2054</v>
      </c>
    </row>
    <row r="909" spans="1:31" x14ac:dyDescent="0.25">
      <c r="A909" t="s">
        <v>4486</v>
      </c>
      <c r="B909" t="s">
        <v>4487</v>
      </c>
      <c r="C909" t="s">
        <v>4488</v>
      </c>
      <c r="D909" t="s">
        <v>4487</v>
      </c>
      <c r="E909" t="s">
        <v>2666</v>
      </c>
      <c r="F909" t="s">
        <v>2666</v>
      </c>
      <c r="G909" t="s">
        <v>2666</v>
      </c>
      <c r="H909" t="s">
        <v>2054</v>
      </c>
      <c r="I909" t="s">
        <v>2706</v>
      </c>
      <c r="J909" t="s">
        <v>2054</v>
      </c>
      <c r="K909" t="s">
        <v>2665</v>
      </c>
      <c r="L909" t="s">
        <v>1104</v>
      </c>
      <c r="M909" t="s">
        <v>2898</v>
      </c>
      <c r="N909" t="s">
        <v>2665</v>
      </c>
      <c r="O909" t="s">
        <v>2984</v>
      </c>
      <c r="P909" t="s">
        <v>3163</v>
      </c>
      <c r="Q909" t="s">
        <v>4176</v>
      </c>
      <c r="R909" t="s">
        <v>2665</v>
      </c>
      <c r="S909" t="s">
        <v>2779</v>
      </c>
      <c r="T909" t="s">
        <v>2780</v>
      </c>
      <c r="U909" t="s">
        <v>2665</v>
      </c>
      <c r="V909" t="s">
        <v>4192</v>
      </c>
      <c r="W909" t="s">
        <v>4193</v>
      </c>
      <c r="X909" t="s">
        <v>2665</v>
      </c>
      <c r="Y909" t="s">
        <v>2054</v>
      </c>
      <c r="Z909" t="s">
        <v>1104</v>
      </c>
      <c r="AA909" t="s">
        <v>2665</v>
      </c>
      <c r="AB909" t="s">
        <v>2665</v>
      </c>
      <c r="AC909" t="s">
        <v>2665</v>
      </c>
      <c r="AD909" t="s">
        <v>2054</v>
      </c>
      <c r="AE909" t="s">
        <v>2054</v>
      </c>
    </row>
    <row r="910" spans="1:31" x14ac:dyDescent="0.25">
      <c r="A910" t="s">
        <v>4489</v>
      </c>
      <c r="B910" t="s">
        <v>4490</v>
      </c>
      <c r="C910" t="s">
        <v>4491</v>
      </c>
      <c r="D910" t="s">
        <v>4490</v>
      </c>
      <c r="E910" t="s">
        <v>2666</v>
      </c>
      <c r="F910" t="s">
        <v>2666</v>
      </c>
      <c r="G910" t="s">
        <v>2666</v>
      </c>
      <c r="H910" t="s">
        <v>2054</v>
      </c>
      <c r="I910" t="s">
        <v>2706</v>
      </c>
      <c r="J910" t="s">
        <v>2054</v>
      </c>
      <c r="K910" t="s">
        <v>2665</v>
      </c>
      <c r="L910" t="s">
        <v>1104</v>
      </c>
      <c r="M910" t="s">
        <v>2898</v>
      </c>
      <c r="N910" t="s">
        <v>2665</v>
      </c>
      <c r="O910" t="s">
        <v>2984</v>
      </c>
      <c r="P910" t="s">
        <v>3163</v>
      </c>
      <c r="Q910" t="s">
        <v>4176</v>
      </c>
      <c r="R910" t="s">
        <v>2665</v>
      </c>
      <c r="S910" t="s">
        <v>2779</v>
      </c>
      <c r="T910" t="s">
        <v>2780</v>
      </c>
      <c r="U910" t="s">
        <v>2665</v>
      </c>
      <c r="V910" t="s">
        <v>4192</v>
      </c>
      <c r="W910" t="s">
        <v>4193</v>
      </c>
      <c r="X910" t="s">
        <v>2665</v>
      </c>
      <c r="Y910" t="s">
        <v>2054</v>
      </c>
      <c r="Z910" t="s">
        <v>1104</v>
      </c>
      <c r="AA910" t="s">
        <v>2665</v>
      </c>
      <c r="AB910" t="s">
        <v>2665</v>
      </c>
      <c r="AC910" t="s">
        <v>2665</v>
      </c>
      <c r="AD910" t="s">
        <v>2054</v>
      </c>
      <c r="AE910" t="s">
        <v>2054</v>
      </c>
    </row>
    <row r="911" spans="1:31" x14ac:dyDescent="0.25">
      <c r="A911" t="s">
        <v>4492</v>
      </c>
      <c r="B911" t="s">
        <v>4493</v>
      </c>
      <c r="C911" t="s">
        <v>4494</v>
      </c>
      <c r="D911" t="s">
        <v>4493</v>
      </c>
      <c r="E911" t="s">
        <v>2666</v>
      </c>
      <c r="F911" t="s">
        <v>2666</v>
      </c>
      <c r="G911" t="s">
        <v>2666</v>
      </c>
      <c r="H911" t="s">
        <v>2054</v>
      </c>
      <c r="I911" t="s">
        <v>2778</v>
      </c>
      <c r="J911" t="s">
        <v>2054</v>
      </c>
      <c r="K911" t="s">
        <v>2665</v>
      </c>
      <c r="L911" t="s">
        <v>1179</v>
      </c>
      <c r="M911" t="s">
        <v>2827</v>
      </c>
      <c r="N911" t="s">
        <v>2665</v>
      </c>
      <c r="O911" t="s">
        <v>2828</v>
      </c>
      <c r="P911" t="s">
        <v>2671</v>
      </c>
      <c r="Q911" t="s">
        <v>2672</v>
      </c>
      <c r="R911" t="s">
        <v>2665</v>
      </c>
      <c r="S911" t="s">
        <v>2779</v>
      </c>
      <c r="T911" t="s">
        <v>2780</v>
      </c>
      <c r="U911" t="s">
        <v>2665</v>
      </c>
      <c r="V911" t="s">
        <v>4495</v>
      </c>
      <c r="W911" t="s">
        <v>4496</v>
      </c>
      <c r="X911" t="s">
        <v>2665</v>
      </c>
      <c r="Y911" t="s">
        <v>2054</v>
      </c>
      <c r="Z911" t="s">
        <v>1179</v>
      </c>
      <c r="AA911" t="s">
        <v>2742</v>
      </c>
      <c r="AB911" t="s">
        <v>2742</v>
      </c>
      <c r="AC911" t="s">
        <v>2665</v>
      </c>
      <c r="AD911" t="s">
        <v>2054</v>
      </c>
      <c r="AE911" t="s">
        <v>2054</v>
      </c>
    </row>
    <row r="912" spans="1:31" x14ac:dyDescent="0.25">
      <c r="A912" t="s">
        <v>4497</v>
      </c>
      <c r="B912" t="s">
        <v>4498</v>
      </c>
      <c r="C912" t="s">
        <v>4499</v>
      </c>
      <c r="D912" t="s">
        <v>4498</v>
      </c>
      <c r="E912" t="s">
        <v>2666</v>
      </c>
      <c r="F912" t="s">
        <v>2666</v>
      </c>
      <c r="G912" t="s">
        <v>2666</v>
      </c>
      <c r="H912" t="s">
        <v>2054</v>
      </c>
      <c r="I912" t="s">
        <v>2778</v>
      </c>
      <c r="J912" t="s">
        <v>2054</v>
      </c>
      <c r="K912" t="s">
        <v>2665</v>
      </c>
      <c r="L912" t="s">
        <v>1179</v>
      </c>
      <c r="M912" t="s">
        <v>2827</v>
      </c>
      <c r="N912" t="s">
        <v>2665</v>
      </c>
      <c r="O912" t="s">
        <v>2828</v>
      </c>
      <c r="P912" t="s">
        <v>2671</v>
      </c>
      <c r="Q912" t="s">
        <v>2672</v>
      </c>
      <c r="R912" t="s">
        <v>2665</v>
      </c>
      <c r="S912" t="s">
        <v>2779</v>
      </c>
      <c r="T912" t="s">
        <v>2780</v>
      </c>
      <c r="U912" t="s">
        <v>2665</v>
      </c>
      <c r="V912" t="s">
        <v>4495</v>
      </c>
      <c r="W912" t="s">
        <v>4496</v>
      </c>
      <c r="X912" t="s">
        <v>2665</v>
      </c>
      <c r="Y912" t="s">
        <v>2054</v>
      </c>
      <c r="Z912" t="s">
        <v>1179</v>
      </c>
      <c r="AA912" t="s">
        <v>2742</v>
      </c>
      <c r="AB912" t="s">
        <v>2742</v>
      </c>
      <c r="AC912" t="s">
        <v>2665</v>
      </c>
      <c r="AD912" t="s">
        <v>2054</v>
      </c>
      <c r="AE912" t="s">
        <v>2054</v>
      </c>
    </row>
    <row r="913" spans="1:31" x14ac:dyDescent="0.25">
      <c r="A913" t="s">
        <v>4500</v>
      </c>
      <c r="B913" t="s">
        <v>4501</v>
      </c>
      <c r="C913" t="s">
        <v>4502</v>
      </c>
      <c r="D913" t="s">
        <v>4501</v>
      </c>
      <c r="E913" t="s">
        <v>2666</v>
      </c>
      <c r="F913" t="s">
        <v>2666</v>
      </c>
      <c r="G913" t="s">
        <v>2666</v>
      </c>
      <c r="H913" t="s">
        <v>2054</v>
      </c>
      <c r="I913" t="s">
        <v>2778</v>
      </c>
      <c r="J913" t="s">
        <v>2054</v>
      </c>
      <c r="K913" t="s">
        <v>2665</v>
      </c>
      <c r="L913" t="s">
        <v>1179</v>
      </c>
      <c r="M913" t="s">
        <v>2827</v>
      </c>
      <c r="N913" t="s">
        <v>2665</v>
      </c>
      <c r="O913" t="s">
        <v>2828</v>
      </c>
      <c r="P913" t="s">
        <v>2671</v>
      </c>
      <c r="Q913" t="s">
        <v>2672</v>
      </c>
      <c r="R913" t="s">
        <v>2665</v>
      </c>
      <c r="S913" t="s">
        <v>2779</v>
      </c>
      <c r="T913" t="s">
        <v>2780</v>
      </c>
      <c r="U913" t="s">
        <v>2665</v>
      </c>
      <c r="V913" t="s">
        <v>4495</v>
      </c>
      <c r="W913" t="s">
        <v>4496</v>
      </c>
      <c r="X913" t="s">
        <v>2665</v>
      </c>
      <c r="Y913" t="s">
        <v>2054</v>
      </c>
      <c r="Z913" t="s">
        <v>1179</v>
      </c>
      <c r="AA913" t="s">
        <v>2742</v>
      </c>
      <c r="AB913" t="s">
        <v>2742</v>
      </c>
      <c r="AC913" t="s">
        <v>2665</v>
      </c>
      <c r="AD913" t="s">
        <v>2054</v>
      </c>
      <c r="AE913" t="s">
        <v>2054</v>
      </c>
    </row>
    <row r="914" spans="1:31" x14ac:dyDescent="0.25">
      <c r="A914" t="s">
        <v>4503</v>
      </c>
      <c r="B914" t="s">
        <v>4504</v>
      </c>
      <c r="C914" t="s">
        <v>4505</v>
      </c>
      <c r="D914" t="s">
        <v>4504</v>
      </c>
      <c r="E914" t="s">
        <v>2666</v>
      </c>
      <c r="F914" t="s">
        <v>2666</v>
      </c>
      <c r="G914" t="s">
        <v>2666</v>
      </c>
      <c r="H914" t="s">
        <v>2054</v>
      </c>
      <c r="I914" t="s">
        <v>2778</v>
      </c>
      <c r="J914" t="s">
        <v>2054</v>
      </c>
      <c r="K914" t="s">
        <v>2665</v>
      </c>
      <c r="L914" t="s">
        <v>1179</v>
      </c>
      <c r="M914" t="s">
        <v>2827</v>
      </c>
      <c r="N914" t="s">
        <v>2665</v>
      </c>
      <c r="O914" t="s">
        <v>2828</v>
      </c>
      <c r="P914" t="s">
        <v>2671</v>
      </c>
      <c r="Q914" t="s">
        <v>2672</v>
      </c>
      <c r="R914" t="s">
        <v>2665</v>
      </c>
      <c r="S914" t="s">
        <v>2779</v>
      </c>
      <c r="T914" t="s">
        <v>2780</v>
      </c>
      <c r="U914" t="s">
        <v>2665</v>
      </c>
      <c r="V914" t="s">
        <v>4495</v>
      </c>
      <c r="W914" t="s">
        <v>4496</v>
      </c>
      <c r="X914" t="s">
        <v>2665</v>
      </c>
      <c r="Y914" t="s">
        <v>2054</v>
      </c>
      <c r="Z914" t="s">
        <v>1179</v>
      </c>
      <c r="AA914" t="s">
        <v>2742</v>
      </c>
      <c r="AB914" t="s">
        <v>2742</v>
      </c>
      <c r="AC914" t="s">
        <v>2665</v>
      </c>
      <c r="AD914" t="s">
        <v>2054</v>
      </c>
      <c r="AE914" t="s">
        <v>2726</v>
      </c>
    </row>
    <row r="915" spans="1:31" x14ac:dyDescent="0.25">
      <c r="A915" t="s">
        <v>4506</v>
      </c>
      <c r="B915" t="s">
        <v>4507</v>
      </c>
      <c r="C915" t="s">
        <v>4508</v>
      </c>
      <c r="D915" t="s">
        <v>4507</v>
      </c>
      <c r="E915" t="s">
        <v>2666</v>
      </c>
      <c r="F915" t="s">
        <v>2666</v>
      </c>
      <c r="G915" t="s">
        <v>2666</v>
      </c>
      <c r="H915" t="s">
        <v>2054</v>
      </c>
      <c r="I915" t="s">
        <v>2741</v>
      </c>
      <c r="J915" t="s">
        <v>2054</v>
      </c>
      <c r="K915" t="s">
        <v>2665</v>
      </c>
      <c r="L915" t="s">
        <v>1136</v>
      </c>
      <c r="M915" t="s">
        <v>2827</v>
      </c>
      <c r="N915" t="s">
        <v>2665</v>
      </c>
      <c r="O915" t="s">
        <v>2828</v>
      </c>
      <c r="P915" t="s">
        <v>2671</v>
      </c>
      <c r="Q915" t="s">
        <v>2672</v>
      </c>
      <c r="R915" t="s">
        <v>2665</v>
      </c>
      <c r="S915" t="s">
        <v>2779</v>
      </c>
      <c r="T915" t="s">
        <v>2780</v>
      </c>
      <c r="U915" t="s">
        <v>2665</v>
      </c>
      <c r="V915" t="s">
        <v>4495</v>
      </c>
      <c r="W915" t="s">
        <v>4496</v>
      </c>
      <c r="X915" t="s">
        <v>2665</v>
      </c>
      <c r="Y915" t="s">
        <v>2054</v>
      </c>
      <c r="Z915" t="s">
        <v>1136</v>
      </c>
      <c r="AA915" t="s">
        <v>2742</v>
      </c>
      <c r="AB915" t="s">
        <v>2742</v>
      </c>
      <c r="AC915" t="s">
        <v>2665</v>
      </c>
      <c r="AD915" t="s">
        <v>2054</v>
      </c>
      <c r="AE915" t="s">
        <v>2726</v>
      </c>
    </row>
    <row r="916" spans="1:31" x14ac:dyDescent="0.25">
      <c r="A916" t="s">
        <v>4509</v>
      </c>
      <c r="B916" t="s">
        <v>4510</v>
      </c>
      <c r="C916" t="s">
        <v>4511</v>
      </c>
      <c r="D916" t="s">
        <v>4510</v>
      </c>
      <c r="E916" t="s">
        <v>2666</v>
      </c>
      <c r="F916" t="s">
        <v>2666</v>
      </c>
      <c r="G916" t="s">
        <v>2666</v>
      </c>
      <c r="H916" t="s">
        <v>2054</v>
      </c>
      <c r="I916" t="s">
        <v>2741</v>
      </c>
      <c r="J916" t="s">
        <v>2054</v>
      </c>
      <c r="K916" t="s">
        <v>2665</v>
      </c>
      <c r="L916" t="s">
        <v>1136</v>
      </c>
      <c r="M916" t="s">
        <v>2827</v>
      </c>
      <c r="N916" t="s">
        <v>2665</v>
      </c>
      <c r="O916" t="s">
        <v>2828</v>
      </c>
      <c r="P916" t="s">
        <v>2671</v>
      </c>
      <c r="Q916" t="s">
        <v>2672</v>
      </c>
      <c r="R916" t="s">
        <v>2665</v>
      </c>
      <c r="S916" t="s">
        <v>2779</v>
      </c>
      <c r="T916" t="s">
        <v>2780</v>
      </c>
      <c r="U916" t="s">
        <v>2665</v>
      </c>
      <c r="V916" t="s">
        <v>4495</v>
      </c>
      <c r="W916" t="s">
        <v>4496</v>
      </c>
      <c r="X916" t="s">
        <v>2665</v>
      </c>
      <c r="Y916" t="s">
        <v>2054</v>
      </c>
      <c r="Z916" t="s">
        <v>1136</v>
      </c>
      <c r="AA916" t="s">
        <v>2742</v>
      </c>
      <c r="AB916" t="s">
        <v>2742</v>
      </c>
      <c r="AC916" t="s">
        <v>2665</v>
      </c>
      <c r="AD916" t="s">
        <v>2054</v>
      </c>
      <c r="AE916" t="s">
        <v>2726</v>
      </c>
    </row>
    <row r="917" spans="1:31" x14ac:dyDescent="0.25">
      <c r="A917" t="s">
        <v>4512</v>
      </c>
      <c r="B917" t="s">
        <v>4513</v>
      </c>
      <c r="C917" t="s">
        <v>4514</v>
      </c>
      <c r="D917" t="s">
        <v>4513</v>
      </c>
      <c r="E917" t="s">
        <v>2666</v>
      </c>
      <c r="F917" t="s">
        <v>2666</v>
      </c>
      <c r="G917" t="s">
        <v>2666</v>
      </c>
      <c r="H917" t="s">
        <v>2054</v>
      </c>
      <c r="I917" t="s">
        <v>2741</v>
      </c>
      <c r="J917" t="s">
        <v>2054</v>
      </c>
      <c r="K917" t="s">
        <v>2665</v>
      </c>
      <c r="L917" t="s">
        <v>1136</v>
      </c>
      <c r="M917" t="s">
        <v>2827</v>
      </c>
      <c r="N917" t="s">
        <v>2665</v>
      </c>
      <c r="O917" t="s">
        <v>2828</v>
      </c>
      <c r="P917" t="s">
        <v>2671</v>
      </c>
      <c r="Q917" t="s">
        <v>2672</v>
      </c>
      <c r="R917" t="s">
        <v>2665</v>
      </c>
      <c r="S917" t="s">
        <v>2779</v>
      </c>
      <c r="T917" t="s">
        <v>2780</v>
      </c>
      <c r="U917" t="s">
        <v>2665</v>
      </c>
      <c r="V917" t="s">
        <v>4495</v>
      </c>
      <c r="W917" t="s">
        <v>4496</v>
      </c>
      <c r="X917" t="s">
        <v>2665</v>
      </c>
      <c r="Y917" t="s">
        <v>2054</v>
      </c>
      <c r="Z917" t="s">
        <v>1136</v>
      </c>
      <c r="AA917" t="s">
        <v>2742</v>
      </c>
      <c r="AB917" t="s">
        <v>2742</v>
      </c>
      <c r="AC917" t="s">
        <v>2665</v>
      </c>
      <c r="AD917" t="s">
        <v>2054</v>
      </c>
      <c r="AE917" t="s">
        <v>2726</v>
      </c>
    </row>
    <row r="918" spans="1:31" x14ac:dyDescent="0.25">
      <c r="A918" t="s">
        <v>4515</v>
      </c>
      <c r="B918" t="s">
        <v>4516</v>
      </c>
      <c r="C918" t="s">
        <v>4517</v>
      </c>
      <c r="D918" t="s">
        <v>4516</v>
      </c>
      <c r="E918" t="s">
        <v>2666</v>
      </c>
      <c r="F918" t="s">
        <v>2666</v>
      </c>
      <c r="G918" t="s">
        <v>2666</v>
      </c>
      <c r="H918" t="s">
        <v>2054</v>
      </c>
      <c r="I918" t="s">
        <v>2741</v>
      </c>
      <c r="J918" t="s">
        <v>2054</v>
      </c>
      <c r="K918" t="s">
        <v>2665</v>
      </c>
      <c r="L918" t="s">
        <v>1136</v>
      </c>
      <c r="M918" t="s">
        <v>2827</v>
      </c>
      <c r="N918" t="s">
        <v>2665</v>
      </c>
      <c r="O918" t="s">
        <v>2828</v>
      </c>
      <c r="P918" t="s">
        <v>2671</v>
      </c>
      <c r="Q918" t="s">
        <v>2672</v>
      </c>
      <c r="R918" t="s">
        <v>2665</v>
      </c>
      <c r="S918" t="s">
        <v>2779</v>
      </c>
      <c r="T918" t="s">
        <v>2780</v>
      </c>
      <c r="U918" t="s">
        <v>2665</v>
      </c>
      <c r="V918" t="s">
        <v>4495</v>
      </c>
      <c r="W918" t="s">
        <v>4496</v>
      </c>
      <c r="X918" t="s">
        <v>2665</v>
      </c>
      <c r="Y918" t="s">
        <v>2054</v>
      </c>
      <c r="Z918" t="s">
        <v>1136</v>
      </c>
      <c r="AA918" t="s">
        <v>2742</v>
      </c>
      <c r="AB918" t="s">
        <v>2742</v>
      </c>
      <c r="AC918" t="s">
        <v>2665</v>
      </c>
      <c r="AD918" t="s">
        <v>2054</v>
      </c>
      <c r="AE918" t="s">
        <v>2726</v>
      </c>
    </row>
    <row r="919" spans="1:31" x14ac:dyDescent="0.25">
      <c r="A919" t="s">
        <v>4518</v>
      </c>
      <c r="B919" t="s">
        <v>4519</v>
      </c>
      <c r="C919" t="s">
        <v>4520</v>
      </c>
      <c r="D919" t="s">
        <v>4519</v>
      </c>
      <c r="E919" t="s">
        <v>2666</v>
      </c>
      <c r="F919" t="s">
        <v>2666</v>
      </c>
      <c r="G919" t="s">
        <v>2666</v>
      </c>
      <c r="H919" t="s">
        <v>2054</v>
      </c>
      <c r="I919" t="s">
        <v>2741</v>
      </c>
      <c r="J919" t="s">
        <v>2054</v>
      </c>
      <c r="K919" t="s">
        <v>2665</v>
      </c>
      <c r="L919" t="s">
        <v>1136</v>
      </c>
      <c r="M919" t="s">
        <v>2827</v>
      </c>
      <c r="N919" t="s">
        <v>2665</v>
      </c>
      <c r="O919" t="s">
        <v>2828</v>
      </c>
      <c r="P919" t="s">
        <v>2671</v>
      </c>
      <c r="Q919" t="s">
        <v>2672</v>
      </c>
      <c r="R919" t="s">
        <v>2665</v>
      </c>
      <c r="S919" t="s">
        <v>2779</v>
      </c>
      <c r="T919" t="s">
        <v>2780</v>
      </c>
      <c r="U919" t="s">
        <v>2665</v>
      </c>
      <c r="V919" t="s">
        <v>4495</v>
      </c>
      <c r="W919" t="s">
        <v>4496</v>
      </c>
      <c r="X919" t="s">
        <v>2665</v>
      </c>
      <c r="Y919" t="s">
        <v>2054</v>
      </c>
      <c r="Z919" t="s">
        <v>1136</v>
      </c>
      <c r="AA919" t="s">
        <v>2742</v>
      </c>
      <c r="AB919" t="s">
        <v>2742</v>
      </c>
      <c r="AC919" t="s">
        <v>2665</v>
      </c>
      <c r="AD919" t="s">
        <v>2054</v>
      </c>
      <c r="AE919" t="s">
        <v>2726</v>
      </c>
    </row>
    <row r="920" spans="1:31" x14ac:dyDescent="0.25">
      <c r="A920" t="s">
        <v>4521</v>
      </c>
      <c r="B920" t="s">
        <v>4522</v>
      </c>
      <c r="C920" t="s">
        <v>4523</v>
      </c>
      <c r="D920" t="s">
        <v>4522</v>
      </c>
      <c r="E920" t="s">
        <v>2666</v>
      </c>
      <c r="F920" t="s">
        <v>2666</v>
      </c>
      <c r="G920" t="s">
        <v>2666</v>
      </c>
      <c r="H920" t="s">
        <v>2054</v>
      </c>
      <c r="I920" t="s">
        <v>2741</v>
      </c>
      <c r="J920" t="s">
        <v>2054</v>
      </c>
      <c r="K920" t="s">
        <v>2665</v>
      </c>
      <c r="L920" t="s">
        <v>1136</v>
      </c>
      <c r="M920" t="s">
        <v>2827</v>
      </c>
      <c r="N920" t="s">
        <v>2665</v>
      </c>
      <c r="O920" t="s">
        <v>2828</v>
      </c>
      <c r="P920" t="s">
        <v>2671</v>
      </c>
      <c r="Q920" t="s">
        <v>2672</v>
      </c>
      <c r="R920" t="s">
        <v>2665</v>
      </c>
      <c r="S920" t="s">
        <v>2779</v>
      </c>
      <c r="T920" t="s">
        <v>2780</v>
      </c>
      <c r="U920" t="s">
        <v>2665</v>
      </c>
      <c r="V920" t="s">
        <v>4495</v>
      </c>
      <c r="W920" t="s">
        <v>4496</v>
      </c>
      <c r="X920" t="s">
        <v>2665</v>
      </c>
      <c r="Y920" t="s">
        <v>2054</v>
      </c>
      <c r="Z920" t="s">
        <v>1136</v>
      </c>
      <c r="AA920" t="s">
        <v>2742</v>
      </c>
      <c r="AB920" t="s">
        <v>2742</v>
      </c>
      <c r="AC920" t="s">
        <v>2665</v>
      </c>
      <c r="AD920" t="s">
        <v>2054</v>
      </c>
      <c r="AE920" t="s">
        <v>2726</v>
      </c>
    </row>
    <row r="921" spans="1:31" x14ac:dyDescent="0.25">
      <c r="A921" t="s">
        <v>4524</v>
      </c>
      <c r="B921" t="s">
        <v>4525</v>
      </c>
      <c r="C921" t="s">
        <v>4526</v>
      </c>
      <c r="D921" t="s">
        <v>4525</v>
      </c>
      <c r="E921" t="s">
        <v>2666</v>
      </c>
      <c r="F921" t="s">
        <v>2666</v>
      </c>
      <c r="G921" t="s">
        <v>2666</v>
      </c>
      <c r="H921" t="s">
        <v>2054</v>
      </c>
      <c r="I921" t="s">
        <v>2741</v>
      </c>
      <c r="J921" t="s">
        <v>2054</v>
      </c>
      <c r="K921" t="s">
        <v>2665</v>
      </c>
      <c r="L921" t="s">
        <v>1136</v>
      </c>
      <c r="M921" t="s">
        <v>2827</v>
      </c>
      <c r="N921" t="s">
        <v>2665</v>
      </c>
      <c r="O921" t="s">
        <v>2828</v>
      </c>
      <c r="P921" t="s">
        <v>2671</v>
      </c>
      <c r="Q921" t="s">
        <v>2672</v>
      </c>
      <c r="R921" t="s">
        <v>2665</v>
      </c>
      <c r="S921" t="s">
        <v>2779</v>
      </c>
      <c r="T921" t="s">
        <v>2780</v>
      </c>
      <c r="U921" t="s">
        <v>2665</v>
      </c>
      <c r="V921" t="s">
        <v>4495</v>
      </c>
      <c r="W921" t="s">
        <v>4496</v>
      </c>
      <c r="X921" t="s">
        <v>2665</v>
      </c>
      <c r="Y921" t="s">
        <v>2054</v>
      </c>
      <c r="Z921" t="s">
        <v>1136</v>
      </c>
      <c r="AA921" t="s">
        <v>2742</v>
      </c>
      <c r="AB921" t="s">
        <v>2742</v>
      </c>
      <c r="AC921" t="s">
        <v>2665</v>
      </c>
      <c r="AD921" t="s">
        <v>2054</v>
      </c>
      <c r="AE921" t="s">
        <v>2726</v>
      </c>
    </row>
    <row r="922" spans="1:31" x14ac:dyDescent="0.25">
      <c r="A922" t="s">
        <v>4527</v>
      </c>
      <c r="B922" t="s">
        <v>4528</v>
      </c>
      <c r="C922" t="s">
        <v>4529</v>
      </c>
      <c r="D922" t="s">
        <v>4528</v>
      </c>
      <c r="E922" t="s">
        <v>2666</v>
      </c>
      <c r="F922" t="s">
        <v>2666</v>
      </c>
      <c r="G922" t="s">
        <v>2666</v>
      </c>
      <c r="H922" t="s">
        <v>2054</v>
      </c>
      <c r="I922" t="s">
        <v>2741</v>
      </c>
      <c r="J922" t="s">
        <v>2054</v>
      </c>
      <c r="K922" t="s">
        <v>2665</v>
      </c>
      <c r="L922" t="s">
        <v>1136</v>
      </c>
      <c r="M922" t="s">
        <v>2827</v>
      </c>
      <c r="N922" t="s">
        <v>2665</v>
      </c>
      <c r="O922" t="s">
        <v>2828</v>
      </c>
      <c r="P922" t="s">
        <v>2671</v>
      </c>
      <c r="Q922" t="s">
        <v>2672</v>
      </c>
      <c r="R922" t="s">
        <v>2665</v>
      </c>
      <c r="S922" t="s">
        <v>2779</v>
      </c>
      <c r="T922" t="s">
        <v>2780</v>
      </c>
      <c r="U922" t="s">
        <v>2665</v>
      </c>
      <c r="V922" t="s">
        <v>4495</v>
      </c>
      <c r="W922" t="s">
        <v>4496</v>
      </c>
      <c r="X922" t="s">
        <v>2665</v>
      </c>
      <c r="Y922" t="s">
        <v>2054</v>
      </c>
      <c r="Z922" t="s">
        <v>1136</v>
      </c>
      <c r="AA922" t="s">
        <v>2742</v>
      </c>
      <c r="AB922" t="s">
        <v>2742</v>
      </c>
      <c r="AC922" t="s">
        <v>2665</v>
      </c>
      <c r="AD922" t="s">
        <v>2054</v>
      </c>
      <c r="AE922" t="s">
        <v>2726</v>
      </c>
    </row>
    <row r="923" spans="1:31" x14ac:dyDescent="0.25">
      <c r="A923" t="s">
        <v>4530</v>
      </c>
      <c r="B923" t="s">
        <v>4531</v>
      </c>
      <c r="C923" t="s">
        <v>4532</v>
      </c>
      <c r="D923" t="s">
        <v>4531</v>
      </c>
      <c r="E923" t="s">
        <v>2666</v>
      </c>
      <c r="F923" t="s">
        <v>2666</v>
      </c>
      <c r="G923" t="s">
        <v>2666</v>
      </c>
      <c r="H923" t="s">
        <v>2054</v>
      </c>
      <c r="I923" t="s">
        <v>2741</v>
      </c>
      <c r="J923" t="s">
        <v>2054</v>
      </c>
      <c r="K923" t="s">
        <v>2665</v>
      </c>
      <c r="L923" t="s">
        <v>1136</v>
      </c>
      <c r="M923" t="s">
        <v>2827</v>
      </c>
      <c r="N923" t="s">
        <v>2665</v>
      </c>
      <c r="O923" t="s">
        <v>2828</v>
      </c>
      <c r="P923" t="s">
        <v>2671</v>
      </c>
      <c r="Q923" t="s">
        <v>2672</v>
      </c>
      <c r="R923" t="s">
        <v>2665</v>
      </c>
      <c r="S923" t="s">
        <v>2779</v>
      </c>
      <c r="T923" t="s">
        <v>2780</v>
      </c>
      <c r="U923" t="s">
        <v>2665</v>
      </c>
      <c r="V923" t="s">
        <v>4495</v>
      </c>
      <c r="W923" t="s">
        <v>4496</v>
      </c>
      <c r="X923" t="s">
        <v>2665</v>
      </c>
      <c r="Y923" t="s">
        <v>2054</v>
      </c>
      <c r="Z923" t="s">
        <v>1136</v>
      </c>
      <c r="AA923" t="s">
        <v>2742</v>
      </c>
      <c r="AB923" t="s">
        <v>2742</v>
      </c>
      <c r="AC923" t="s">
        <v>2665</v>
      </c>
      <c r="AD923" t="s">
        <v>2054</v>
      </c>
      <c r="AE923" t="s">
        <v>2726</v>
      </c>
    </row>
    <row r="924" spans="1:31" x14ac:dyDescent="0.25">
      <c r="A924" t="s">
        <v>4533</v>
      </c>
      <c r="B924" t="s">
        <v>4534</v>
      </c>
      <c r="C924" t="s">
        <v>4535</v>
      </c>
      <c r="D924" t="s">
        <v>4534</v>
      </c>
      <c r="E924" t="s">
        <v>2666</v>
      </c>
      <c r="F924" t="s">
        <v>2666</v>
      </c>
      <c r="G924" t="s">
        <v>2666</v>
      </c>
      <c r="H924" t="s">
        <v>2054</v>
      </c>
      <c r="I924" t="s">
        <v>2741</v>
      </c>
      <c r="J924" t="s">
        <v>2054</v>
      </c>
      <c r="K924" t="s">
        <v>2665</v>
      </c>
      <c r="L924" t="s">
        <v>1136</v>
      </c>
      <c r="M924" t="s">
        <v>2827</v>
      </c>
      <c r="N924" t="s">
        <v>2665</v>
      </c>
      <c r="O924" t="s">
        <v>2828</v>
      </c>
      <c r="P924" t="s">
        <v>2671</v>
      </c>
      <c r="Q924" t="s">
        <v>2672</v>
      </c>
      <c r="R924" t="s">
        <v>2665</v>
      </c>
      <c r="S924" t="s">
        <v>2779</v>
      </c>
      <c r="T924" t="s">
        <v>2780</v>
      </c>
      <c r="U924" t="s">
        <v>2665</v>
      </c>
      <c r="V924" t="s">
        <v>4495</v>
      </c>
      <c r="W924" t="s">
        <v>4496</v>
      </c>
      <c r="X924" t="s">
        <v>2665</v>
      </c>
      <c r="Y924" t="s">
        <v>2054</v>
      </c>
      <c r="Z924" t="s">
        <v>1136</v>
      </c>
      <c r="AA924" t="s">
        <v>2742</v>
      </c>
      <c r="AB924" t="s">
        <v>2742</v>
      </c>
      <c r="AC924" t="s">
        <v>2665</v>
      </c>
      <c r="AD924" t="s">
        <v>2054</v>
      </c>
      <c r="AE924" t="s">
        <v>2726</v>
      </c>
    </row>
    <row r="925" spans="1:31" x14ac:dyDescent="0.25">
      <c r="A925" t="s">
        <v>4536</v>
      </c>
      <c r="B925" t="s">
        <v>4537</v>
      </c>
      <c r="C925" t="s">
        <v>3598</v>
      </c>
      <c r="D925" t="s">
        <v>4537</v>
      </c>
      <c r="E925" t="s">
        <v>2666</v>
      </c>
      <c r="F925" t="s">
        <v>2666</v>
      </c>
      <c r="G925" t="s">
        <v>2666</v>
      </c>
      <c r="H925" t="s">
        <v>2054</v>
      </c>
      <c r="I925" t="s">
        <v>2741</v>
      </c>
      <c r="J925" t="s">
        <v>2054</v>
      </c>
      <c r="K925" t="s">
        <v>2665</v>
      </c>
      <c r="L925" t="s">
        <v>1136</v>
      </c>
      <c r="M925" t="s">
        <v>2827</v>
      </c>
      <c r="N925" t="s">
        <v>2665</v>
      </c>
      <c r="O925" t="s">
        <v>2828</v>
      </c>
      <c r="P925" t="s">
        <v>2671</v>
      </c>
      <c r="Q925" t="s">
        <v>2672</v>
      </c>
      <c r="R925" t="s">
        <v>2665</v>
      </c>
      <c r="S925" t="s">
        <v>2779</v>
      </c>
      <c r="T925" t="s">
        <v>2780</v>
      </c>
      <c r="U925" t="s">
        <v>2665</v>
      </c>
      <c r="V925" t="s">
        <v>4495</v>
      </c>
      <c r="W925" t="s">
        <v>4496</v>
      </c>
      <c r="X925" t="s">
        <v>2665</v>
      </c>
      <c r="Y925" t="s">
        <v>2054</v>
      </c>
      <c r="Z925" t="s">
        <v>1136</v>
      </c>
      <c r="AA925" t="s">
        <v>2742</v>
      </c>
      <c r="AB925" t="s">
        <v>2742</v>
      </c>
      <c r="AC925" t="s">
        <v>2665</v>
      </c>
      <c r="AD925" t="s">
        <v>2054</v>
      </c>
      <c r="AE925" t="s">
        <v>2054</v>
      </c>
    </row>
    <row r="926" spans="1:31" x14ac:dyDescent="0.25">
      <c r="A926" t="s">
        <v>4538</v>
      </c>
      <c r="B926" t="s">
        <v>4539</v>
      </c>
      <c r="C926" t="s">
        <v>4540</v>
      </c>
      <c r="D926" t="s">
        <v>4539</v>
      </c>
      <c r="E926" t="s">
        <v>2666</v>
      </c>
      <c r="F926" t="s">
        <v>2666</v>
      </c>
      <c r="G926" t="s">
        <v>2666</v>
      </c>
      <c r="H926" t="s">
        <v>2054</v>
      </c>
      <c r="I926" t="s">
        <v>2741</v>
      </c>
      <c r="J926" t="s">
        <v>2054</v>
      </c>
      <c r="K926" t="s">
        <v>2665</v>
      </c>
      <c r="L926" t="s">
        <v>1136</v>
      </c>
      <c r="M926" t="s">
        <v>2827</v>
      </c>
      <c r="N926" t="s">
        <v>2665</v>
      </c>
      <c r="O926" t="s">
        <v>2828</v>
      </c>
      <c r="P926" t="s">
        <v>2671</v>
      </c>
      <c r="Q926" t="s">
        <v>2672</v>
      </c>
      <c r="R926" t="s">
        <v>2665</v>
      </c>
      <c r="S926" t="s">
        <v>2779</v>
      </c>
      <c r="T926" t="s">
        <v>2780</v>
      </c>
      <c r="U926" t="s">
        <v>2665</v>
      </c>
      <c r="V926" t="s">
        <v>4495</v>
      </c>
      <c r="W926" t="s">
        <v>4496</v>
      </c>
      <c r="X926" t="s">
        <v>2665</v>
      </c>
      <c r="Y926" t="s">
        <v>2054</v>
      </c>
      <c r="Z926" t="s">
        <v>1136</v>
      </c>
      <c r="AA926" t="s">
        <v>2742</v>
      </c>
      <c r="AB926" t="s">
        <v>2742</v>
      </c>
      <c r="AC926" t="s">
        <v>2665</v>
      </c>
      <c r="AD926" t="s">
        <v>2054</v>
      </c>
      <c r="AE926" t="s">
        <v>2054</v>
      </c>
    </row>
    <row r="927" spans="1:31" x14ac:dyDescent="0.25">
      <c r="A927" t="s">
        <v>4541</v>
      </c>
      <c r="B927" t="s">
        <v>4542</v>
      </c>
      <c r="C927" t="s">
        <v>4543</v>
      </c>
      <c r="D927" t="s">
        <v>4542</v>
      </c>
      <c r="E927" t="s">
        <v>2666</v>
      </c>
      <c r="F927" t="s">
        <v>2666</v>
      </c>
      <c r="G927" t="s">
        <v>2666</v>
      </c>
      <c r="H927" t="s">
        <v>2054</v>
      </c>
      <c r="I927" t="s">
        <v>2741</v>
      </c>
      <c r="J927" t="s">
        <v>2054</v>
      </c>
      <c r="K927" t="s">
        <v>2665</v>
      </c>
      <c r="L927" t="s">
        <v>1136</v>
      </c>
      <c r="M927" t="s">
        <v>2827</v>
      </c>
      <c r="N927" t="s">
        <v>2665</v>
      </c>
      <c r="O927" t="s">
        <v>2828</v>
      </c>
      <c r="P927" t="s">
        <v>2671</v>
      </c>
      <c r="Q927" t="s">
        <v>2672</v>
      </c>
      <c r="R927" t="s">
        <v>2665</v>
      </c>
      <c r="S927" t="s">
        <v>2779</v>
      </c>
      <c r="T927" t="s">
        <v>2780</v>
      </c>
      <c r="U927" t="s">
        <v>2665</v>
      </c>
      <c r="V927" t="s">
        <v>4495</v>
      </c>
      <c r="W927" t="s">
        <v>4496</v>
      </c>
      <c r="X927" t="s">
        <v>2665</v>
      </c>
      <c r="Y927" t="s">
        <v>2054</v>
      </c>
      <c r="Z927" t="s">
        <v>1136</v>
      </c>
      <c r="AA927" t="s">
        <v>2742</v>
      </c>
      <c r="AB927" t="s">
        <v>2742</v>
      </c>
      <c r="AC927" t="s">
        <v>2665</v>
      </c>
      <c r="AD927" t="s">
        <v>2054</v>
      </c>
      <c r="AE927" t="s">
        <v>2054</v>
      </c>
    </row>
    <row r="928" spans="1:31" x14ac:dyDescent="0.25">
      <c r="A928" t="s">
        <v>4544</v>
      </c>
      <c r="B928" t="s">
        <v>4545</v>
      </c>
      <c r="C928" t="s">
        <v>4546</v>
      </c>
      <c r="D928" t="s">
        <v>4545</v>
      </c>
      <c r="E928" t="s">
        <v>2666</v>
      </c>
      <c r="F928" t="s">
        <v>2666</v>
      </c>
      <c r="G928" t="s">
        <v>2666</v>
      </c>
      <c r="H928" t="s">
        <v>2054</v>
      </c>
      <c r="I928" t="s">
        <v>2741</v>
      </c>
      <c r="J928" t="s">
        <v>2054</v>
      </c>
      <c r="K928" t="s">
        <v>2665</v>
      </c>
      <c r="L928" t="s">
        <v>1136</v>
      </c>
      <c r="M928" t="s">
        <v>2827</v>
      </c>
      <c r="N928" t="s">
        <v>2665</v>
      </c>
      <c r="O928" t="s">
        <v>2828</v>
      </c>
      <c r="P928" t="s">
        <v>2671</v>
      </c>
      <c r="Q928" t="s">
        <v>2672</v>
      </c>
      <c r="R928" t="s">
        <v>2665</v>
      </c>
      <c r="S928" t="s">
        <v>2779</v>
      </c>
      <c r="T928" t="s">
        <v>2780</v>
      </c>
      <c r="U928" t="s">
        <v>2665</v>
      </c>
      <c r="V928" t="s">
        <v>4495</v>
      </c>
      <c r="W928" t="s">
        <v>4496</v>
      </c>
      <c r="X928" t="s">
        <v>2665</v>
      </c>
      <c r="Y928" t="s">
        <v>2054</v>
      </c>
      <c r="Z928" t="s">
        <v>1136</v>
      </c>
      <c r="AA928" t="s">
        <v>2742</v>
      </c>
      <c r="AB928" t="s">
        <v>2742</v>
      </c>
      <c r="AC928" t="s">
        <v>2665</v>
      </c>
      <c r="AD928" t="s">
        <v>2054</v>
      </c>
      <c r="AE928" t="s">
        <v>2054</v>
      </c>
    </row>
    <row r="929" spans="1:31" x14ac:dyDescent="0.25">
      <c r="A929" t="s">
        <v>4547</v>
      </c>
      <c r="B929" t="s">
        <v>4548</v>
      </c>
      <c r="C929" t="s">
        <v>4549</v>
      </c>
      <c r="D929" t="s">
        <v>4548</v>
      </c>
      <c r="E929" t="s">
        <v>2666</v>
      </c>
      <c r="F929" t="s">
        <v>2666</v>
      </c>
      <c r="G929" t="s">
        <v>2666</v>
      </c>
      <c r="H929" t="s">
        <v>2054</v>
      </c>
      <c r="I929" t="s">
        <v>2741</v>
      </c>
      <c r="J929" t="s">
        <v>2054</v>
      </c>
      <c r="K929" t="s">
        <v>2665</v>
      </c>
      <c r="L929" t="s">
        <v>1136</v>
      </c>
      <c r="M929" t="s">
        <v>2827</v>
      </c>
      <c r="N929" t="s">
        <v>2665</v>
      </c>
      <c r="O929" t="s">
        <v>2828</v>
      </c>
      <c r="P929" t="s">
        <v>2671</v>
      </c>
      <c r="Q929" t="s">
        <v>2672</v>
      </c>
      <c r="R929" t="s">
        <v>2665</v>
      </c>
      <c r="S929" t="s">
        <v>2779</v>
      </c>
      <c r="T929" t="s">
        <v>2780</v>
      </c>
      <c r="U929" t="s">
        <v>2665</v>
      </c>
      <c r="V929" t="s">
        <v>4495</v>
      </c>
      <c r="W929" t="s">
        <v>4496</v>
      </c>
      <c r="X929" t="s">
        <v>2665</v>
      </c>
      <c r="Y929" t="s">
        <v>2054</v>
      </c>
      <c r="Z929" t="s">
        <v>1136</v>
      </c>
      <c r="AA929" t="s">
        <v>2742</v>
      </c>
      <c r="AB929" t="s">
        <v>2742</v>
      </c>
      <c r="AC929" t="s">
        <v>2665</v>
      </c>
      <c r="AD929" t="s">
        <v>2054</v>
      </c>
      <c r="AE929" t="s">
        <v>2054</v>
      </c>
    </row>
    <row r="930" spans="1:31" x14ac:dyDescent="0.25">
      <c r="A930" t="s">
        <v>4550</v>
      </c>
      <c r="B930" t="s">
        <v>4551</v>
      </c>
      <c r="C930" t="s">
        <v>4552</v>
      </c>
      <c r="D930" t="s">
        <v>4551</v>
      </c>
      <c r="E930" t="s">
        <v>2666</v>
      </c>
      <c r="F930" t="s">
        <v>2666</v>
      </c>
      <c r="G930" t="s">
        <v>2666</v>
      </c>
      <c r="H930" t="s">
        <v>2054</v>
      </c>
      <c r="I930" t="s">
        <v>2778</v>
      </c>
      <c r="J930" t="s">
        <v>2054</v>
      </c>
      <c r="K930" t="s">
        <v>2665</v>
      </c>
      <c r="L930" t="s">
        <v>1179</v>
      </c>
      <c r="M930" t="s">
        <v>2827</v>
      </c>
      <c r="N930" t="s">
        <v>2665</v>
      </c>
      <c r="O930" t="s">
        <v>2828</v>
      </c>
      <c r="P930" t="s">
        <v>2671</v>
      </c>
      <c r="Q930" t="s">
        <v>2672</v>
      </c>
      <c r="R930" t="s">
        <v>2665</v>
      </c>
      <c r="S930" t="s">
        <v>2779</v>
      </c>
      <c r="T930" t="s">
        <v>2780</v>
      </c>
      <c r="U930" t="s">
        <v>2665</v>
      </c>
      <c r="V930" t="s">
        <v>4495</v>
      </c>
      <c r="W930" t="s">
        <v>4496</v>
      </c>
      <c r="X930" t="s">
        <v>2665</v>
      </c>
      <c r="Y930" t="s">
        <v>2054</v>
      </c>
      <c r="Z930" t="s">
        <v>1179</v>
      </c>
      <c r="AA930" t="s">
        <v>2742</v>
      </c>
      <c r="AB930" t="s">
        <v>2742</v>
      </c>
      <c r="AC930" t="s">
        <v>2665</v>
      </c>
      <c r="AD930" t="s">
        <v>2054</v>
      </c>
      <c r="AE930" t="s">
        <v>2054</v>
      </c>
    </row>
    <row r="931" spans="1:31" x14ac:dyDescent="0.25">
      <c r="A931" t="s">
        <v>4553</v>
      </c>
      <c r="B931" t="s">
        <v>4554</v>
      </c>
      <c r="C931" t="s">
        <v>4555</v>
      </c>
      <c r="D931" t="s">
        <v>4554</v>
      </c>
      <c r="E931" t="s">
        <v>2666</v>
      </c>
      <c r="F931" t="s">
        <v>2666</v>
      </c>
      <c r="G931" t="s">
        <v>2666</v>
      </c>
      <c r="H931" t="s">
        <v>2054</v>
      </c>
      <c r="I931" t="s">
        <v>2723</v>
      </c>
      <c r="J931" t="s">
        <v>2054</v>
      </c>
      <c r="K931" t="s">
        <v>2665</v>
      </c>
      <c r="L931" t="s">
        <v>1114</v>
      </c>
      <c r="M931" t="s">
        <v>2898</v>
      </c>
      <c r="N931" t="s">
        <v>2665</v>
      </c>
      <c r="O931" t="s">
        <v>2984</v>
      </c>
      <c r="P931" t="s">
        <v>3163</v>
      </c>
      <c r="Q931" t="s">
        <v>4176</v>
      </c>
      <c r="R931" t="s">
        <v>2665</v>
      </c>
      <c r="S931" t="s">
        <v>2779</v>
      </c>
      <c r="T931" t="s">
        <v>2780</v>
      </c>
      <c r="U931" t="s">
        <v>2665</v>
      </c>
      <c r="V931" t="s">
        <v>4192</v>
      </c>
      <c r="W931" t="s">
        <v>4193</v>
      </c>
      <c r="X931" t="s">
        <v>2665</v>
      </c>
      <c r="Y931" t="s">
        <v>2054</v>
      </c>
      <c r="Z931" t="s">
        <v>1114</v>
      </c>
      <c r="AA931" t="s">
        <v>2665</v>
      </c>
      <c r="AB931" t="s">
        <v>2665</v>
      </c>
      <c r="AC931" t="s">
        <v>2665</v>
      </c>
      <c r="AD931" t="s">
        <v>2054</v>
      </c>
      <c r="AE931" t="s">
        <v>2054</v>
      </c>
    </row>
    <row r="932" spans="1:31" x14ac:dyDescent="0.25">
      <c r="A932" t="s">
        <v>4556</v>
      </c>
      <c r="B932" t="s">
        <v>4557</v>
      </c>
      <c r="C932" t="s">
        <v>4558</v>
      </c>
      <c r="D932" t="s">
        <v>4557</v>
      </c>
      <c r="E932" t="s">
        <v>2666</v>
      </c>
      <c r="F932" t="s">
        <v>2666</v>
      </c>
      <c r="G932" t="s">
        <v>2666</v>
      </c>
      <c r="H932" t="s">
        <v>2054</v>
      </c>
      <c r="I932" t="s">
        <v>2741</v>
      </c>
      <c r="J932" t="s">
        <v>2054</v>
      </c>
      <c r="K932" t="s">
        <v>2665</v>
      </c>
      <c r="L932" t="s">
        <v>1136</v>
      </c>
      <c r="M932" t="s">
        <v>2898</v>
      </c>
      <c r="N932" t="s">
        <v>2665</v>
      </c>
      <c r="O932" t="s">
        <v>2984</v>
      </c>
      <c r="P932" t="s">
        <v>3163</v>
      </c>
      <c r="Q932" t="s">
        <v>4176</v>
      </c>
      <c r="R932" t="s">
        <v>2665</v>
      </c>
      <c r="S932" t="s">
        <v>2779</v>
      </c>
      <c r="T932" t="s">
        <v>2780</v>
      </c>
      <c r="U932" t="s">
        <v>2665</v>
      </c>
      <c r="V932" t="s">
        <v>4192</v>
      </c>
      <c r="W932" t="s">
        <v>4193</v>
      </c>
      <c r="X932" t="s">
        <v>2665</v>
      </c>
      <c r="Y932" t="s">
        <v>2054</v>
      </c>
      <c r="Z932" t="s">
        <v>1136</v>
      </c>
      <c r="AA932" t="s">
        <v>2791</v>
      </c>
      <c r="AB932" t="s">
        <v>2791</v>
      </c>
      <c r="AC932" t="s">
        <v>2665</v>
      </c>
      <c r="AD932" t="s">
        <v>2054</v>
      </c>
      <c r="AE932" t="s">
        <v>2054</v>
      </c>
    </row>
    <row r="933" spans="1:31" x14ac:dyDescent="0.25">
      <c r="A933" t="s">
        <v>4559</v>
      </c>
      <c r="B933" t="s">
        <v>4560</v>
      </c>
      <c r="C933" t="s">
        <v>4561</v>
      </c>
      <c r="D933" t="s">
        <v>4560</v>
      </c>
      <c r="E933" t="s">
        <v>2666</v>
      </c>
      <c r="F933" t="s">
        <v>2666</v>
      </c>
      <c r="G933" t="s">
        <v>2666</v>
      </c>
      <c r="H933" t="s">
        <v>2054</v>
      </c>
      <c r="I933" t="s">
        <v>2706</v>
      </c>
      <c r="J933" t="s">
        <v>2054</v>
      </c>
      <c r="K933" t="s">
        <v>2665</v>
      </c>
      <c r="L933" t="s">
        <v>1104</v>
      </c>
      <c r="M933" t="s">
        <v>2898</v>
      </c>
      <c r="N933" t="s">
        <v>2665</v>
      </c>
      <c r="O933" t="s">
        <v>2984</v>
      </c>
      <c r="P933" t="s">
        <v>3411</v>
      </c>
      <c r="Q933" t="s">
        <v>3412</v>
      </c>
      <c r="R933" t="s">
        <v>2665</v>
      </c>
      <c r="S933" t="s">
        <v>2779</v>
      </c>
      <c r="T933" t="s">
        <v>2780</v>
      </c>
      <c r="U933" t="s">
        <v>2665</v>
      </c>
      <c r="V933" t="s">
        <v>4562</v>
      </c>
      <c r="W933" t="s">
        <v>4563</v>
      </c>
      <c r="X933" t="s">
        <v>2665</v>
      </c>
      <c r="Y933" t="s">
        <v>2054</v>
      </c>
      <c r="Z933" t="s">
        <v>1104</v>
      </c>
      <c r="AA933" t="s">
        <v>2665</v>
      </c>
      <c r="AB933" t="s">
        <v>2665</v>
      </c>
      <c r="AC933" t="s">
        <v>2665</v>
      </c>
      <c r="AD933" t="s">
        <v>2054</v>
      </c>
      <c r="AE933" t="s">
        <v>2054</v>
      </c>
    </row>
    <row r="934" spans="1:31" x14ac:dyDescent="0.25">
      <c r="A934" t="s">
        <v>4564</v>
      </c>
      <c r="B934" t="s">
        <v>4565</v>
      </c>
      <c r="C934" t="s">
        <v>4566</v>
      </c>
      <c r="D934" t="s">
        <v>4565</v>
      </c>
      <c r="E934" t="s">
        <v>2666</v>
      </c>
      <c r="F934" t="s">
        <v>2666</v>
      </c>
      <c r="G934" t="s">
        <v>2666</v>
      </c>
      <c r="H934" t="s">
        <v>2054</v>
      </c>
      <c r="I934" t="s">
        <v>2706</v>
      </c>
      <c r="J934" t="s">
        <v>2054</v>
      </c>
      <c r="K934" t="s">
        <v>2665</v>
      </c>
      <c r="L934" t="s">
        <v>1104</v>
      </c>
      <c r="M934" t="s">
        <v>2898</v>
      </c>
      <c r="N934" t="s">
        <v>2665</v>
      </c>
      <c r="O934" t="s">
        <v>2984</v>
      </c>
      <c r="P934" t="s">
        <v>3411</v>
      </c>
      <c r="Q934" t="s">
        <v>3412</v>
      </c>
      <c r="R934" t="s">
        <v>2665</v>
      </c>
      <c r="S934" t="s">
        <v>2779</v>
      </c>
      <c r="T934" t="s">
        <v>2780</v>
      </c>
      <c r="U934" t="s">
        <v>2665</v>
      </c>
      <c r="V934" t="s">
        <v>4562</v>
      </c>
      <c r="W934" t="s">
        <v>4563</v>
      </c>
      <c r="X934" t="s">
        <v>2665</v>
      </c>
      <c r="Y934" t="s">
        <v>2054</v>
      </c>
      <c r="Z934" t="s">
        <v>1104</v>
      </c>
      <c r="AA934" t="s">
        <v>2665</v>
      </c>
      <c r="AB934" t="s">
        <v>2665</v>
      </c>
      <c r="AC934" t="s">
        <v>2665</v>
      </c>
      <c r="AD934" t="s">
        <v>2054</v>
      </c>
      <c r="AE934" t="s">
        <v>2054</v>
      </c>
    </row>
    <row r="935" spans="1:31" x14ac:dyDescent="0.25">
      <c r="A935" t="s">
        <v>4567</v>
      </c>
      <c r="B935" t="s">
        <v>4568</v>
      </c>
      <c r="C935" t="s">
        <v>4569</v>
      </c>
      <c r="D935" t="s">
        <v>4568</v>
      </c>
      <c r="E935" t="s">
        <v>2666</v>
      </c>
      <c r="F935" t="s">
        <v>2666</v>
      </c>
      <c r="G935" t="s">
        <v>2666</v>
      </c>
      <c r="H935" t="s">
        <v>2054</v>
      </c>
      <c r="I935" t="s">
        <v>2706</v>
      </c>
      <c r="J935" t="s">
        <v>2054</v>
      </c>
      <c r="K935" t="s">
        <v>2665</v>
      </c>
      <c r="L935" t="s">
        <v>1104</v>
      </c>
      <c r="M935" t="s">
        <v>2898</v>
      </c>
      <c r="N935" t="s">
        <v>2665</v>
      </c>
      <c r="O935" t="s">
        <v>2984</v>
      </c>
      <c r="P935" t="s">
        <v>3411</v>
      </c>
      <c r="Q935" t="s">
        <v>3412</v>
      </c>
      <c r="R935" t="s">
        <v>2665</v>
      </c>
      <c r="S935" t="s">
        <v>2779</v>
      </c>
      <c r="T935" t="s">
        <v>2780</v>
      </c>
      <c r="U935" t="s">
        <v>2665</v>
      </c>
      <c r="V935" t="s">
        <v>4562</v>
      </c>
      <c r="W935" t="s">
        <v>4563</v>
      </c>
      <c r="X935" t="s">
        <v>2665</v>
      </c>
      <c r="Y935" t="s">
        <v>2054</v>
      </c>
      <c r="Z935" t="s">
        <v>1104</v>
      </c>
      <c r="AA935" t="s">
        <v>2665</v>
      </c>
      <c r="AB935" t="s">
        <v>2665</v>
      </c>
      <c r="AC935" t="s">
        <v>2665</v>
      </c>
      <c r="AD935" t="s">
        <v>2054</v>
      </c>
      <c r="AE935" t="s">
        <v>2054</v>
      </c>
    </row>
    <row r="936" spans="1:31" x14ac:dyDescent="0.25">
      <c r="A936" t="s">
        <v>4570</v>
      </c>
      <c r="B936" t="s">
        <v>4571</v>
      </c>
      <c r="C936" t="s">
        <v>4572</v>
      </c>
      <c r="D936" t="s">
        <v>4571</v>
      </c>
      <c r="E936" t="s">
        <v>2666</v>
      </c>
      <c r="F936" t="s">
        <v>2666</v>
      </c>
      <c r="G936" t="s">
        <v>2666</v>
      </c>
      <c r="H936" t="s">
        <v>2054</v>
      </c>
      <c r="I936" t="s">
        <v>4573</v>
      </c>
      <c r="J936" t="s">
        <v>2054</v>
      </c>
      <c r="K936" t="s">
        <v>2665</v>
      </c>
      <c r="L936" t="s">
        <v>4574</v>
      </c>
      <c r="M936" t="s">
        <v>2898</v>
      </c>
      <c r="N936" t="s">
        <v>2665</v>
      </c>
      <c r="O936" t="s">
        <v>2984</v>
      </c>
      <c r="P936" t="s">
        <v>3163</v>
      </c>
      <c r="Q936" t="s">
        <v>4176</v>
      </c>
      <c r="R936" t="s">
        <v>2665</v>
      </c>
      <c r="S936" t="s">
        <v>2779</v>
      </c>
      <c r="T936" t="s">
        <v>2780</v>
      </c>
      <c r="U936" t="s">
        <v>2665</v>
      </c>
      <c r="V936" t="s">
        <v>4192</v>
      </c>
      <c r="W936" t="s">
        <v>4193</v>
      </c>
      <c r="X936" t="s">
        <v>2665</v>
      </c>
      <c r="Y936" t="s">
        <v>2054</v>
      </c>
      <c r="Z936" t="s">
        <v>4574</v>
      </c>
      <c r="AA936" t="s">
        <v>2665</v>
      </c>
      <c r="AB936" t="s">
        <v>2665</v>
      </c>
      <c r="AC936" t="s">
        <v>2665</v>
      </c>
      <c r="AD936" t="s">
        <v>2054</v>
      </c>
      <c r="AE936" t="s">
        <v>2054</v>
      </c>
    </row>
    <row r="937" spans="1:31" x14ac:dyDescent="0.25">
      <c r="A937" t="s">
        <v>4575</v>
      </c>
      <c r="B937" t="s">
        <v>4576</v>
      </c>
      <c r="C937" t="s">
        <v>4577</v>
      </c>
      <c r="D937" t="s">
        <v>4576</v>
      </c>
      <c r="E937" t="s">
        <v>2666</v>
      </c>
      <c r="F937" t="s">
        <v>2666</v>
      </c>
      <c r="G937" t="s">
        <v>2666</v>
      </c>
      <c r="H937" t="s">
        <v>2054</v>
      </c>
      <c r="I937" t="s">
        <v>4573</v>
      </c>
      <c r="J937" t="s">
        <v>2054</v>
      </c>
      <c r="K937" t="s">
        <v>2665</v>
      </c>
      <c r="L937" t="s">
        <v>4574</v>
      </c>
      <c r="M937" t="s">
        <v>2898</v>
      </c>
      <c r="N937" t="s">
        <v>2665</v>
      </c>
      <c r="O937" t="s">
        <v>2984</v>
      </c>
      <c r="P937" t="s">
        <v>3163</v>
      </c>
      <c r="Q937" t="s">
        <v>4176</v>
      </c>
      <c r="R937" t="s">
        <v>2665</v>
      </c>
      <c r="S937" t="s">
        <v>2779</v>
      </c>
      <c r="T937" t="s">
        <v>2780</v>
      </c>
      <c r="U937" t="s">
        <v>2665</v>
      </c>
      <c r="V937" t="s">
        <v>4192</v>
      </c>
      <c r="W937" t="s">
        <v>4193</v>
      </c>
      <c r="X937" t="s">
        <v>2665</v>
      </c>
      <c r="Y937" t="s">
        <v>2054</v>
      </c>
      <c r="Z937" t="s">
        <v>4574</v>
      </c>
      <c r="AA937" t="s">
        <v>2665</v>
      </c>
      <c r="AB937" t="s">
        <v>2665</v>
      </c>
      <c r="AC937" t="s">
        <v>2665</v>
      </c>
      <c r="AD937" t="s">
        <v>2054</v>
      </c>
      <c r="AE937" t="s">
        <v>2054</v>
      </c>
    </row>
    <row r="938" spans="1:31" x14ac:dyDescent="0.25">
      <c r="A938" t="s">
        <v>4578</v>
      </c>
      <c r="B938" t="s">
        <v>4579</v>
      </c>
      <c r="C938" t="s">
        <v>4580</v>
      </c>
      <c r="D938" t="s">
        <v>4579</v>
      </c>
      <c r="E938" t="s">
        <v>2666</v>
      </c>
      <c r="F938" t="s">
        <v>2666</v>
      </c>
      <c r="G938" t="s">
        <v>2666</v>
      </c>
      <c r="H938" t="s">
        <v>2054</v>
      </c>
      <c r="I938" t="s">
        <v>4573</v>
      </c>
      <c r="J938" t="s">
        <v>2054</v>
      </c>
      <c r="K938" t="s">
        <v>2665</v>
      </c>
      <c r="L938" t="s">
        <v>4574</v>
      </c>
      <c r="M938" t="s">
        <v>2898</v>
      </c>
      <c r="N938" t="s">
        <v>2665</v>
      </c>
      <c r="O938" t="s">
        <v>2984</v>
      </c>
      <c r="P938" t="s">
        <v>3163</v>
      </c>
      <c r="Q938" t="s">
        <v>4176</v>
      </c>
      <c r="R938" t="s">
        <v>2665</v>
      </c>
      <c r="S938" t="s">
        <v>2779</v>
      </c>
      <c r="T938" t="s">
        <v>2780</v>
      </c>
      <c r="U938" t="s">
        <v>2665</v>
      </c>
      <c r="V938" t="s">
        <v>4192</v>
      </c>
      <c r="W938" t="s">
        <v>4193</v>
      </c>
      <c r="X938" t="s">
        <v>2665</v>
      </c>
      <c r="Y938" t="s">
        <v>2054</v>
      </c>
      <c r="Z938" t="s">
        <v>4574</v>
      </c>
      <c r="AA938" t="s">
        <v>2665</v>
      </c>
      <c r="AB938" t="s">
        <v>2665</v>
      </c>
      <c r="AC938" t="s">
        <v>2665</v>
      </c>
      <c r="AD938" t="s">
        <v>2054</v>
      </c>
      <c r="AE938" t="s">
        <v>2054</v>
      </c>
    </row>
    <row r="939" spans="1:31" x14ac:dyDescent="0.25">
      <c r="A939" t="s">
        <v>4581</v>
      </c>
      <c r="B939" t="s">
        <v>4582</v>
      </c>
      <c r="C939" t="s">
        <v>4583</v>
      </c>
      <c r="D939" t="s">
        <v>4582</v>
      </c>
      <c r="E939" t="s">
        <v>2666</v>
      </c>
      <c r="F939" t="s">
        <v>2666</v>
      </c>
      <c r="G939" t="s">
        <v>2666</v>
      </c>
      <c r="H939" t="s">
        <v>2054</v>
      </c>
      <c r="I939" t="s">
        <v>4573</v>
      </c>
      <c r="J939" t="s">
        <v>2054</v>
      </c>
      <c r="K939" t="s">
        <v>2665</v>
      </c>
      <c r="L939" t="s">
        <v>4574</v>
      </c>
      <c r="M939" t="s">
        <v>2898</v>
      </c>
      <c r="N939" t="s">
        <v>2665</v>
      </c>
      <c r="O939" t="s">
        <v>2984</v>
      </c>
      <c r="P939" t="s">
        <v>3163</v>
      </c>
      <c r="Q939" t="s">
        <v>4176</v>
      </c>
      <c r="R939" t="s">
        <v>2665</v>
      </c>
      <c r="S939" t="s">
        <v>2779</v>
      </c>
      <c r="T939" t="s">
        <v>2780</v>
      </c>
      <c r="U939" t="s">
        <v>2665</v>
      </c>
      <c r="V939" t="s">
        <v>4192</v>
      </c>
      <c r="W939" t="s">
        <v>4193</v>
      </c>
      <c r="X939" t="s">
        <v>2665</v>
      </c>
      <c r="Y939" t="s">
        <v>2054</v>
      </c>
      <c r="Z939" t="s">
        <v>4574</v>
      </c>
      <c r="AA939" t="s">
        <v>2665</v>
      </c>
      <c r="AB939" t="s">
        <v>2665</v>
      </c>
      <c r="AC939" t="s">
        <v>2665</v>
      </c>
      <c r="AD939" t="s">
        <v>2054</v>
      </c>
      <c r="AE939" t="s">
        <v>2054</v>
      </c>
    </row>
    <row r="940" spans="1:31" x14ac:dyDescent="0.25">
      <c r="A940" t="s">
        <v>4584</v>
      </c>
      <c r="B940" t="s">
        <v>4585</v>
      </c>
      <c r="C940" t="s">
        <v>4586</v>
      </c>
      <c r="D940" t="s">
        <v>4585</v>
      </c>
      <c r="E940" t="s">
        <v>2666</v>
      </c>
      <c r="F940" t="s">
        <v>2666</v>
      </c>
      <c r="G940" t="s">
        <v>2666</v>
      </c>
      <c r="H940" t="s">
        <v>2054</v>
      </c>
      <c r="I940" t="s">
        <v>4573</v>
      </c>
      <c r="J940" t="s">
        <v>2054</v>
      </c>
      <c r="K940" t="s">
        <v>2665</v>
      </c>
      <c r="L940" t="s">
        <v>4574</v>
      </c>
      <c r="M940" t="s">
        <v>2898</v>
      </c>
      <c r="N940" t="s">
        <v>2665</v>
      </c>
      <c r="O940" t="s">
        <v>2984</v>
      </c>
      <c r="P940" t="s">
        <v>3163</v>
      </c>
      <c r="Q940" t="s">
        <v>4176</v>
      </c>
      <c r="R940" t="s">
        <v>2665</v>
      </c>
      <c r="S940" t="s">
        <v>2779</v>
      </c>
      <c r="T940" t="s">
        <v>2780</v>
      </c>
      <c r="U940" t="s">
        <v>2665</v>
      </c>
      <c r="V940" t="s">
        <v>4192</v>
      </c>
      <c r="W940" t="s">
        <v>4193</v>
      </c>
      <c r="X940" t="s">
        <v>2665</v>
      </c>
      <c r="Y940" t="s">
        <v>2054</v>
      </c>
      <c r="Z940" t="s">
        <v>4574</v>
      </c>
      <c r="AA940" t="s">
        <v>2665</v>
      </c>
      <c r="AB940" t="s">
        <v>2665</v>
      </c>
      <c r="AC940" t="s">
        <v>2665</v>
      </c>
      <c r="AD940" t="s">
        <v>2054</v>
      </c>
      <c r="AE940" t="s">
        <v>2054</v>
      </c>
    </row>
    <row r="941" spans="1:31" x14ac:dyDescent="0.25">
      <c r="A941" t="s">
        <v>4587</v>
      </c>
      <c r="B941" t="s">
        <v>4588</v>
      </c>
      <c r="C941" t="s">
        <v>4589</v>
      </c>
      <c r="D941" t="s">
        <v>4588</v>
      </c>
      <c r="E941" t="s">
        <v>2666</v>
      </c>
      <c r="F941" t="s">
        <v>2666</v>
      </c>
      <c r="G941" t="s">
        <v>2666</v>
      </c>
      <c r="H941" t="s">
        <v>2054</v>
      </c>
      <c r="I941" t="s">
        <v>4573</v>
      </c>
      <c r="J941" t="s">
        <v>2054</v>
      </c>
      <c r="K941" t="s">
        <v>2665</v>
      </c>
      <c r="L941" t="s">
        <v>4574</v>
      </c>
      <c r="M941" t="s">
        <v>2898</v>
      </c>
      <c r="N941" t="s">
        <v>2665</v>
      </c>
      <c r="O941" t="s">
        <v>2984</v>
      </c>
      <c r="P941" t="s">
        <v>3163</v>
      </c>
      <c r="Q941" t="s">
        <v>4176</v>
      </c>
      <c r="R941" t="s">
        <v>2665</v>
      </c>
      <c r="S941" t="s">
        <v>2779</v>
      </c>
      <c r="T941" t="s">
        <v>2780</v>
      </c>
      <c r="U941" t="s">
        <v>2665</v>
      </c>
      <c r="V941" t="s">
        <v>4192</v>
      </c>
      <c r="W941" t="s">
        <v>4193</v>
      </c>
      <c r="X941" t="s">
        <v>2665</v>
      </c>
      <c r="Y941" t="s">
        <v>2054</v>
      </c>
      <c r="Z941" t="s">
        <v>4574</v>
      </c>
      <c r="AA941" t="s">
        <v>2665</v>
      </c>
      <c r="AB941" t="s">
        <v>2665</v>
      </c>
      <c r="AC941" t="s">
        <v>2665</v>
      </c>
      <c r="AD941" t="s">
        <v>2054</v>
      </c>
      <c r="AE941" t="s">
        <v>2054</v>
      </c>
    </row>
    <row r="942" spans="1:31" x14ac:dyDescent="0.25">
      <c r="A942" t="s">
        <v>4590</v>
      </c>
      <c r="B942" t="s">
        <v>4591</v>
      </c>
      <c r="C942" t="s">
        <v>4592</v>
      </c>
      <c r="D942" t="s">
        <v>4591</v>
      </c>
      <c r="E942" t="s">
        <v>2666</v>
      </c>
      <c r="F942" t="s">
        <v>2666</v>
      </c>
      <c r="G942" t="s">
        <v>2666</v>
      </c>
      <c r="H942" t="s">
        <v>2054</v>
      </c>
      <c r="I942" t="s">
        <v>4573</v>
      </c>
      <c r="J942" t="s">
        <v>2054</v>
      </c>
      <c r="K942" t="s">
        <v>2665</v>
      </c>
      <c r="L942" t="s">
        <v>4574</v>
      </c>
      <c r="M942" t="s">
        <v>2898</v>
      </c>
      <c r="N942" t="s">
        <v>2665</v>
      </c>
      <c r="O942" t="s">
        <v>2984</v>
      </c>
      <c r="P942" t="s">
        <v>3163</v>
      </c>
      <c r="Q942" t="s">
        <v>4176</v>
      </c>
      <c r="R942" t="s">
        <v>2665</v>
      </c>
      <c r="S942" t="s">
        <v>2779</v>
      </c>
      <c r="T942" t="s">
        <v>2780</v>
      </c>
      <c r="U942" t="s">
        <v>2665</v>
      </c>
      <c r="V942" t="s">
        <v>4192</v>
      </c>
      <c r="W942" t="s">
        <v>4193</v>
      </c>
      <c r="X942" t="s">
        <v>2665</v>
      </c>
      <c r="Y942" t="s">
        <v>2054</v>
      </c>
      <c r="Z942" t="s">
        <v>4574</v>
      </c>
      <c r="AA942" t="s">
        <v>2665</v>
      </c>
      <c r="AB942" t="s">
        <v>2665</v>
      </c>
      <c r="AC942" t="s">
        <v>2665</v>
      </c>
      <c r="AD942" t="s">
        <v>2054</v>
      </c>
      <c r="AE942" t="s">
        <v>2054</v>
      </c>
    </row>
    <row r="943" spans="1:31" x14ac:dyDescent="0.25">
      <c r="A943" t="s">
        <v>4593</v>
      </c>
      <c r="B943" t="s">
        <v>4594</v>
      </c>
      <c r="C943" t="s">
        <v>4595</v>
      </c>
      <c r="D943" t="s">
        <v>4594</v>
      </c>
      <c r="E943" t="s">
        <v>2666</v>
      </c>
      <c r="F943" t="s">
        <v>2666</v>
      </c>
      <c r="G943" t="s">
        <v>2666</v>
      </c>
      <c r="H943" t="s">
        <v>2054</v>
      </c>
      <c r="I943" t="s">
        <v>4573</v>
      </c>
      <c r="J943" t="s">
        <v>2054</v>
      </c>
      <c r="K943" t="s">
        <v>2665</v>
      </c>
      <c r="L943" t="s">
        <v>4574</v>
      </c>
      <c r="M943" t="s">
        <v>2898</v>
      </c>
      <c r="N943" t="s">
        <v>2665</v>
      </c>
      <c r="O943" t="s">
        <v>2984</v>
      </c>
      <c r="P943" t="s">
        <v>3163</v>
      </c>
      <c r="Q943" t="s">
        <v>4176</v>
      </c>
      <c r="R943" t="s">
        <v>2665</v>
      </c>
      <c r="S943" t="s">
        <v>2779</v>
      </c>
      <c r="T943" t="s">
        <v>2780</v>
      </c>
      <c r="U943" t="s">
        <v>2665</v>
      </c>
      <c r="V943" t="s">
        <v>4192</v>
      </c>
      <c r="W943" t="s">
        <v>4193</v>
      </c>
      <c r="X943" t="s">
        <v>2665</v>
      </c>
      <c r="Y943" t="s">
        <v>2054</v>
      </c>
      <c r="Z943" t="s">
        <v>4574</v>
      </c>
      <c r="AA943" t="s">
        <v>2665</v>
      </c>
      <c r="AB943" t="s">
        <v>2665</v>
      </c>
      <c r="AC943" t="s">
        <v>2665</v>
      </c>
      <c r="AD943" t="s">
        <v>2054</v>
      </c>
      <c r="AE943" t="s">
        <v>2054</v>
      </c>
    </row>
    <row r="944" spans="1:31" x14ac:dyDescent="0.25">
      <c r="A944" t="s">
        <v>4596</v>
      </c>
      <c r="B944" t="s">
        <v>4597</v>
      </c>
      <c r="C944" t="s">
        <v>4598</v>
      </c>
      <c r="D944" t="s">
        <v>4597</v>
      </c>
      <c r="E944" t="s">
        <v>2666</v>
      </c>
      <c r="F944" t="s">
        <v>2666</v>
      </c>
      <c r="G944" t="s">
        <v>2666</v>
      </c>
      <c r="H944" t="s">
        <v>2054</v>
      </c>
      <c r="I944" t="s">
        <v>4573</v>
      </c>
      <c r="J944" t="s">
        <v>2054</v>
      </c>
      <c r="K944" t="s">
        <v>2665</v>
      </c>
      <c r="L944" t="s">
        <v>4574</v>
      </c>
      <c r="M944" t="s">
        <v>2898</v>
      </c>
      <c r="N944" t="s">
        <v>2665</v>
      </c>
      <c r="O944" t="s">
        <v>2984</v>
      </c>
      <c r="P944" t="s">
        <v>3163</v>
      </c>
      <c r="Q944" t="s">
        <v>4176</v>
      </c>
      <c r="R944" t="s">
        <v>2665</v>
      </c>
      <c r="S944" t="s">
        <v>2779</v>
      </c>
      <c r="T944" t="s">
        <v>2780</v>
      </c>
      <c r="U944" t="s">
        <v>2665</v>
      </c>
      <c r="V944" t="s">
        <v>4192</v>
      </c>
      <c r="W944" t="s">
        <v>4193</v>
      </c>
      <c r="X944" t="s">
        <v>2665</v>
      </c>
      <c r="Y944" t="s">
        <v>2054</v>
      </c>
      <c r="Z944" t="s">
        <v>4574</v>
      </c>
      <c r="AA944" t="s">
        <v>2665</v>
      </c>
      <c r="AB944" t="s">
        <v>2665</v>
      </c>
      <c r="AC944" t="s">
        <v>2665</v>
      </c>
      <c r="AD944" t="s">
        <v>2054</v>
      </c>
      <c r="AE944" t="s">
        <v>2054</v>
      </c>
    </row>
    <row r="945" spans="1:31" x14ac:dyDescent="0.25">
      <c r="A945" t="s">
        <v>4599</v>
      </c>
      <c r="B945" t="s">
        <v>4600</v>
      </c>
      <c r="C945" t="s">
        <v>4601</v>
      </c>
      <c r="D945" t="s">
        <v>4600</v>
      </c>
      <c r="E945" t="s">
        <v>2666</v>
      </c>
      <c r="F945" t="s">
        <v>2666</v>
      </c>
      <c r="G945" t="s">
        <v>2666</v>
      </c>
      <c r="H945" t="s">
        <v>2054</v>
      </c>
      <c r="I945" t="s">
        <v>4573</v>
      </c>
      <c r="J945" t="s">
        <v>2054</v>
      </c>
      <c r="K945" t="s">
        <v>2665</v>
      </c>
      <c r="L945" t="s">
        <v>4574</v>
      </c>
      <c r="M945" t="s">
        <v>2898</v>
      </c>
      <c r="N945" t="s">
        <v>2665</v>
      </c>
      <c r="O945" t="s">
        <v>2984</v>
      </c>
      <c r="P945" t="s">
        <v>3163</v>
      </c>
      <c r="Q945" t="s">
        <v>4176</v>
      </c>
      <c r="R945" t="s">
        <v>2665</v>
      </c>
      <c r="S945" t="s">
        <v>2779</v>
      </c>
      <c r="T945" t="s">
        <v>2780</v>
      </c>
      <c r="U945" t="s">
        <v>2665</v>
      </c>
      <c r="V945" t="s">
        <v>4192</v>
      </c>
      <c r="W945" t="s">
        <v>4193</v>
      </c>
      <c r="X945" t="s">
        <v>2665</v>
      </c>
      <c r="Y945" t="s">
        <v>2054</v>
      </c>
      <c r="Z945" t="s">
        <v>4574</v>
      </c>
      <c r="AA945" t="s">
        <v>2665</v>
      </c>
      <c r="AB945" t="s">
        <v>2665</v>
      </c>
      <c r="AC945" t="s">
        <v>2665</v>
      </c>
      <c r="AD945" t="s">
        <v>2054</v>
      </c>
      <c r="AE945" t="s">
        <v>2054</v>
      </c>
    </row>
    <row r="946" spans="1:31" x14ac:dyDescent="0.25">
      <c r="A946" t="s">
        <v>4602</v>
      </c>
      <c r="B946" t="s">
        <v>4603</v>
      </c>
      <c r="C946" t="s">
        <v>4604</v>
      </c>
      <c r="D946" t="s">
        <v>4603</v>
      </c>
      <c r="E946" t="s">
        <v>2666</v>
      </c>
      <c r="F946" t="s">
        <v>2666</v>
      </c>
      <c r="G946" t="s">
        <v>2666</v>
      </c>
      <c r="H946" t="s">
        <v>2054</v>
      </c>
      <c r="I946" t="s">
        <v>4573</v>
      </c>
      <c r="J946" t="s">
        <v>2054</v>
      </c>
      <c r="K946" t="s">
        <v>2665</v>
      </c>
      <c r="L946" t="s">
        <v>4574</v>
      </c>
      <c r="M946" t="s">
        <v>2898</v>
      </c>
      <c r="N946" t="s">
        <v>2665</v>
      </c>
      <c r="O946" t="s">
        <v>2984</v>
      </c>
      <c r="P946" t="s">
        <v>3163</v>
      </c>
      <c r="Q946" t="s">
        <v>4176</v>
      </c>
      <c r="R946" t="s">
        <v>2665</v>
      </c>
      <c r="S946" t="s">
        <v>2779</v>
      </c>
      <c r="T946" t="s">
        <v>2780</v>
      </c>
      <c r="U946" t="s">
        <v>2665</v>
      </c>
      <c r="V946" t="s">
        <v>4192</v>
      </c>
      <c r="W946" t="s">
        <v>4193</v>
      </c>
      <c r="X946" t="s">
        <v>2665</v>
      </c>
      <c r="Y946" t="s">
        <v>2054</v>
      </c>
      <c r="Z946" t="s">
        <v>4574</v>
      </c>
      <c r="AA946" t="s">
        <v>2665</v>
      </c>
      <c r="AB946" t="s">
        <v>2665</v>
      </c>
      <c r="AC946" t="s">
        <v>2665</v>
      </c>
      <c r="AD946" t="s">
        <v>2054</v>
      </c>
      <c r="AE946" t="s">
        <v>2054</v>
      </c>
    </row>
    <row r="947" spans="1:31" x14ac:dyDescent="0.25">
      <c r="A947" t="s">
        <v>4605</v>
      </c>
      <c r="B947" t="s">
        <v>4606</v>
      </c>
      <c r="C947" t="s">
        <v>4607</v>
      </c>
      <c r="D947" t="s">
        <v>4606</v>
      </c>
      <c r="E947" t="s">
        <v>2666</v>
      </c>
      <c r="F947" t="s">
        <v>2666</v>
      </c>
      <c r="G947" t="s">
        <v>2666</v>
      </c>
      <c r="H947" t="s">
        <v>2054</v>
      </c>
      <c r="I947" t="s">
        <v>4573</v>
      </c>
      <c r="J947" t="s">
        <v>2054</v>
      </c>
      <c r="K947" t="s">
        <v>2665</v>
      </c>
      <c r="L947" t="s">
        <v>4574</v>
      </c>
      <c r="M947" t="s">
        <v>2898</v>
      </c>
      <c r="N947" t="s">
        <v>2665</v>
      </c>
      <c r="O947" t="s">
        <v>2984</v>
      </c>
      <c r="P947" t="s">
        <v>3163</v>
      </c>
      <c r="Q947" t="s">
        <v>4176</v>
      </c>
      <c r="R947" t="s">
        <v>2665</v>
      </c>
      <c r="S947" t="s">
        <v>2779</v>
      </c>
      <c r="T947" t="s">
        <v>2780</v>
      </c>
      <c r="U947" t="s">
        <v>2665</v>
      </c>
      <c r="V947" t="s">
        <v>4192</v>
      </c>
      <c r="W947" t="s">
        <v>4193</v>
      </c>
      <c r="X947" t="s">
        <v>2665</v>
      </c>
      <c r="Y947" t="s">
        <v>2054</v>
      </c>
      <c r="Z947" t="s">
        <v>4574</v>
      </c>
      <c r="AA947" t="s">
        <v>2665</v>
      </c>
      <c r="AB947" t="s">
        <v>2665</v>
      </c>
      <c r="AC947" t="s">
        <v>2665</v>
      </c>
      <c r="AD947" t="s">
        <v>2054</v>
      </c>
      <c r="AE947" t="s">
        <v>2054</v>
      </c>
    </row>
    <row r="948" spans="1:31" x14ac:dyDescent="0.25">
      <c r="A948" t="s">
        <v>4608</v>
      </c>
      <c r="B948" t="s">
        <v>4609</v>
      </c>
      <c r="C948" t="s">
        <v>4610</v>
      </c>
      <c r="D948" t="s">
        <v>4609</v>
      </c>
      <c r="E948" t="s">
        <v>2666</v>
      </c>
      <c r="F948" t="s">
        <v>2666</v>
      </c>
      <c r="G948" t="s">
        <v>2666</v>
      </c>
      <c r="H948" t="s">
        <v>2054</v>
      </c>
      <c r="I948" t="s">
        <v>4573</v>
      </c>
      <c r="J948" t="s">
        <v>2054</v>
      </c>
      <c r="K948" t="s">
        <v>2665</v>
      </c>
      <c r="L948" t="s">
        <v>4574</v>
      </c>
      <c r="M948" t="s">
        <v>2898</v>
      </c>
      <c r="N948" t="s">
        <v>2665</v>
      </c>
      <c r="O948" t="s">
        <v>2984</v>
      </c>
      <c r="P948" t="s">
        <v>3163</v>
      </c>
      <c r="Q948" t="s">
        <v>4176</v>
      </c>
      <c r="R948" t="s">
        <v>2665</v>
      </c>
      <c r="S948" t="s">
        <v>2779</v>
      </c>
      <c r="T948" t="s">
        <v>2780</v>
      </c>
      <c r="U948" t="s">
        <v>2665</v>
      </c>
      <c r="V948" t="s">
        <v>4192</v>
      </c>
      <c r="W948" t="s">
        <v>4193</v>
      </c>
      <c r="X948" t="s">
        <v>2665</v>
      </c>
      <c r="Y948" t="s">
        <v>2054</v>
      </c>
      <c r="Z948" t="s">
        <v>4574</v>
      </c>
      <c r="AA948" t="s">
        <v>2665</v>
      </c>
      <c r="AB948" t="s">
        <v>2665</v>
      </c>
      <c r="AC948" t="s">
        <v>2665</v>
      </c>
      <c r="AD948" t="s">
        <v>2054</v>
      </c>
      <c r="AE948" t="s">
        <v>2054</v>
      </c>
    </row>
    <row r="949" spans="1:31" x14ac:dyDescent="0.25">
      <c r="A949" t="s">
        <v>4611</v>
      </c>
      <c r="B949" t="s">
        <v>4612</v>
      </c>
      <c r="C949" t="s">
        <v>4613</v>
      </c>
      <c r="D949" t="s">
        <v>4612</v>
      </c>
      <c r="E949" t="s">
        <v>2666</v>
      </c>
      <c r="F949" t="s">
        <v>2666</v>
      </c>
      <c r="G949" t="s">
        <v>2666</v>
      </c>
      <c r="H949" t="s">
        <v>2054</v>
      </c>
      <c r="I949" t="s">
        <v>4573</v>
      </c>
      <c r="J949" t="s">
        <v>2054</v>
      </c>
      <c r="K949" t="s">
        <v>2665</v>
      </c>
      <c r="L949" t="s">
        <v>4574</v>
      </c>
      <c r="M949" t="s">
        <v>2898</v>
      </c>
      <c r="N949" t="s">
        <v>2665</v>
      </c>
      <c r="O949" t="s">
        <v>2984</v>
      </c>
      <c r="P949" t="s">
        <v>3163</v>
      </c>
      <c r="Q949" t="s">
        <v>4176</v>
      </c>
      <c r="R949" t="s">
        <v>2665</v>
      </c>
      <c r="S949" t="s">
        <v>2779</v>
      </c>
      <c r="T949" t="s">
        <v>2780</v>
      </c>
      <c r="U949" t="s">
        <v>2665</v>
      </c>
      <c r="V949" t="s">
        <v>4192</v>
      </c>
      <c r="W949" t="s">
        <v>4193</v>
      </c>
      <c r="X949" t="s">
        <v>2665</v>
      </c>
      <c r="Y949" t="s">
        <v>2054</v>
      </c>
      <c r="Z949" t="s">
        <v>4574</v>
      </c>
      <c r="AA949" t="s">
        <v>2665</v>
      </c>
      <c r="AB949" t="s">
        <v>2665</v>
      </c>
      <c r="AC949" t="s">
        <v>2665</v>
      </c>
      <c r="AD949" t="s">
        <v>2054</v>
      </c>
      <c r="AE949" t="s">
        <v>2054</v>
      </c>
    </row>
    <row r="950" spans="1:31" x14ac:dyDescent="0.25">
      <c r="A950" t="s">
        <v>4614</v>
      </c>
      <c r="B950" t="s">
        <v>4615</v>
      </c>
      <c r="C950" t="s">
        <v>4616</v>
      </c>
      <c r="D950" t="s">
        <v>4615</v>
      </c>
      <c r="E950" t="s">
        <v>2666</v>
      </c>
      <c r="F950" t="s">
        <v>2666</v>
      </c>
      <c r="G950" t="s">
        <v>2666</v>
      </c>
      <c r="H950" t="s">
        <v>2054</v>
      </c>
      <c r="I950" t="s">
        <v>4573</v>
      </c>
      <c r="J950" t="s">
        <v>2054</v>
      </c>
      <c r="K950" t="s">
        <v>2665</v>
      </c>
      <c r="L950" t="s">
        <v>4574</v>
      </c>
      <c r="M950" t="s">
        <v>2898</v>
      </c>
      <c r="N950" t="s">
        <v>2665</v>
      </c>
      <c r="O950" t="s">
        <v>2984</v>
      </c>
      <c r="P950" t="s">
        <v>3163</v>
      </c>
      <c r="Q950" t="s">
        <v>4176</v>
      </c>
      <c r="R950" t="s">
        <v>2665</v>
      </c>
      <c r="S950" t="s">
        <v>2779</v>
      </c>
      <c r="T950" t="s">
        <v>2780</v>
      </c>
      <c r="U950" t="s">
        <v>2665</v>
      </c>
      <c r="V950" t="s">
        <v>4192</v>
      </c>
      <c r="W950" t="s">
        <v>4193</v>
      </c>
      <c r="X950" t="s">
        <v>2665</v>
      </c>
      <c r="Y950" t="s">
        <v>2054</v>
      </c>
      <c r="Z950" t="s">
        <v>4574</v>
      </c>
      <c r="AA950" t="s">
        <v>2665</v>
      </c>
      <c r="AB950" t="s">
        <v>2665</v>
      </c>
      <c r="AC950" t="s">
        <v>2665</v>
      </c>
      <c r="AD950" t="s">
        <v>2054</v>
      </c>
      <c r="AE950" t="s">
        <v>2054</v>
      </c>
    </row>
    <row r="951" spans="1:31" x14ac:dyDescent="0.25">
      <c r="A951" t="s">
        <v>4617</v>
      </c>
      <c r="B951" t="s">
        <v>4618</v>
      </c>
      <c r="C951" t="s">
        <v>4619</v>
      </c>
      <c r="D951" t="s">
        <v>4618</v>
      </c>
      <c r="E951" t="s">
        <v>2666</v>
      </c>
      <c r="F951" t="s">
        <v>2666</v>
      </c>
      <c r="G951" t="s">
        <v>2666</v>
      </c>
      <c r="H951" t="s">
        <v>2054</v>
      </c>
      <c r="I951" t="s">
        <v>4573</v>
      </c>
      <c r="J951" t="s">
        <v>2054</v>
      </c>
      <c r="K951" t="s">
        <v>2665</v>
      </c>
      <c r="L951" t="s">
        <v>4574</v>
      </c>
      <c r="M951" t="s">
        <v>2898</v>
      </c>
      <c r="N951" t="s">
        <v>2665</v>
      </c>
      <c r="O951" t="s">
        <v>2984</v>
      </c>
      <c r="P951" t="s">
        <v>3163</v>
      </c>
      <c r="Q951" t="s">
        <v>4176</v>
      </c>
      <c r="R951" t="s">
        <v>2665</v>
      </c>
      <c r="S951" t="s">
        <v>2779</v>
      </c>
      <c r="T951" t="s">
        <v>2780</v>
      </c>
      <c r="U951" t="s">
        <v>2665</v>
      </c>
      <c r="V951" t="s">
        <v>4192</v>
      </c>
      <c r="W951" t="s">
        <v>4193</v>
      </c>
      <c r="X951" t="s">
        <v>2665</v>
      </c>
      <c r="Y951" t="s">
        <v>2054</v>
      </c>
      <c r="Z951" t="s">
        <v>4574</v>
      </c>
      <c r="AA951" t="s">
        <v>2665</v>
      </c>
      <c r="AB951" t="s">
        <v>2665</v>
      </c>
      <c r="AC951" t="s">
        <v>2665</v>
      </c>
      <c r="AD951" t="s">
        <v>2054</v>
      </c>
      <c r="AE951" t="s">
        <v>2054</v>
      </c>
    </row>
    <row r="952" spans="1:31" x14ac:dyDescent="0.25">
      <c r="A952" t="s">
        <v>4620</v>
      </c>
      <c r="B952" t="s">
        <v>4621</v>
      </c>
      <c r="C952" t="s">
        <v>4622</v>
      </c>
      <c r="D952" t="s">
        <v>4621</v>
      </c>
      <c r="E952" t="s">
        <v>2666</v>
      </c>
      <c r="F952" t="s">
        <v>2666</v>
      </c>
      <c r="G952" t="s">
        <v>2666</v>
      </c>
      <c r="H952" t="s">
        <v>2054</v>
      </c>
      <c r="I952" t="s">
        <v>4573</v>
      </c>
      <c r="J952" t="s">
        <v>2054</v>
      </c>
      <c r="K952" t="s">
        <v>2665</v>
      </c>
      <c r="L952" t="s">
        <v>4574</v>
      </c>
      <c r="M952" t="s">
        <v>2898</v>
      </c>
      <c r="N952" t="s">
        <v>2665</v>
      </c>
      <c r="O952" t="s">
        <v>2984</v>
      </c>
      <c r="P952" t="s">
        <v>3163</v>
      </c>
      <c r="Q952" t="s">
        <v>4176</v>
      </c>
      <c r="R952" t="s">
        <v>2665</v>
      </c>
      <c r="S952" t="s">
        <v>2779</v>
      </c>
      <c r="T952" t="s">
        <v>2780</v>
      </c>
      <c r="U952" t="s">
        <v>2665</v>
      </c>
      <c r="V952" t="s">
        <v>4192</v>
      </c>
      <c r="W952" t="s">
        <v>4193</v>
      </c>
      <c r="X952" t="s">
        <v>2665</v>
      </c>
      <c r="Y952" t="s">
        <v>2054</v>
      </c>
      <c r="Z952" t="s">
        <v>4574</v>
      </c>
      <c r="AA952" t="s">
        <v>2665</v>
      </c>
      <c r="AB952" t="s">
        <v>2665</v>
      </c>
      <c r="AC952" t="s">
        <v>2665</v>
      </c>
      <c r="AD952" t="s">
        <v>2054</v>
      </c>
      <c r="AE952" t="s">
        <v>2054</v>
      </c>
    </row>
    <row r="953" spans="1:31" x14ac:dyDescent="0.25">
      <c r="A953" t="s">
        <v>4623</v>
      </c>
      <c r="B953" t="s">
        <v>4624</v>
      </c>
      <c r="C953" t="s">
        <v>4625</v>
      </c>
      <c r="D953" t="s">
        <v>4624</v>
      </c>
      <c r="E953" t="s">
        <v>2666</v>
      </c>
      <c r="F953" t="s">
        <v>2666</v>
      </c>
      <c r="G953" t="s">
        <v>2666</v>
      </c>
      <c r="H953" t="s">
        <v>2054</v>
      </c>
      <c r="I953" t="s">
        <v>4573</v>
      </c>
      <c r="J953" t="s">
        <v>2054</v>
      </c>
      <c r="K953" t="s">
        <v>2665</v>
      </c>
      <c r="L953" t="s">
        <v>4574</v>
      </c>
      <c r="M953" t="s">
        <v>2898</v>
      </c>
      <c r="N953" t="s">
        <v>2665</v>
      </c>
      <c r="O953" t="s">
        <v>2984</v>
      </c>
      <c r="P953" t="s">
        <v>3163</v>
      </c>
      <c r="Q953" t="s">
        <v>4176</v>
      </c>
      <c r="R953" t="s">
        <v>2665</v>
      </c>
      <c r="S953" t="s">
        <v>2779</v>
      </c>
      <c r="T953" t="s">
        <v>2780</v>
      </c>
      <c r="U953" t="s">
        <v>2665</v>
      </c>
      <c r="V953" t="s">
        <v>4192</v>
      </c>
      <c r="W953" t="s">
        <v>4193</v>
      </c>
      <c r="X953" t="s">
        <v>2665</v>
      </c>
      <c r="Y953" t="s">
        <v>2054</v>
      </c>
      <c r="Z953" t="s">
        <v>4574</v>
      </c>
      <c r="AA953" t="s">
        <v>2665</v>
      </c>
      <c r="AB953" t="s">
        <v>2665</v>
      </c>
      <c r="AC953" t="s">
        <v>2665</v>
      </c>
      <c r="AD953" t="s">
        <v>2054</v>
      </c>
      <c r="AE953" t="s">
        <v>2054</v>
      </c>
    </row>
    <row r="954" spans="1:31" x14ac:dyDescent="0.25">
      <c r="A954" t="s">
        <v>4626</v>
      </c>
      <c r="B954" t="s">
        <v>4627</v>
      </c>
      <c r="C954" t="s">
        <v>4628</v>
      </c>
      <c r="D954" t="s">
        <v>4627</v>
      </c>
      <c r="E954" t="s">
        <v>2666</v>
      </c>
      <c r="F954" t="s">
        <v>2666</v>
      </c>
      <c r="G954" t="s">
        <v>2666</v>
      </c>
      <c r="H954" t="s">
        <v>2054</v>
      </c>
      <c r="I954" t="s">
        <v>4573</v>
      </c>
      <c r="J954" t="s">
        <v>2054</v>
      </c>
      <c r="K954" t="s">
        <v>2665</v>
      </c>
      <c r="L954" t="s">
        <v>4574</v>
      </c>
      <c r="M954" t="s">
        <v>2898</v>
      </c>
      <c r="N954" t="s">
        <v>2665</v>
      </c>
      <c r="O954" t="s">
        <v>2984</v>
      </c>
      <c r="P954" t="s">
        <v>3163</v>
      </c>
      <c r="Q954" t="s">
        <v>4176</v>
      </c>
      <c r="R954" t="s">
        <v>2665</v>
      </c>
      <c r="S954" t="s">
        <v>2779</v>
      </c>
      <c r="T954" t="s">
        <v>2780</v>
      </c>
      <c r="U954" t="s">
        <v>2665</v>
      </c>
      <c r="V954" t="s">
        <v>4192</v>
      </c>
      <c r="W954" t="s">
        <v>4193</v>
      </c>
      <c r="X954" t="s">
        <v>2665</v>
      </c>
      <c r="Y954" t="s">
        <v>2054</v>
      </c>
      <c r="Z954" t="s">
        <v>4574</v>
      </c>
      <c r="AA954" t="s">
        <v>2665</v>
      </c>
      <c r="AB954" t="s">
        <v>2665</v>
      </c>
      <c r="AC954" t="s">
        <v>2665</v>
      </c>
      <c r="AD954" t="s">
        <v>2054</v>
      </c>
      <c r="AE954" t="s">
        <v>2054</v>
      </c>
    </row>
    <row r="955" spans="1:31" x14ac:dyDescent="0.25">
      <c r="A955" t="s">
        <v>4629</v>
      </c>
      <c r="B955" t="s">
        <v>4630</v>
      </c>
      <c r="C955" t="s">
        <v>4631</v>
      </c>
      <c r="D955" t="s">
        <v>4630</v>
      </c>
      <c r="E955" t="s">
        <v>2666</v>
      </c>
      <c r="F955" t="s">
        <v>2705</v>
      </c>
      <c r="G955" t="s">
        <v>2666</v>
      </c>
      <c r="H955" t="s">
        <v>2054</v>
      </c>
      <c r="I955" t="s">
        <v>2706</v>
      </c>
      <c r="J955" t="s">
        <v>2054</v>
      </c>
      <c r="K955" t="s">
        <v>2665</v>
      </c>
      <c r="L955" t="s">
        <v>1104</v>
      </c>
      <c r="M955" t="s">
        <v>2669</v>
      </c>
      <c r="N955" t="s">
        <v>2665</v>
      </c>
      <c r="O955" t="s">
        <v>2670</v>
      </c>
      <c r="P955" t="s">
        <v>2671</v>
      </c>
      <c r="Q955" t="s">
        <v>2672</v>
      </c>
      <c r="R955" t="s">
        <v>2665</v>
      </c>
      <c r="S955" t="s">
        <v>2779</v>
      </c>
      <c r="T955" t="s">
        <v>2780</v>
      </c>
      <c r="U955" t="s">
        <v>2665</v>
      </c>
      <c r="V955" t="s">
        <v>2713</v>
      </c>
      <c r="W955" t="s">
        <v>2714</v>
      </c>
      <c r="X955" t="s">
        <v>2665</v>
      </c>
      <c r="Y955" t="s">
        <v>2054</v>
      </c>
      <c r="Z955" t="s">
        <v>1104</v>
      </c>
      <c r="AA955" t="s">
        <v>2665</v>
      </c>
      <c r="AB955" t="s">
        <v>2665</v>
      </c>
      <c r="AC955" t="s">
        <v>2665</v>
      </c>
      <c r="AD955" t="s">
        <v>2054</v>
      </c>
      <c r="AE955" t="s">
        <v>2054</v>
      </c>
    </row>
    <row r="956" spans="1:31" x14ac:dyDescent="0.25">
      <c r="A956" t="s">
        <v>1969</v>
      </c>
      <c r="B956" t="s">
        <v>1968</v>
      </c>
      <c r="C956" t="s">
        <v>4632</v>
      </c>
      <c r="D956" t="s">
        <v>1968</v>
      </c>
      <c r="E956" t="s">
        <v>2666</v>
      </c>
      <c r="F956" t="s">
        <v>2705</v>
      </c>
      <c r="G956" t="s">
        <v>2666</v>
      </c>
      <c r="H956" t="s">
        <v>2054</v>
      </c>
      <c r="I956" t="s">
        <v>2706</v>
      </c>
      <c r="J956" t="s">
        <v>2054</v>
      </c>
      <c r="K956" t="s">
        <v>2665</v>
      </c>
      <c r="L956" t="s">
        <v>1104</v>
      </c>
      <c r="M956" t="s">
        <v>2669</v>
      </c>
      <c r="N956" t="s">
        <v>2665</v>
      </c>
      <c r="O956" t="s">
        <v>2670</v>
      </c>
      <c r="P956" t="s">
        <v>2671</v>
      </c>
      <c r="Q956" t="s">
        <v>2672</v>
      </c>
      <c r="R956" t="s">
        <v>2665</v>
      </c>
      <c r="S956" t="s">
        <v>2671</v>
      </c>
      <c r="T956" t="s">
        <v>2673</v>
      </c>
      <c r="U956" t="s">
        <v>2665</v>
      </c>
      <c r="V956" t="s">
        <v>2713</v>
      </c>
      <c r="W956" t="s">
        <v>2714</v>
      </c>
      <c r="X956" t="s">
        <v>2665</v>
      </c>
      <c r="Y956" t="s">
        <v>2054</v>
      </c>
      <c r="Z956" t="s">
        <v>1104</v>
      </c>
      <c r="AA956" t="s">
        <v>2665</v>
      </c>
      <c r="AB956" t="s">
        <v>2665</v>
      </c>
      <c r="AC956" t="s">
        <v>2665</v>
      </c>
      <c r="AD956" t="s">
        <v>2054</v>
      </c>
      <c r="AE956" t="s">
        <v>2054</v>
      </c>
    </row>
    <row r="957" spans="1:31" x14ac:dyDescent="0.25">
      <c r="A957" t="s">
        <v>4633</v>
      </c>
      <c r="B957" t="s">
        <v>4634</v>
      </c>
      <c r="C957" t="s">
        <v>4635</v>
      </c>
      <c r="D957" t="s">
        <v>4634</v>
      </c>
      <c r="E957" t="s">
        <v>2666</v>
      </c>
      <c r="F957" t="s">
        <v>2705</v>
      </c>
      <c r="G957" t="s">
        <v>2666</v>
      </c>
      <c r="H957" t="s">
        <v>2054</v>
      </c>
      <c r="I957" t="s">
        <v>2706</v>
      </c>
      <c r="J957" t="s">
        <v>2054</v>
      </c>
      <c r="K957" t="s">
        <v>2665</v>
      </c>
      <c r="L957" t="s">
        <v>1104</v>
      </c>
      <c r="M957" t="s">
        <v>2669</v>
      </c>
      <c r="N957" t="s">
        <v>2665</v>
      </c>
      <c r="O957" t="s">
        <v>2670</v>
      </c>
      <c r="P957" t="s">
        <v>2671</v>
      </c>
      <c r="Q957" t="s">
        <v>2672</v>
      </c>
      <c r="R957" t="s">
        <v>2665</v>
      </c>
      <c r="S957" t="s">
        <v>2671</v>
      </c>
      <c r="T957" t="s">
        <v>2673</v>
      </c>
      <c r="U957" t="s">
        <v>2665</v>
      </c>
      <c r="V957" t="s">
        <v>2713</v>
      </c>
      <c r="W957" t="s">
        <v>2714</v>
      </c>
      <c r="X957" t="s">
        <v>2665</v>
      </c>
      <c r="Y957" t="s">
        <v>2054</v>
      </c>
      <c r="Z957" t="s">
        <v>1104</v>
      </c>
      <c r="AA957" t="s">
        <v>2665</v>
      </c>
      <c r="AB957" t="s">
        <v>2665</v>
      </c>
      <c r="AC957" t="s">
        <v>2665</v>
      </c>
      <c r="AD957" t="s">
        <v>2054</v>
      </c>
      <c r="AE957" t="s">
        <v>2054</v>
      </c>
    </row>
    <row r="958" spans="1:31" x14ac:dyDescent="0.25">
      <c r="A958" t="s">
        <v>1971</v>
      </c>
      <c r="B958" t="s">
        <v>1970</v>
      </c>
      <c r="C958" t="s">
        <v>4636</v>
      </c>
      <c r="D958" t="s">
        <v>1970</v>
      </c>
      <c r="E958" t="s">
        <v>2666</v>
      </c>
      <c r="F958" t="s">
        <v>2705</v>
      </c>
      <c r="G958" t="s">
        <v>2666</v>
      </c>
      <c r="H958" t="s">
        <v>2054</v>
      </c>
      <c r="I958" t="s">
        <v>2706</v>
      </c>
      <c r="J958" t="s">
        <v>2054</v>
      </c>
      <c r="K958" t="s">
        <v>2665</v>
      </c>
      <c r="L958" t="s">
        <v>1104</v>
      </c>
      <c r="M958" t="s">
        <v>2669</v>
      </c>
      <c r="N958" t="s">
        <v>2665</v>
      </c>
      <c r="O958" t="s">
        <v>2670</v>
      </c>
      <c r="P958" t="s">
        <v>2671</v>
      </c>
      <c r="Q958" t="s">
        <v>2672</v>
      </c>
      <c r="R958" t="s">
        <v>2665</v>
      </c>
      <c r="S958" t="s">
        <v>2671</v>
      </c>
      <c r="T958" t="s">
        <v>2673</v>
      </c>
      <c r="U958" t="s">
        <v>2665</v>
      </c>
      <c r="V958" t="s">
        <v>2713</v>
      </c>
      <c r="W958" t="s">
        <v>2714</v>
      </c>
      <c r="X958" t="s">
        <v>2665</v>
      </c>
      <c r="Y958" t="s">
        <v>2054</v>
      </c>
      <c r="Z958" t="s">
        <v>1104</v>
      </c>
      <c r="AA958" t="s">
        <v>2665</v>
      </c>
      <c r="AB958" t="s">
        <v>2665</v>
      </c>
      <c r="AC958" t="s">
        <v>2665</v>
      </c>
      <c r="AD958" t="s">
        <v>2054</v>
      </c>
      <c r="AE958" t="s">
        <v>2054</v>
      </c>
    </row>
    <row r="959" spans="1:31" x14ac:dyDescent="0.25">
      <c r="A959" t="s">
        <v>4637</v>
      </c>
      <c r="B959" t="s">
        <v>4638</v>
      </c>
      <c r="C959" t="s">
        <v>4639</v>
      </c>
      <c r="D959" t="s">
        <v>4638</v>
      </c>
      <c r="E959" t="s">
        <v>2666</v>
      </c>
      <c r="F959" t="s">
        <v>2705</v>
      </c>
      <c r="G959" t="s">
        <v>2666</v>
      </c>
      <c r="H959" t="s">
        <v>2054</v>
      </c>
      <c r="I959" t="s">
        <v>2668</v>
      </c>
      <c r="J959" t="s">
        <v>2054</v>
      </c>
      <c r="K959" t="s">
        <v>2665</v>
      </c>
      <c r="L959" t="s">
        <v>1063</v>
      </c>
      <c r="M959" t="s">
        <v>2898</v>
      </c>
      <c r="N959" t="s">
        <v>2665</v>
      </c>
      <c r="O959" t="s">
        <v>2984</v>
      </c>
      <c r="P959" t="s">
        <v>2671</v>
      </c>
      <c r="Q959" t="s">
        <v>2672</v>
      </c>
      <c r="R959" t="s">
        <v>2665</v>
      </c>
      <c r="S959" t="s">
        <v>2779</v>
      </c>
      <c r="T959" t="s">
        <v>2780</v>
      </c>
      <c r="U959" t="s">
        <v>2665</v>
      </c>
      <c r="V959" t="s">
        <v>2671</v>
      </c>
      <c r="W959" t="s">
        <v>2674</v>
      </c>
      <c r="X959" t="s">
        <v>2665</v>
      </c>
      <c r="Y959" t="s">
        <v>2054</v>
      </c>
      <c r="Z959" t="s">
        <v>1063</v>
      </c>
      <c r="AA959" t="s">
        <v>2665</v>
      </c>
      <c r="AB959" t="s">
        <v>2665</v>
      </c>
      <c r="AC959" t="s">
        <v>2665</v>
      </c>
      <c r="AD959" t="s">
        <v>2054</v>
      </c>
      <c r="AE959" t="s">
        <v>2054</v>
      </c>
    </row>
    <row r="960" spans="1:31" x14ac:dyDescent="0.25">
      <c r="A960" t="s">
        <v>4640</v>
      </c>
      <c r="B960" t="s">
        <v>4641</v>
      </c>
      <c r="C960" t="s">
        <v>4642</v>
      </c>
      <c r="D960" t="s">
        <v>4641</v>
      </c>
      <c r="E960" t="s">
        <v>2666</v>
      </c>
      <c r="F960" t="s">
        <v>3042</v>
      </c>
      <c r="G960" t="s">
        <v>2666</v>
      </c>
      <c r="H960" t="s">
        <v>2054</v>
      </c>
      <c r="I960" t="s">
        <v>2741</v>
      </c>
      <c r="J960" t="s">
        <v>2054</v>
      </c>
      <c r="K960" t="s">
        <v>2665</v>
      </c>
      <c r="L960" t="s">
        <v>1136</v>
      </c>
      <c r="M960" t="s">
        <v>2669</v>
      </c>
      <c r="N960" t="s">
        <v>2665</v>
      </c>
      <c r="O960" t="s">
        <v>2670</v>
      </c>
      <c r="P960" t="s">
        <v>2671</v>
      </c>
      <c r="Q960" t="s">
        <v>2672</v>
      </c>
      <c r="R960" t="s">
        <v>2665</v>
      </c>
      <c r="S960" t="s">
        <v>2671</v>
      </c>
      <c r="T960" t="s">
        <v>2673</v>
      </c>
      <c r="U960" t="s">
        <v>2665</v>
      </c>
      <c r="V960" t="s">
        <v>2671</v>
      </c>
      <c r="W960" t="s">
        <v>2674</v>
      </c>
      <c r="X960" t="s">
        <v>2665</v>
      </c>
      <c r="Y960" t="s">
        <v>2054</v>
      </c>
      <c r="Z960" t="s">
        <v>1136</v>
      </c>
      <c r="AA960" t="s">
        <v>2791</v>
      </c>
      <c r="AB960" t="s">
        <v>2791</v>
      </c>
      <c r="AC960" t="s">
        <v>2665</v>
      </c>
      <c r="AD960" t="s">
        <v>2054</v>
      </c>
      <c r="AE960" t="s">
        <v>2054</v>
      </c>
    </row>
    <row r="961" spans="1:31" x14ac:dyDescent="0.25">
      <c r="A961" t="s">
        <v>4643</v>
      </c>
      <c r="B961" t="s">
        <v>4644</v>
      </c>
      <c r="C961" t="s">
        <v>4645</v>
      </c>
      <c r="D961" t="s">
        <v>4644</v>
      </c>
      <c r="E961" t="s">
        <v>2666</v>
      </c>
      <c r="F961" t="s">
        <v>3042</v>
      </c>
      <c r="G961" t="s">
        <v>2666</v>
      </c>
      <c r="H961" t="s">
        <v>2054</v>
      </c>
      <c r="I961" t="s">
        <v>2741</v>
      </c>
      <c r="J961" t="s">
        <v>2054</v>
      </c>
      <c r="K961" t="s">
        <v>2665</v>
      </c>
      <c r="L961" t="s">
        <v>1136</v>
      </c>
      <c r="M961" t="s">
        <v>2669</v>
      </c>
      <c r="N961" t="s">
        <v>2665</v>
      </c>
      <c r="O961" t="s">
        <v>2670</v>
      </c>
      <c r="P961" t="s">
        <v>2671</v>
      </c>
      <c r="Q961" t="s">
        <v>2672</v>
      </c>
      <c r="R961" t="s">
        <v>2665</v>
      </c>
      <c r="S961" t="s">
        <v>2671</v>
      </c>
      <c r="T961" t="s">
        <v>2673</v>
      </c>
      <c r="U961" t="s">
        <v>2665</v>
      </c>
      <c r="V961" t="s">
        <v>2671</v>
      </c>
      <c r="W961" t="s">
        <v>2674</v>
      </c>
      <c r="X961" t="s">
        <v>2665</v>
      </c>
      <c r="Y961" t="s">
        <v>2054</v>
      </c>
      <c r="Z961" t="s">
        <v>1136</v>
      </c>
      <c r="AA961" t="s">
        <v>2791</v>
      </c>
      <c r="AB961" t="s">
        <v>2791</v>
      </c>
      <c r="AC961" t="s">
        <v>2665</v>
      </c>
      <c r="AD961" t="s">
        <v>2054</v>
      </c>
      <c r="AE961" t="s">
        <v>2054</v>
      </c>
    </row>
    <row r="962" spans="1:31" x14ac:dyDescent="0.25">
      <c r="A962" t="s">
        <v>4646</v>
      </c>
      <c r="B962" t="s">
        <v>4647</v>
      </c>
      <c r="C962" t="s">
        <v>4648</v>
      </c>
      <c r="D962" t="s">
        <v>4647</v>
      </c>
      <c r="E962" t="s">
        <v>2666</v>
      </c>
      <c r="F962" t="s">
        <v>4036</v>
      </c>
      <c r="G962" t="s">
        <v>2666</v>
      </c>
      <c r="H962" t="s">
        <v>2054</v>
      </c>
      <c r="I962" t="s">
        <v>2741</v>
      </c>
      <c r="J962" t="s">
        <v>2054</v>
      </c>
      <c r="K962" t="s">
        <v>2665</v>
      </c>
      <c r="L962" t="s">
        <v>1136</v>
      </c>
      <c r="M962" t="s">
        <v>2669</v>
      </c>
      <c r="N962" t="s">
        <v>2665</v>
      </c>
      <c r="O962" t="s">
        <v>2670</v>
      </c>
      <c r="P962" t="s">
        <v>2671</v>
      </c>
      <c r="Q962" t="s">
        <v>2672</v>
      </c>
      <c r="R962" t="s">
        <v>2665</v>
      </c>
      <c r="S962" t="s">
        <v>2671</v>
      </c>
      <c r="T962" t="s">
        <v>2673</v>
      </c>
      <c r="U962" t="s">
        <v>2665</v>
      </c>
      <c r="V962" t="s">
        <v>2671</v>
      </c>
      <c r="W962" t="s">
        <v>2674</v>
      </c>
      <c r="X962" t="s">
        <v>2665</v>
      </c>
      <c r="Y962" t="s">
        <v>2054</v>
      </c>
      <c r="Z962" t="s">
        <v>1136</v>
      </c>
      <c r="AA962" t="s">
        <v>2742</v>
      </c>
      <c r="AB962" t="s">
        <v>2742</v>
      </c>
      <c r="AC962" t="s">
        <v>2665</v>
      </c>
      <c r="AD962" t="s">
        <v>2054</v>
      </c>
      <c r="AE962" t="s">
        <v>2054</v>
      </c>
    </row>
    <row r="963" spans="1:31" x14ac:dyDescent="0.25">
      <c r="A963" t="s">
        <v>4649</v>
      </c>
      <c r="B963" t="s">
        <v>4650</v>
      </c>
      <c r="C963" t="s">
        <v>4651</v>
      </c>
      <c r="D963" t="s">
        <v>4650</v>
      </c>
      <c r="E963" t="s">
        <v>2666</v>
      </c>
      <c r="F963" t="s">
        <v>4095</v>
      </c>
      <c r="G963" t="s">
        <v>2666</v>
      </c>
      <c r="H963" t="s">
        <v>2054</v>
      </c>
      <c r="I963" t="s">
        <v>2741</v>
      </c>
      <c r="J963" t="s">
        <v>2054</v>
      </c>
      <c r="K963" t="s">
        <v>2665</v>
      </c>
      <c r="L963" t="s">
        <v>1136</v>
      </c>
      <c r="M963" t="s">
        <v>2669</v>
      </c>
      <c r="N963" t="s">
        <v>2665</v>
      </c>
      <c r="O963" t="s">
        <v>2670</v>
      </c>
      <c r="P963" t="s">
        <v>2671</v>
      </c>
      <c r="Q963" t="s">
        <v>2672</v>
      </c>
      <c r="R963" t="s">
        <v>2665</v>
      </c>
      <c r="S963" t="s">
        <v>2671</v>
      </c>
      <c r="T963" t="s">
        <v>2673</v>
      </c>
      <c r="U963" t="s">
        <v>2665</v>
      </c>
      <c r="V963" t="s">
        <v>2671</v>
      </c>
      <c r="W963" t="s">
        <v>2674</v>
      </c>
      <c r="X963" t="s">
        <v>2665</v>
      </c>
      <c r="Y963" t="s">
        <v>2054</v>
      </c>
      <c r="Z963" t="s">
        <v>1136</v>
      </c>
      <c r="AA963" t="s">
        <v>2742</v>
      </c>
      <c r="AB963" t="s">
        <v>2742</v>
      </c>
      <c r="AC963" t="s">
        <v>2665</v>
      </c>
      <c r="AD963" t="s">
        <v>2054</v>
      </c>
      <c r="AE963" t="s">
        <v>2054</v>
      </c>
    </row>
    <row r="964" spans="1:31" x14ac:dyDescent="0.25">
      <c r="A964" t="s">
        <v>4652</v>
      </c>
      <c r="B964" t="s">
        <v>4653</v>
      </c>
      <c r="C964" t="s">
        <v>4654</v>
      </c>
      <c r="D964" t="s">
        <v>4653</v>
      </c>
      <c r="E964" t="s">
        <v>2666</v>
      </c>
      <c r="F964" t="s">
        <v>4095</v>
      </c>
      <c r="G964" t="s">
        <v>2666</v>
      </c>
      <c r="H964" t="s">
        <v>2054</v>
      </c>
      <c r="I964" t="s">
        <v>2741</v>
      </c>
      <c r="J964" t="s">
        <v>2054</v>
      </c>
      <c r="K964" t="s">
        <v>2665</v>
      </c>
      <c r="L964" t="s">
        <v>1136</v>
      </c>
      <c r="M964" t="s">
        <v>2669</v>
      </c>
      <c r="N964" t="s">
        <v>2665</v>
      </c>
      <c r="O964" t="s">
        <v>2670</v>
      </c>
      <c r="P964" t="s">
        <v>2671</v>
      </c>
      <c r="Q964" t="s">
        <v>2672</v>
      </c>
      <c r="R964" t="s">
        <v>2665</v>
      </c>
      <c r="S964" t="s">
        <v>2671</v>
      </c>
      <c r="T964" t="s">
        <v>2673</v>
      </c>
      <c r="U964" t="s">
        <v>2665</v>
      </c>
      <c r="V964" t="s">
        <v>2671</v>
      </c>
      <c r="W964" t="s">
        <v>2674</v>
      </c>
      <c r="X964" t="s">
        <v>2665</v>
      </c>
      <c r="Y964" t="s">
        <v>2054</v>
      </c>
      <c r="Z964" t="s">
        <v>1136</v>
      </c>
      <c r="AA964" t="s">
        <v>2742</v>
      </c>
      <c r="AB964" t="s">
        <v>2742</v>
      </c>
      <c r="AC964" t="s">
        <v>2665</v>
      </c>
      <c r="AD964" t="s">
        <v>2054</v>
      </c>
      <c r="AE964" t="s">
        <v>2054</v>
      </c>
    </row>
    <row r="965" spans="1:31" x14ac:dyDescent="0.25">
      <c r="A965" t="s">
        <v>4655</v>
      </c>
      <c r="B965" t="s">
        <v>4656</v>
      </c>
      <c r="C965" t="s">
        <v>4657</v>
      </c>
      <c r="D965" t="s">
        <v>4656</v>
      </c>
      <c r="E965" t="s">
        <v>2666</v>
      </c>
      <c r="F965" t="s">
        <v>4095</v>
      </c>
      <c r="G965" t="s">
        <v>2666</v>
      </c>
      <c r="H965" t="s">
        <v>2054</v>
      </c>
      <c r="I965" t="s">
        <v>2741</v>
      </c>
      <c r="J965" t="s">
        <v>2054</v>
      </c>
      <c r="K965" t="s">
        <v>2665</v>
      </c>
      <c r="L965" t="s">
        <v>1136</v>
      </c>
      <c r="M965" t="s">
        <v>2669</v>
      </c>
      <c r="N965" t="s">
        <v>2665</v>
      </c>
      <c r="O965" t="s">
        <v>2670</v>
      </c>
      <c r="P965" t="s">
        <v>2671</v>
      </c>
      <c r="Q965" t="s">
        <v>2672</v>
      </c>
      <c r="R965" t="s">
        <v>2665</v>
      </c>
      <c r="S965" t="s">
        <v>2671</v>
      </c>
      <c r="T965" t="s">
        <v>2673</v>
      </c>
      <c r="U965" t="s">
        <v>2665</v>
      </c>
      <c r="V965" t="s">
        <v>2671</v>
      </c>
      <c r="W965" t="s">
        <v>2674</v>
      </c>
      <c r="X965" t="s">
        <v>2665</v>
      </c>
      <c r="Y965" t="s">
        <v>2054</v>
      </c>
      <c r="Z965" t="s">
        <v>1136</v>
      </c>
      <c r="AA965" t="s">
        <v>2742</v>
      </c>
      <c r="AB965" t="s">
        <v>2742</v>
      </c>
      <c r="AC965" t="s">
        <v>2665</v>
      </c>
      <c r="AD965" t="s">
        <v>2054</v>
      </c>
      <c r="AE965" t="s">
        <v>2054</v>
      </c>
    </row>
    <row r="966" spans="1:31" x14ac:dyDescent="0.25">
      <c r="A966" t="s">
        <v>4658</v>
      </c>
      <c r="B966" t="s">
        <v>4659</v>
      </c>
      <c r="C966" t="s">
        <v>4660</v>
      </c>
      <c r="D966" t="s">
        <v>4659</v>
      </c>
      <c r="E966" t="s">
        <v>2666</v>
      </c>
      <c r="F966" t="s">
        <v>4095</v>
      </c>
      <c r="G966" t="s">
        <v>2666</v>
      </c>
      <c r="H966" t="s">
        <v>2054</v>
      </c>
      <c r="I966" t="s">
        <v>2741</v>
      </c>
      <c r="J966" t="s">
        <v>2054</v>
      </c>
      <c r="K966" t="s">
        <v>2665</v>
      </c>
      <c r="L966" t="s">
        <v>1136</v>
      </c>
      <c r="M966" t="s">
        <v>2669</v>
      </c>
      <c r="N966" t="s">
        <v>2665</v>
      </c>
      <c r="O966" t="s">
        <v>2670</v>
      </c>
      <c r="P966" t="s">
        <v>2671</v>
      </c>
      <c r="Q966" t="s">
        <v>2672</v>
      </c>
      <c r="R966" t="s">
        <v>2665</v>
      </c>
      <c r="S966" t="s">
        <v>2671</v>
      </c>
      <c r="T966" t="s">
        <v>2673</v>
      </c>
      <c r="U966" t="s">
        <v>2665</v>
      </c>
      <c r="V966" t="s">
        <v>2671</v>
      </c>
      <c r="W966" t="s">
        <v>2674</v>
      </c>
      <c r="X966" t="s">
        <v>2665</v>
      </c>
      <c r="Y966" t="s">
        <v>2054</v>
      </c>
      <c r="Z966" t="s">
        <v>1136</v>
      </c>
      <c r="AA966" t="s">
        <v>2742</v>
      </c>
      <c r="AB966" t="s">
        <v>2742</v>
      </c>
      <c r="AC966" t="s">
        <v>2665</v>
      </c>
      <c r="AD966" t="s">
        <v>2054</v>
      </c>
      <c r="AE966" t="s">
        <v>2054</v>
      </c>
    </row>
    <row r="967" spans="1:31" x14ac:dyDescent="0.25">
      <c r="A967" t="s">
        <v>4661</v>
      </c>
      <c r="B967" t="s">
        <v>4662</v>
      </c>
      <c r="C967" t="s">
        <v>4663</v>
      </c>
      <c r="D967" t="s">
        <v>4662</v>
      </c>
      <c r="E967" t="s">
        <v>2666</v>
      </c>
      <c r="F967" t="s">
        <v>3770</v>
      </c>
      <c r="G967" t="s">
        <v>2666</v>
      </c>
      <c r="H967" t="s">
        <v>2054</v>
      </c>
      <c r="I967" t="s">
        <v>2741</v>
      </c>
      <c r="J967" t="s">
        <v>2054</v>
      </c>
      <c r="K967" t="s">
        <v>2665</v>
      </c>
      <c r="L967" t="s">
        <v>1136</v>
      </c>
      <c r="M967" t="s">
        <v>2669</v>
      </c>
      <c r="N967" t="s">
        <v>2665</v>
      </c>
      <c r="O967" t="s">
        <v>2670</v>
      </c>
      <c r="P967" t="s">
        <v>2671</v>
      </c>
      <c r="Q967" t="s">
        <v>2672</v>
      </c>
      <c r="R967" t="s">
        <v>2665</v>
      </c>
      <c r="S967" t="s">
        <v>2671</v>
      </c>
      <c r="T967" t="s">
        <v>2673</v>
      </c>
      <c r="U967" t="s">
        <v>2665</v>
      </c>
      <c r="V967" t="s">
        <v>2671</v>
      </c>
      <c r="W967" t="s">
        <v>2674</v>
      </c>
      <c r="X967" t="s">
        <v>2665</v>
      </c>
      <c r="Y967" t="s">
        <v>2054</v>
      </c>
      <c r="Z967" t="s">
        <v>1136</v>
      </c>
      <c r="AA967" t="s">
        <v>2742</v>
      </c>
      <c r="AB967" t="s">
        <v>2742</v>
      </c>
      <c r="AC967" t="s">
        <v>2665</v>
      </c>
      <c r="AD967" t="s">
        <v>2054</v>
      </c>
      <c r="AE967" t="s">
        <v>2054</v>
      </c>
    </row>
    <row r="968" spans="1:31" x14ac:dyDescent="0.25">
      <c r="A968" t="s">
        <v>4664</v>
      </c>
      <c r="B968" t="s">
        <v>4665</v>
      </c>
      <c r="C968" t="s">
        <v>4666</v>
      </c>
      <c r="D968" t="s">
        <v>4665</v>
      </c>
      <c r="E968" t="s">
        <v>2666</v>
      </c>
      <c r="F968" t="s">
        <v>4667</v>
      </c>
      <c r="G968" t="s">
        <v>2666</v>
      </c>
      <c r="H968" t="s">
        <v>2054</v>
      </c>
      <c r="I968" t="s">
        <v>2741</v>
      </c>
      <c r="J968" t="s">
        <v>2054</v>
      </c>
      <c r="K968" t="s">
        <v>2665</v>
      </c>
      <c r="L968" t="s">
        <v>1136</v>
      </c>
      <c r="M968" t="s">
        <v>2669</v>
      </c>
      <c r="N968" t="s">
        <v>2665</v>
      </c>
      <c r="O968" t="s">
        <v>2670</v>
      </c>
      <c r="P968" t="s">
        <v>2671</v>
      </c>
      <c r="Q968" t="s">
        <v>2672</v>
      </c>
      <c r="R968" t="s">
        <v>2665</v>
      </c>
      <c r="S968" t="s">
        <v>2671</v>
      </c>
      <c r="T968" t="s">
        <v>2673</v>
      </c>
      <c r="U968" t="s">
        <v>2665</v>
      </c>
      <c r="V968" t="s">
        <v>2671</v>
      </c>
      <c r="W968" t="s">
        <v>2674</v>
      </c>
      <c r="X968" t="s">
        <v>2665</v>
      </c>
      <c r="Y968" t="s">
        <v>2054</v>
      </c>
      <c r="Z968" t="s">
        <v>1136</v>
      </c>
      <c r="AA968" t="s">
        <v>2742</v>
      </c>
      <c r="AB968" t="s">
        <v>2742</v>
      </c>
      <c r="AC968" t="s">
        <v>2665</v>
      </c>
      <c r="AD968" t="s">
        <v>2054</v>
      </c>
      <c r="AE968" t="s">
        <v>2054</v>
      </c>
    </row>
    <row r="969" spans="1:31" x14ac:dyDescent="0.25">
      <c r="A969" t="s">
        <v>4668</v>
      </c>
      <c r="B969" t="s">
        <v>4669</v>
      </c>
      <c r="C969" t="s">
        <v>4670</v>
      </c>
      <c r="D969" t="s">
        <v>4669</v>
      </c>
      <c r="E969" t="s">
        <v>2666</v>
      </c>
      <c r="F969" t="s">
        <v>2857</v>
      </c>
      <c r="G969" t="s">
        <v>2666</v>
      </c>
      <c r="H969" t="s">
        <v>2054</v>
      </c>
      <c r="I969" t="s">
        <v>2741</v>
      </c>
      <c r="J969" t="s">
        <v>2054</v>
      </c>
      <c r="K969" t="s">
        <v>2665</v>
      </c>
      <c r="L969" t="s">
        <v>1136</v>
      </c>
      <c r="M969" t="s">
        <v>2669</v>
      </c>
      <c r="N969" t="s">
        <v>2665</v>
      </c>
      <c r="O969" t="s">
        <v>2670</v>
      </c>
      <c r="P969" t="s">
        <v>2671</v>
      </c>
      <c r="Q969" t="s">
        <v>2672</v>
      </c>
      <c r="R969" t="s">
        <v>2665</v>
      </c>
      <c r="S969" t="s">
        <v>2671</v>
      </c>
      <c r="T969" t="s">
        <v>2673</v>
      </c>
      <c r="U969" t="s">
        <v>2665</v>
      </c>
      <c r="V969" t="s">
        <v>2671</v>
      </c>
      <c r="W969" t="s">
        <v>2674</v>
      </c>
      <c r="X969" t="s">
        <v>2665</v>
      </c>
      <c r="Y969" t="s">
        <v>2054</v>
      </c>
      <c r="Z969" t="s">
        <v>1136</v>
      </c>
      <c r="AA969" t="s">
        <v>2742</v>
      </c>
      <c r="AB969" t="s">
        <v>2742</v>
      </c>
      <c r="AC969" t="s">
        <v>2665</v>
      </c>
      <c r="AD969" t="s">
        <v>2054</v>
      </c>
      <c r="AE969" t="s">
        <v>2054</v>
      </c>
    </row>
    <row r="970" spans="1:31" x14ac:dyDescent="0.25">
      <c r="A970" t="s">
        <v>4671</v>
      </c>
      <c r="B970" t="s">
        <v>4672</v>
      </c>
      <c r="C970" t="s">
        <v>4673</v>
      </c>
      <c r="D970" t="s">
        <v>4672</v>
      </c>
      <c r="E970" t="s">
        <v>2666</v>
      </c>
      <c r="F970" t="s">
        <v>3607</v>
      </c>
      <c r="G970" t="s">
        <v>2666</v>
      </c>
      <c r="H970" t="s">
        <v>2054</v>
      </c>
      <c r="I970" t="s">
        <v>2741</v>
      </c>
      <c r="J970" t="s">
        <v>2054</v>
      </c>
      <c r="K970" t="s">
        <v>2665</v>
      </c>
      <c r="L970" t="s">
        <v>1136</v>
      </c>
      <c r="M970" t="s">
        <v>2669</v>
      </c>
      <c r="N970" t="s">
        <v>2665</v>
      </c>
      <c r="O970" t="s">
        <v>2670</v>
      </c>
      <c r="P970" t="s">
        <v>2671</v>
      </c>
      <c r="Q970" t="s">
        <v>2672</v>
      </c>
      <c r="R970" t="s">
        <v>2665</v>
      </c>
      <c r="S970" t="s">
        <v>2671</v>
      </c>
      <c r="T970" t="s">
        <v>2673</v>
      </c>
      <c r="U970" t="s">
        <v>2665</v>
      </c>
      <c r="V970" t="s">
        <v>2671</v>
      </c>
      <c r="W970" t="s">
        <v>2674</v>
      </c>
      <c r="X970" t="s">
        <v>2665</v>
      </c>
      <c r="Y970" t="s">
        <v>2054</v>
      </c>
      <c r="Z970" t="s">
        <v>1136</v>
      </c>
      <c r="AA970" t="s">
        <v>2742</v>
      </c>
      <c r="AB970" t="s">
        <v>2742</v>
      </c>
      <c r="AC970" t="s">
        <v>2665</v>
      </c>
      <c r="AD970" t="s">
        <v>2054</v>
      </c>
      <c r="AE970" t="s">
        <v>2054</v>
      </c>
    </row>
    <row r="971" spans="1:31" x14ac:dyDescent="0.25">
      <c r="A971" t="s">
        <v>4674</v>
      </c>
      <c r="B971" t="s">
        <v>4675</v>
      </c>
      <c r="C971" t="s">
        <v>4676</v>
      </c>
      <c r="D971" t="s">
        <v>4675</v>
      </c>
      <c r="E971" t="s">
        <v>2666</v>
      </c>
      <c r="F971" t="s">
        <v>3830</v>
      </c>
      <c r="G971" t="s">
        <v>2666</v>
      </c>
      <c r="H971" t="s">
        <v>2054</v>
      </c>
      <c r="I971" t="s">
        <v>2741</v>
      </c>
      <c r="J971" t="s">
        <v>2054</v>
      </c>
      <c r="K971" t="s">
        <v>2665</v>
      </c>
      <c r="L971" t="s">
        <v>1136</v>
      </c>
      <c r="M971" t="s">
        <v>2669</v>
      </c>
      <c r="N971" t="s">
        <v>2665</v>
      </c>
      <c r="O971" t="s">
        <v>2670</v>
      </c>
      <c r="P971" t="s">
        <v>2671</v>
      </c>
      <c r="Q971" t="s">
        <v>2672</v>
      </c>
      <c r="R971" t="s">
        <v>2665</v>
      </c>
      <c r="S971" t="s">
        <v>2671</v>
      </c>
      <c r="T971" t="s">
        <v>2673</v>
      </c>
      <c r="U971" t="s">
        <v>2665</v>
      </c>
      <c r="V971" t="s">
        <v>2671</v>
      </c>
      <c r="W971" t="s">
        <v>2674</v>
      </c>
      <c r="X971" t="s">
        <v>2665</v>
      </c>
      <c r="Y971" t="s">
        <v>2054</v>
      </c>
      <c r="Z971" t="s">
        <v>1136</v>
      </c>
      <c r="AA971" t="s">
        <v>2742</v>
      </c>
      <c r="AB971" t="s">
        <v>2742</v>
      </c>
      <c r="AC971" t="s">
        <v>2665</v>
      </c>
      <c r="AD971" t="s">
        <v>2054</v>
      </c>
      <c r="AE971" t="s">
        <v>2054</v>
      </c>
    </row>
    <row r="972" spans="1:31" x14ac:dyDescent="0.25">
      <c r="A972" t="s">
        <v>4677</v>
      </c>
      <c r="B972" t="s">
        <v>4678</v>
      </c>
      <c r="C972" t="s">
        <v>4679</v>
      </c>
      <c r="D972" t="s">
        <v>4678</v>
      </c>
      <c r="E972" t="s">
        <v>2666</v>
      </c>
      <c r="F972" t="s">
        <v>4667</v>
      </c>
      <c r="G972" t="s">
        <v>2666</v>
      </c>
      <c r="H972" t="s">
        <v>2054</v>
      </c>
      <c r="I972" t="s">
        <v>2741</v>
      </c>
      <c r="J972" t="s">
        <v>2054</v>
      </c>
      <c r="K972" t="s">
        <v>2665</v>
      </c>
      <c r="L972" t="s">
        <v>1136</v>
      </c>
      <c r="M972" t="s">
        <v>2669</v>
      </c>
      <c r="N972" t="s">
        <v>2665</v>
      </c>
      <c r="O972" t="s">
        <v>2670</v>
      </c>
      <c r="P972" t="s">
        <v>2671</v>
      </c>
      <c r="Q972" t="s">
        <v>2672</v>
      </c>
      <c r="R972" t="s">
        <v>2665</v>
      </c>
      <c r="S972" t="s">
        <v>2671</v>
      </c>
      <c r="T972" t="s">
        <v>2673</v>
      </c>
      <c r="U972" t="s">
        <v>2665</v>
      </c>
      <c r="V972" t="s">
        <v>2671</v>
      </c>
      <c r="W972" t="s">
        <v>2674</v>
      </c>
      <c r="X972" t="s">
        <v>2665</v>
      </c>
      <c r="Y972" t="s">
        <v>2054</v>
      </c>
      <c r="Z972" t="s">
        <v>1136</v>
      </c>
      <c r="AA972" t="s">
        <v>2742</v>
      </c>
      <c r="AB972" t="s">
        <v>2742</v>
      </c>
      <c r="AC972" t="s">
        <v>2665</v>
      </c>
      <c r="AD972" t="s">
        <v>2054</v>
      </c>
      <c r="AE972" t="s">
        <v>2054</v>
      </c>
    </row>
    <row r="973" spans="1:31" x14ac:dyDescent="0.25">
      <c r="A973" t="s">
        <v>4680</v>
      </c>
      <c r="B973" t="s">
        <v>4681</v>
      </c>
      <c r="C973" t="s">
        <v>4682</v>
      </c>
      <c r="D973" t="s">
        <v>4681</v>
      </c>
      <c r="E973" t="s">
        <v>2666</v>
      </c>
      <c r="F973" t="s">
        <v>4095</v>
      </c>
      <c r="G973" t="s">
        <v>2666</v>
      </c>
      <c r="H973" t="s">
        <v>2054</v>
      </c>
      <c r="I973" t="s">
        <v>2741</v>
      </c>
      <c r="J973" t="s">
        <v>2054</v>
      </c>
      <c r="K973" t="s">
        <v>2665</v>
      </c>
      <c r="L973" t="s">
        <v>1136</v>
      </c>
      <c r="M973" t="s">
        <v>2669</v>
      </c>
      <c r="N973" t="s">
        <v>2665</v>
      </c>
      <c r="O973" t="s">
        <v>2670</v>
      </c>
      <c r="P973" t="s">
        <v>2671</v>
      </c>
      <c r="Q973" t="s">
        <v>2672</v>
      </c>
      <c r="R973" t="s">
        <v>2665</v>
      </c>
      <c r="S973" t="s">
        <v>2671</v>
      </c>
      <c r="T973" t="s">
        <v>2673</v>
      </c>
      <c r="U973" t="s">
        <v>2665</v>
      </c>
      <c r="V973" t="s">
        <v>2671</v>
      </c>
      <c r="W973" t="s">
        <v>2674</v>
      </c>
      <c r="X973" t="s">
        <v>2665</v>
      </c>
      <c r="Y973" t="s">
        <v>2054</v>
      </c>
      <c r="Z973" t="s">
        <v>1136</v>
      </c>
      <c r="AA973" t="s">
        <v>2742</v>
      </c>
      <c r="AB973" t="s">
        <v>2742</v>
      </c>
      <c r="AC973" t="s">
        <v>2665</v>
      </c>
      <c r="AD973" t="s">
        <v>2054</v>
      </c>
      <c r="AE973" t="s">
        <v>2054</v>
      </c>
    </row>
    <row r="974" spans="1:31" x14ac:dyDescent="0.25">
      <c r="A974" t="s">
        <v>4683</v>
      </c>
      <c r="B974" t="s">
        <v>4684</v>
      </c>
      <c r="C974" t="s">
        <v>4685</v>
      </c>
      <c r="D974" t="s">
        <v>4684</v>
      </c>
      <c r="E974" t="s">
        <v>2666</v>
      </c>
      <c r="F974" t="s">
        <v>2916</v>
      </c>
      <c r="G974" t="s">
        <v>2666</v>
      </c>
      <c r="H974" t="s">
        <v>2054</v>
      </c>
      <c r="I974" t="s">
        <v>2741</v>
      </c>
      <c r="J974" t="s">
        <v>2054</v>
      </c>
      <c r="K974" t="s">
        <v>2665</v>
      </c>
      <c r="L974" t="s">
        <v>1136</v>
      </c>
      <c r="M974" t="s">
        <v>2669</v>
      </c>
      <c r="N974" t="s">
        <v>2665</v>
      </c>
      <c r="O974" t="s">
        <v>2670</v>
      </c>
      <c r="P974" t="s">
        <v>2671</v>
      </c>
      <c r="Q974" t="s">
        <v>2672</v>
      </c>
      <c r="R974" t="s">
        <v>2665</v>
      </c>
      <c r="S974" t="s">
        <v>2671</v>
      </c>
      <c r="T974" t="s">
        <v>2673</v>
      </c>
      <c r="U974" t="s">
        <v>2665</v>
      </c>
      <c r="V974" t="s">
        <v>2671</v>
      </c>
      <c r="W974" t="s">
        <v>2674</v>
      </c>
      <c r="X974" t="s">
        <v>2665</v>
      </c>
      <c r="Y974" t="s">
        <v>2054</v>
      </c>
      <c r="Z974" t="s">
        <v>1136</v>
      </c>
      <c r="AA974" t="s">
        <v>2742</v>
      </c>
      <c r="AB974" t="s">
        <v>2742</v>
      </c>
      <c r="AC974" t="s">
        <v>2665</v>
      </c>
      <c r="AD974" t="s">
        <v>2054</v>
      </c>
      <c r="AE974" t="s">
        <v>2054</v>
      </c>
    </row>
    <row r="975" spans="1:31" x14ac:dyDescent="0.25">
      <c r="A975" t="s">
        <v>4686</v>
      </c>
      <c r="B975" t="s">
        <v>4687</v>
      </c>
      <c r="C975" t="s">
        <v>4688</v>
      </c>
      <c r="D975" t="s">
        <v>4687</v>
      </c>
      <c r="E975" t="s">
        <v>2666</v>
      </c>
      <c r="F975" t="s">
        <v>2746</v>
      </c>
      <c r="G975" t="s">
        <v>2666</v>
      </c>
      <c r="H975" t="s">
        <v>2054</v>
      </c>
      <c r="I975" t="s">
        <v>2778</v>
      </c>
      <c r="J975" t="s">
        <v>2054</v>
      </c>
      <c r="K975" t="s">
        <v>2665</v>
      </c>
      <c r="L975" t="s">
        <v>1179</v>
      </c>
      <c r="M975" t="s">
        <v>2669</v>
      </c>
      <c r="N975" t="s">
        <v>2665</v>
      </c>
      <c r="O975" t="s">
        <v>2670</v>
      </c>
      <c r="P975" t="s">
        <v>2671</v>
      </c>
      <c r="Q975" t="s">
        <v>2672</v>
      </c>
      <c r="R975" t="s">
        <v>2665</v>
      </c>
      <c r="S975" t="s">
        <v>2671</v>
      </c>
      <c r="T975" t="s">
        <v>2673</v>
      </c>
      <c r="U975" t="s">
        <v>2665</v>
      </c>
      <c r="V975" t="s">
        <v>2671</v>
      </c>
      <c r="W975" t="s">
        <v>2674</v>
      </c>
      <c r="X975" t="s">
        <v>2665</v>
      </c>
      <c r="Y975" t="s">
        <v>2054</v>
      </c>
      <c r="Z975" t="s">
        <v>1179</v>
      </c>
      <c r="AA975" t="s">
        <v>2791</v>
      </c>
      <c r="AB975" t="s">
        <v>2791</v>
      </c>
      <c r="AC975" t="s">
        <v>2665</v>
      </c>
      <c r="AD975" t="s">
        <v>2054</v>
      </c>
      <c r="AE975" t="s">
        <v>2054</v>
      </c>
    </row>
    <row r="976" spans="1:31" x14ac:dyDescent="0.25">
      <c r="A976" t="s">
        <v>1973</v>
      </c>
      <c r="B976" t="s">
        <v>1972</v>
      </c>
      <c r="C976" t="s">
        <v>4689</v>
      </c>
      <c r="D976" t="s">
        <v>1972</v>
      </c>
      <c r="E976" t="s">
        <v>2666</v>
      </c>
      <c r="F976" t="s">
        <v>3868</v>
      </c>
      <c r="G976" t="s">
        <v>2666</v>
      </c>
      <c r="H976" t="s">
        <v>2054</v>
      </c>
      <c r="I976" t="s">
        <v>2741</v>
      </c>
      <c r="J976" t="s">
        <v>2054</v>
      </c>
      <c r="K976" t="s">
        <v>2665</v>
      </c>
      <c r="L976" t="s">
        <v>1136</v>
      </c>
      <c r="M976" t="s">
        <v>2669</v>
      </c>
      <c r="N976" t="s">
        <v>2665</v>
      </c>
      <c r="O976" t="s">
        <v>2670</v>
      </c>
      <c r="P976" t="s">
        <v>2671</v>
      </c>
      <c r="Q976" t="s">
        <v>2672</v>
      </c>
      <c r="R976" t="s">
        <v>2665</v>
      </c>
      <c r="S976" t="s">
        <v>2671</v>
      </c>
      <c r="T976" t="s">
        <v>2673</v>
      </c>
      <c r="U976" t="s">
        <v>2665</v>
      </c>
      <c r="V976" t="s">
        <v>2671</v>
      </c>
      <c r="W976" t="s">
        <v>2674</v>
      </c>
      <c r="X976" t="s">
        <v>2665</v>
      </c>
      <c r="Y976" t="s">
        <v>2054</v>
      </c>
      <c r="Z976" t="s">
        <v>1136</v>
      </c>
      <c r="AA976" t="s">
        <v>2742</v>
      </c>
      <c r="AB976" t="s">
        <v>2742</v>
      </c>
      <c r="AC976" t="s">
        <v>2665</v>
      </c>
      <c r="AD976" t="s">
        <v>2054</v>
      </c>
      <c r="AE976" t="s">
        <v>2054</v>
      </c>
    </row>
    <row r="977" spans="1:31" x14ac:dyDescent="0.25">
      <c r="A977" t="s">
        <v>1975</v>
      </c>
      <c r="B977" t="s">
        <v>1974</v>
      </c>
      <c r="C977" t="s">
        <v>4690</v>
      </c>
      <c r="D977" t="s">
        <v>1974</v>
      </c>
      <c r="E977" t="s">
        <v>2666</v>
      </c>
      <c r="F977" t="s">
        <v>3868</v>
      </c>
      <c r="G977" t="s">
        <v>2666</v>
      </c>
      <c r="H977" t="s">
        <v>2054</v>
      </c>
      <c r="I977" t="s">
        <v>2741</v>
      </c>
      <c r="J977" t="s">
        <v>2054</v>
      </c>
      <c r="K977" t="s">
        <v>2665</v>
      </c>
      <c r="L977" t="s">
        <v>1136</v>
      </c>
      <c r="M977" t="s">
        <v>2669</v>
      </c>
      <c r="N977" t="s">
        <v>2665</v>
      </c>
      <c r="O977" t="s">
        <v>2670</v>
      </c>
      <c r="P977" t="s">
        <v>2671</v>
      </c>
      <c r="Q977" t="s">
        <v>2672</v>
      </c>
      <c r="R977" t="s">
        <v>2665</v>
      </c>
      <c r="S977" t="s">
        <v>2671</v>
      </c>
      <c r="T977" t="s">
        <v>2673</v>
      </c>
      <c r="U977" t="s">
        <v>2665</v>
      </c>
      <c r="V977" t="s">
        <v>2671</v>
      </c>
      <c r="W977" t="s">
        <v>2674</v>
      </c>
      <c r="X977" t="s">
        <v>2665</v>
      </c>
      <c r="Y977" t="s">
        <v>2054</v>
      </c>
      <c r="Z977" t="s">
        <v>1136</v>
      </c>
      <c r="AA977" t="s">
        <v>2742</v>
      </c>
      <c r="AB977" t="s">
        <v>2742</v>
      </c>
      <c r="AC977" t="s">
        <v>2665</v>
      </c>
      <c r="AD977" t="s">
        <v>2054</v>
      </c>
      <c r="AE977" t="s">
        <v>2054</v>
      </c>
    </row>
    <row r="978" spans="1:31" x14ac:dyDescent="0.25">
      <c r="A978" t="s">
        <v>1977</v>
      </c>
      <c r="B978" t="s">
        <v>1976</v>
      </c>
      <c r="C978" t="s">
        <v>4691</v>
      </c>
      <c r="D978" t="s">
        <v>1976</v>
      </c>
      <c r="E978" t="s">
        <v>2666</v>
      </c>
      <c r="F978" t="s">
        <v>2916</v>
      </c>
      <c r="G978" t="s">
        <v>2666</v>
      </c>
      <c r="H978" t="s">
        <v>2054</v>
      </c>
      <c r="I978" t="s">
        <v>2741</v>
      </c>
      <c r="J978" t="s">
        <v>2054</v>
      </c>
      <c r="K978" t="s">
        <v>2665</v>
      </c>
      <c r="L978" t="s">
        <v>1136</v>
      </c>
      <c r="M978" t="s">
        <v>2669</v>
      </c>
      <c r="N978" t="s">
        <v>2665</v>
      </c>
      <c r="O978" t="s">
        <v>2670</v>
      </c>
      <c r="P978" t="s">
        <v>2671</v>
      </c>
      <c r="Q978" t="s">
        <v>2672</v>
      </c>
      <c r="R978" t="s">
        <v>2665</v>
      </c>
      <c r="S978" t="s">
        <v>2671</v>
      </c>
      <c r="T978" t="s">
        <v>2673</v>
      </c>
      <c r="U978" t="s">
        <v>2665</v>
      </c>
      <c r="V978" t="s">
        <v>2671</v>
      </c>
      <c r="W978" t="s">
        <v>2674</v>
      </c>
      <c r="X978" t="s">
        <v>2665</v>
      </c>
      <c r="Y978" t="s">
        <v>2054</v>
      </c>
      <c r="Z978" t="s">
        <v>1136</v>
      </c>
      <c r="AA978" t="s">
        <v>2791</v>
      </c>
      <c r="AB978" t="s">
        <v>2791</v>
      </c>
      <c r="AC978" t="s">
        <v>2665</v>
      </c>
      <c r="AD978" t="s">
        <v>2054</v>
      </c>
      <c r="AE978" t="s">
        <v>2054</v>
      </c>
    </row>
    <row r="979" spans="1:31" x14ac:dyDescent="0.25">
      <c r="A979" t="s">
        <v>1979</v>
      </c>
      <c r="B979" t="s">
        <v>1978</v>
      </c>
      <c r="C979" t="s">
        <v>4692</v>
      </c>
      <c r="D979" t="s">
        <v>1978</v>
      </c>
      <c r="E979" t="s">
        <v>2666</v>
      </c>
      <c r="F979" t="s">
        <v>2916</v>
      </c>
      <c r="G979" t="s">
        <v>2666</v>
      </c>
      <c r="H979" t="s">
        <v>2054</v>
      </c>
      <c r="I979" t="s">
        <v>2741</v>
      </c>
      <c r="J979" t="s">
        <v>2054</v>
      </c>
      <c r="K979" t="s">
        <v>2665</v>
      </c>
      <c r="L979" t="s">
        <v>1136</v>
      </c>
      <c r="M979" t="s">
        <v>2669</v>
      </c>
      <c r="N979" t="s">
        <v>2665</v>
      </c>
      <c r="O979" t="s">
        <v>2670</v>
      </c>
      <c r="P979" t="s">
        <v>2671</v>
      </c>
      <c r="Q979" t="s">
        <v>2672</v>
      </c>
      <c r="R979" t="s">
        <v>2665</v>
      </c>
      <c r="S979" t="s">
        <v>2671</v>
      </c>
      <c r="T979" t="s">
        <v>2673</v>
      </c>
      <c r="U979" t="s">
        <v>2665</v>
      </c>
      <c r="V979" t="s">
        <v>2671</v>
      </c>
      <c r="W979" t="s">
        <v>2674</v>
      </c>
      <c r="X979" t="s">
        <v>2665</v>
      </c>
      <c r="Y979" t="s">
        <v>2054</v>
      </c>
      <c r="Z979" t="s">
        <v>1136</v>
      </c>
      <c r="AA979" t="s">
        <v>2791</v>
      </c>
      <c r="AB979" t="s">
        <v>2791</v>
      </c>
      <c r="AC979" t="s">
        <v>2665</v>
      </c>
      <c r="AD979" t="s">
        <v>2054</v>
      </c>
      <c r="AE979" t="s">
        <v>2054</v>
      </c>
    </row>
    <row r="980" spans="1:31" x14ac:dyDescent="0.25">
      <c r="A980" t="s">
        <v>4693</v>
      </c>
      <c r="B980" t="s">
        <v>4694</v>
      </c>
      <c r="C980" t="s">
        <v>4695</v>
      </c>
      <c r="D980" t="s">
        <v>4694</v>
      </c>
      <c r="E980" t="s">
        <v>2666</v>
      </c>
      <c r="F980" t="s">
        <v>2916</v>
      </c>
      <c r="G980" t="s">
        <v>2666</v>
      </c>
      <c r="H980" t="s">
        <v>2054</v>
      </c>
      <c r="I980" t="s">
        <v>2778</v>
      </c>
      <c r="J980" t="s">
        <v>2054</v>
      </c>
      <c r="K980" t="s">
        <v>2665</v>
      </c>
      <c r="L980" t="s">
        <v>1179</v>
      </c>
      <c r="M980" t="s">
        <v>2669</v>
      </c>
      <c r="N980" t="s">
        <v>2665</v>
      </c>
      <c r="O980" t="s">
        <v>2670</v>
      </c>
      <c r="P980" t="s">
        <v>2671</v>
      </c>
      <c r="Q980" t="s">
        <v>2672</v>
      </c>
      <c r="R980" t="s">
        <v>2665</v>
      </c>
      <c r="S980" t="s">
        <v>2671</v>
      </c>
      <c r="T980" t="s">
        <v>2673</v>
      </c>
      <c r="U980" t="s">
        <v>2665</v>
      </c>
      <c r="V980" t="s">
        <v>2671</v>
      </c>
      <c r="W980" t="s">
        <v>2674</v>
      </c>
      <c r="X980" t="s">
        <v>2665</v>
      </c>
      <c r="Y980" t="s">
        <v>2054</v>
      </c>
      <c r="Z980" t="s">
        <v>1179</v>
      </c>
      <c r="AA980" t="s">
        <v>2742</v>
      </c>
      <c r="AB980" t="s">
        <v>2742</v>
      </c>
      <c r="AC980" t="s">
        <v>2665</v>
      </c>
      <c r="AD980" t="s">
        <v>2054</v>
      </c>
      <c r="AE980" t="s">
        <v>2054</v>
      </c>
    </row>
    <row r="981" spans="1:31" x14ac:dyDescent="0.25">
      <c r="A981" t="s">
        <v>4696</v>
      </c>
      <c r="B981" t="s">
        <v>4697</v>
      </c>
      <c r="C981" t="s">
        <v>4698</v>
      </c>
      <c r="D981" t="s">
        <v>4697</v>
      </c>
      <c r="E981" t="s">
        <v>2666</v>
      </c>
      <c r="F981" t="s">
        <v>2746</v>
      </c>
      <c r="G981" t="s">
        <v>2666</v>
      </c>
      <c r="H981" t="s">
        <v>2054</v>
      </c>
      <c r="I981" t="s">
        <v>2778</v>
      </c>
      <c r="J981" t="s">
        <v>2054</v>
      </c>
      <c r="K981" t="s">
        <v>2665</v>
      </c>
      <c r="L981" t="s">
        <v>1179</v>
      </c>
      <c r="M981" t="s">
        <v>2669</v>
      </c>
      <c r="N981" t="s">
        <v>2665</v>
      </c>
      <c r="O981" t="s">
        <v>2670</v>
      </c>
      <c r="P981" t="s">
        <v>2671</v>
      </c>
      <c r="Q981" t="s">
        <v>2672</v>
      </c>
      <c r="R981" t="s">
        <v>2665</v>
      </c>
      <c r="S981" t="s">
        <v>2671</v>
      </c>
      <c r="T981" t="s">
        <v>2673</v>
      </c>
      <c r="U981" t="s">
        <v>2665</v>
      </c>
      <c r="V981" t="s">
        <v>2671</v>
      </c>
      <c r="W981" t="s">
        <v>2674</v>
      </c>
      <c r="X981" t="s">
        <v>2665</v>
      </c>
      <c r="Y981" t="s">
        <v>2054</v>
      </c>
      <c r="Z981" t="s">
        <v>1179</v>
      </c>
      <c r="AA981" t="s">
        <v>2791</v>
      </c>
      <c r="AB981" t="s">
        <v>2791</v>
      </c>
      <c r="AC981" t="s">
        <v>2665</v>
      </c>
      <c r="AD981" t="s">
        <v>2054</v>
      </c>
      <c r="AE981" t="s">
        <v>2054</v>
      </c>
    </row>
    <row r="982" spans="1:31" x14ac:dyDescent="0.25">
      <c r="A982" t="s">
        <v>4699</v>
      </c>
      <c r="B982" t="s">
        <v>4700</v>
      </c>
      <c r="C982" t="s">
        <v>4701</v>
      </c>
      <c r="D982" t="s">
        <v>4700</v>
      </c>
      <c r="E982" t="s">
        <v>2666</v>
      </c>
      <c r="F982" t="s">
        <v>4702</v>
      </c>
      <c r="G982" t="s">
        <v>2666</v>
      </c>
      <c r="H982" t="s">
        <v>2054</v>
      </c>
      <c r="I982" t="s">
        <v>2778</v>
      </c>
      <c r="J982" t="s">
        <v>2054</v>
      </c>
      <c r="K982" t="s">
        <v>2665</v>
      </c>
      <c r="L982" t="s">
        <v>1179</v>
      </c>
      <c r="M982" t="s">
        <v>2669</v>
      </c>
      <c r="N982" t="s">
        <v>2665</v>
      </c>
      <c r="O982" t="s">
        <v>2670</v>
      </c>
      <c r="P982" t="s">
        <v>2671</v>
      </c>
      <c r="Q982" t="s">
        <v>2672</v>
      </c>
      <c r="R982" t="s">
        <v>2665</v>
      </c>
      <c r="S982" t="s">
        <v>2671</v>
      </c>
      <c r="T982" t="s">
        <v>2673</v>
      </c>
      <c r="U982" t="s">
        <v>2665</v>
      </c>
      <c r="V982" t="s">
        <v>2671</v>
      </c>
      <c r="W982" t="s">
        <v>2674</v>
      </c>
      <c r="X982" t="s">
        <v>2665</v>
      </c>
      <c r="Y982" t="s">
        <v>2054</v>
      </c>
      <c r="Z982" t="s">
        <v>1179</v>
      </c>
      <c r="AA982" t="s">
        <v>2791</v>
      </c>
      <c r="AB982" t="s">
        <v>2791</v>
      </c>
      <c r="AC982" t="s">
        <v>2665</v>
      </c>
      <c r="AD982" t="s">
        <v>2054</v>
      </c>
      <c r="AE982" t="s">
        <v>2054</v>
      </c>
    </row>
    <row r="983" spans="1:31" x14ac:dyDescent="0.25">
      <c r="A983" t="s">
        <v>4703</v>
      </c>
      <c r="B983" t="s">
        <v>4704</v>
      </c>
      <c r="C983" t="s">
        <v>4705</v>
      </c>
      <c r="D983" t="s">
        <v>4704</v>
      </c>
      <c r="E983" t="s">
        <v>2666</v>
      </c>
      <c r="F983" t="s">
        <v>2866</v>
      </c>
      <c r="G983" t="s">
        <v>2666</v>
      </c>
      <c r="H983" t="s">
        <v>2054</v>
      </c>
      <c r="I983" t="s">
        <v>2741</v>
      </c>
      <c r="J983" t="s">
        <v>2054</v>
      </c>
      <c r="K983" t="s">
        <v>2665</v>
      </c>
      <c r="L983" t="s">
        <v>1136</v>
      </c>
      <c r="M983" t="s">
        <v>2669</v>
      </c>
      <c r="N983" t="s">
        <v>2665</v>
      </c>
      <c r="O983" t="s">
        <v>2670</v>
      </c>
      <c r="P983" t="s">
        <v>2671</v>
      </c>
      <c r="Q983" t="s">
        <v>2672</v>
      </c>
      <c r="R983" t="s">
        <v>2665</v>
      </c>
      <c r="S983" t="s">
        <v>2779</v>
      </c>
      <c r="T983" t="s">
        <v>2780</v>
      </c>
      <c r="U983" t="s">
        <v>2665</v>
      </c>
      <c r="V983" t="s">
        <v>2671</v>
      </c>
      <c r="W983" t="s">
        <v>2674</v>
      </c>
      <c r="X983" t="s">
        <v>2665</v>
      </c>
      <c r="Y983" t="s">
        <v>2054</v>
      </c>
      <c r="Z983" t="s">
        <v>1136</v>
      </c>
      <c r="AA983" t="s">
        <v>2797</v>
      </c>
      <c r="AB983" t="s">
        <v>2797</v>
      </c>
      <c r="AC983" t="s">
        <v>2665</v>
      </c>
      <c r="AD983" t="s">
        <v>2054</v>
      </c>
      <c r="AE983" t="s">
        <v>2718</v>
      </c>
    </row>
    <row r="984" spans="1:31" x14ac:dyDescent="0.25">
      <c r="A984" t="s">
        <v>4706</v>
      </c>
      <c r="B984" t="s">
        <v>4707</v>
      </c>
      <c r="C984" t="s">
        <v>4708</v>
      </c>
      <c r="D984" t="s">
        <v>4707</v>
      </c>
      <c r="E984" t="s">
        <v>2666</v>
      </c>
      <c r="F984" t="s">
        <v>2712</v>
      </c>
      <c r="G984" t="s">
        <v>2666</v>
      </c>
      <c r="H984" t="s">
        <v>2054</v>
      </c>
      <c r="I984" t="s">
        <v>2741</v>
      </c>
      <c r="J984" t="s">
        <v>2054</v>
      </c>
      <c r="K984" t="s">
        <v>2665</v>
      </c>
      <c r="L984" t="s">
        <v>1136</v>
      </c>
      <c r="M984" t="s">
        <v>2669</v>
      </c>
      <c r="N984" t="s">
        <v>2665</v>
      </c>
      <c r="O984" t="s">
        <v>2670</v>
      </c>
      <c r="P984" t="s">
        <v>2671</v>
      </c>
      <c r="Q984" t="s">
        <v>2672</v>
      </c>
      <c r="R984" t="s">
        <v>2665</v>
      </c>
      <c r="S984" t="s">
        <v>2779</v>
      </c>
      <c r="T984" t="s">
        <v>2780</v>
      </c>
      <c r="U984" t="s">
        <v>2665</v>
      </c>
      <c r="V984" t="s">
        <v>2671</v>
      </c>
      <c r="W984" t="s">
        <v>2674</v>
      </c>
      <c r="X984" t="s">
        <v>2665</v>
      </c>
      <c r="Y984" t="s">
        <v>2054</v>
      </c>
      <c r="Z984" t="s">
        <v>1136</v>
      </c>
      <c r="AA984" t="s">
        <v>2797</v>
      </c>
      <c r="AB984" t="s">
        <v>2797</v>
      </c>
      <c r="AC984" t="s">
        <v>2665</v>
      </c>
      <c r="AD984" t="s">
        <v>2054</v>
      </c>
      <c r="AE984" t="s">
        <v>2718</v>
      </c>
    </row>
    <row r="985" spans="1:31" x14ac:dyDescent="0.25">
      <c r="A985" t="s">
        <v>4709</v>
      </c>
      <c r="B985" t="s">
        <v>4710</v>
      </c>
      <c r="C985" t="s">
        <v>4711</v>
      </c>
      <c r="D985" t="s">
        <v>4710</v>
      </c>
      <c r="E985" t="s">
        <v>2666</v>
      </c>
      <c r="F985" t="s">
        <v>2916</v>
      </c>
      <c r="G985" t="s">
        <v>2666</v>
      </c>
      <c r="H985" t="s">
        <v>2054</v>
      </c>
      <c r="I985" t="s">
        <v>2778</v>
      </c>
      <c r="J985" t="s">
        <v>2054</v>
      </c>
      <c r="K985" t="s">
        <v>2665</v>
      </c>
      <c r="L985" t="s">
        <v>1179</v>
      </c>
      <c r="M985" t="s">
        <v>2669</v>
      </c>
      <c r="N985" t="s">
        <v>2665</v>
      </c>
      <c r="O985" t="s">
        <v>2670</v>
      </c>
      <c r="P985" t="s">
        <v>2671</v>
      </c>
      <c r="Q985" t="s">
        <v>2672</v>
      </c>
      <c r="R985" t="s">
        <v>2665</v>
      </c>
      <c r="S985" t="s">
        <v>2671</v>
      </c>
      <c r="T985" t="s">
        <v>2673</v>
      </c>
      <c r="U985" t="s">
        <v>2665</v>
      </c>
      <c r="V985" t="s">
        <v>2671</v>
      </c>
      <c r="W985" t="s">
        <v>2674</v>
      </c>
      <c r="X985" t="s">
        <v>2665</v>
      </c>
      <c r="Y985" t="s">
        <v>2054</v>
      </c>
      <c r="Z985" t="s">
        <v>1179</v>
      </c>
      <c r="AA985" t="s">
        <v>2791</v>
      </c>
      <c r="AB985" t="s">
        <v>2791</v>
      </c>
      <c r="AC985" t="s">
        <v>2665</v>
      </c>
      <c r="AD985" t="s">
        <v>2054</v>
      </c>
      <c r="AE985" t="s">
        <v>2054</v>
      </c>
    </row>
    <row r="986" spans="1:31" x14ac:dyDescent="0.25">
      <c r="A986" t="s">
        <v>4712</v>
      </c>
      <c r="B986" t="s">
        <v>4713</v>
      </c>
      <c r="C986" t="s">
        <v>4714</v>
      </c>
      <c r="D986" t="s">
        <v>4713</v>
      </c>
      <c r="E986" t="s">
        <v>2666</v>
      </c>
      <c r="F986" t="s">
        <v>2765</v>
      </c>
      <c r="G986" t="s">
        <v>2666</v>
      </c>
      <c r="H986" t="s">
        <v>2054</v>
      </c>
      <c r="I986" t="s">
        <v>2741</v>
      </c>
      <c r="J986" t="s">
        <v>2054</v>
      </c>
      <c r="K986" t="s">
        <v>2665</v>
      </c>
      <c r="L986" t="s">
        <v>1136</v>
      </c>
      <c r="M986" t="s">
        <v>2669</v>
      </c>
      <c r="N986" t="s">
        <v>2665</v>
      </c>
      <c r="O986" t="s">
        <v>2670</v>
      </c>
      <c r="P986" t="s">
        <v>2671</v>
      </c>
      <c r="Q986" t="s">
        <v>2672</v>
      </c>
      <c r="R986" t="s">
        <v>2665</v>
      </c>
      <c r="S986" t="s">
        <v>2671</v>
      </c>
      <c r="T986" t="s">
        <v>2673</v>
      </c>
      <c r="U986" t="s">
        <v>2665</v>
      </c>
      <c r="V986" t="s">
        <v>2671</v>
      </c>
      <c r="W986" t="s">
        <v>2674</v>
      </c>
      <c r="X986" t="s">
        <v>2665</v>
      </c>
      <c r="Y986" t="s">
        <v>2054</v>
      </c>
      <c r="Z986" t="s">
        <v>1136</v>
      </c>
      <c r="AA986" t="s">
        <v>2742</v>
      </c>
      <c r="AB986" t="s">
        <v>2742</v>
      </c>
      <c r="AC986" t="s">
        <v>2665</v>
      </c>
      <c r="AD986" t="s">
        <v>2054</v>
      </c>
      <c r="AE986" t="s">
        <v>2054</v>
      </c>
    </row>
    <row r="987" spans="1:31" x14ac:dyDescent="0.25">
      <c r="A987" t="s">
        <v>4715</v>
      </c>
      <c r="B987" t="s">
        <v>4716</v>
      </c>
      <c r="C987" t="s">
        <v>4717</v>
      </c>
      <c r="D987" t="s">
        <v>4716</v>
      </c>
      <c r="E987" t="s">
        <v>2666</v>
      </c>
      <c r="F987" t="s">
        <v>2866</v>
      </c>
      <c r="G987" t="s">
        <v>2666</v>
      </c>
      <c r="H987" t="s">
        <v>2054</v>
      </c>
      <c r="I987" t="s">
        <v>2741</v>
      </c>
      <c r="J987" t="s">
        <v>2054</v>
      </c>
      <c r="K987" t="s">
        <v>2665</v>
      </c>
      <c r="L987" t="s">
        <v>1136</v>
      </c>
      <c r="M987" t="s">
        <v>2669</v>
      </c>
      <c r="N987" t="s">
        <v>2665</v>
      </c>
      <c r="O987" t="s">
        <v>2670</v>
      </c>
      <c r="P987" t="s">
        <v>2671</v>
      </c>
      <c r="Q987" t="s">
        <v>2672</v>
      </c>
      <c r="R987" t="s">
        <v>2665</v>
      </c>
      <c r="S987" t="s">
        <v>2779</v>
      </c>
      <c r="T987" t="s">
        <v>2780</v>
      </c>
      <c r="U987" t="s">
        <v>2665</v>
      </c>
      <c r="V987" t="s">
        <v>2671</v>
      </c>
      <c r="W987" t="s">
        <v>2674</v>
      </c>
      <c r="X987" t="s">
        <v>2665</v>
      </c>
      <c r="Y987" t="s">
        <v>2054</v>
      </c>
      <c r="Z987" t="s">
        <v>1136</v>
      </c>
      <c r="AA987" t="s">
        <v>2797</v>
      </c>
      <c r="AB987" t="s">
        <v>2797</v>
      </c>
      <c r="AC987" t="s">
        <v>2665</v>
      </c>
      <c r="AD987" t="s">
        <v>2054</v>
      </c>
      <c r="AE987" t="s">
        <v>2054</v>
      </c>
    </row>
    <row r="988" spans="1:31" x14ac:dyDescent="0.25">
      <c r="A988" t="s">
        <v>4718</v>
      </c>
      <c r="B988" t="s">
        <v>4719</v>
      </c>
      <c r="C988" t="s">
        <v>4720</v>
      </c>
      <c r="D988" t="s">
        <v>4719</v>
      </c>
      <c r="E988" t="s">
        <v>2666</v>
      </c>
      <c r="F988" t="s">
        <v>2712</v>
      </c>
      <c r="G988" t="s">
        <v>2666</v>
      </c>
      <c r="H988" t="s">
        <v>2054</v>
      </c>
      <c r="I988" t="s">
        <v>2741</v>
      </c>
      <c r="J988" t="s">
        <v>2054</v>
      </c>
      <c r="K988" t="s">
        <v>2665</v>
      </c>
      <c r="L988" t="s">
        <v>1136</v>
      </c>
      <c r="M988" t="s">
        <v>2669</v>
      </c>
      <c r="N988" t="s">
        <v>2665</v>
      </c>
      <c r="O988" t="s">
        <v>2670</v>
      </c>
      <c r="P988" t="s">
        <v>2671</v>
      </c>
      <c r="Q988" t="s">
        <v>2672</v>
      </c>
      <c r="R988" t="s">
        <v>2665</v>
      </c>
      <c r="S988" t="s">
        <v>2779</v>
      </c>
      <c r="T988" t="s">
        <v>2780</v>
      </c>
      <c r="U988" t="s">
        <v>2665</v>
      </c>
      <c r="V988" t="s">
        <v>2671</v>
      </c>
      <c r="W988" t="s">
        <v>2674</v>
      </c>
      <c r="X988" t="s">
        <v>2665</v>
      </c>
      <c r="Y988" t="s">
        <v>2054</v>
      </c>
      <c r="Z988" t="s">
        <v>1136</v>
      </c>
      <c r="AA988" t="s">
        <v>2797</v>
      </c>
      <c r="AB988" t="s">
        <v>2797</v>
      </c>
      <c r="AC988" t="s">
        <v>2665</v>
      </c>
      <c r="AD988" t="s">
        <v>2054</v>
      </c>
      <c r="AE988" t="s">
        <v>2054</v>
      </c>
    </row>
    <row r="989" spans="1:31" x14ac:dyDescent="0.25">
      <c r="A989" t="s">
        <v>4721</v>
      </c>
      <c r="B989" t="s">
        <v>4722</v>
      </c>
      <c r="C989" t="s">
        <v>4723</v>
      </c>
      <c r="D989" t="s">
        <v>4722</v>
      </c>
      <c r="E989" t="s">
        <v>2666</v>
      </c>
      <c r="F989" t="s">
        <v>2712</v>
      </c>
      <c r="G989" t="s">
        <v>2666</v>
      </c>
      <c r="H989" t="s">
        <v>2054</v>
      </c>
      <c r="I989" t="s">
        <v>2741</v>
      </c>
      <c r="J989" t="s">
        <v>2054</v>
      </c>
      <c r="K989" t="s">
        <v>2665</v>
      </c>
      <c r="L989" t="s">
        <v>1136</v>
      </c>
      <c r="M989" t="s">
        <v>2669</v>
      </c>
      <c r="N989" t="s">
        <v>2665</v>
      </c>
      <c r="O989" t="s">
        <v>2670</v>
      </c>
      <c r="P989" t="s">
        <v>2671</v>
      </c>
      <c r="Q989" t="s">
        <v>2672</v>
      </c>
      <c r="R989" t="s">
        <v>2665</v>
      </c>
      <c r="S989" t="s">
        <v>2671</v>
      </c>
      <c r="T989" t="s">
        <v>2673</v>
      </c>
      <c r="U989" t="s">
        <v>2665</v>
      </c>
      <c r="V989" t="s">
        <v>2671</v>
      </c>
      <c r="W989" t="s">
        <v>2674</v>
      </c>
      <c r="X989" t="s">
        <v>2665</v>
      </c>
      <c r="Y989" t="s">
        <v>2054</v>
      </c>
      <c r="Z989" t="s">
        <v>1136</v>
      </c>
      <c r="AA989" t="s">
        <v>2797</v>
      </c>
      <c r="AB989" t="s">
        <v>2797</v>
      </c>
      <c r="AC989" t="s">
        <v>2665</v>
      </c>
      <c r="AD989" t="s">
        <v>2054</v>
      </c>
      <c r="AE989" t="s">
        <v>2054</v>
      </c>
    </row>
    <row r="990" spans="1:31" x14ac:dyDescent="0.25">
      <c r="A990" t="s">
        <v>4724</v>
      </c>
      <c r="B990" t="s">
        <v>4725</v>
      </c>
      <c r="C990" t="s">
        <v>4726</v>
      </c>
      <c r="D990" t="s">
        <v>4725</v>
      </c>
      <c r="E990" t="s">
        <v>2666</v>
      </c>
      <c r="F990" t="s">
        <v>2712</v>
      </c>
      <c r="G990" t="s">
        <v>2666</v>
      </c>
      <c r="H990" t="s">
        <v>2054</v>
      </c>
      <c r="I990" t="s">
        <v>2741</v>
      </c>
      <c r="J990" t="s">
        <v>2054</v>
      </c>
      <c r="K990" t="s">
        <v>2665</v>
      </c>
      <c r="L990" t="s">
        <v>1136</v>
      </c>
      <c r="M990" t="s">
        <v>2669</v>
      </c>
      <c r="N990" t="s">
        <v>2665</v>
      </c>
      <c r="O990" t="s">
        <v>2670</v>
      </c>
      <c r="P990" t="s">
        <v>2671</v>
      </c>
      <c r="Q990" t="s">
        <v>2672</v>
      </c>
      <c r="R990" t="s">
        <v>2665</v>
      </c>
      <c r="S990" t="s">
        <v>2671</v>
      </c>
      <c r="T990" t="s">
        <v>2673</v>
      </c>
      <c r="U990" t="s">
        <v>2665</v>
      </c>
      <c r="V990" t="s">
        <v>2671</v>
      </c>
      <c r="W990" t="s">
        <v>2674</v>
      </c>
      <c r="X990" t="s">
        <v>2665</v>
      </c>
      <c r="Y990" t="s">
        <v>2054</v>
      </c>
      <c r="Z990" t="s">
        <v>1136</v>
      </c>
      <c r="AA990" t="s">
        <v>2797</v>
      </c>
      <c r="AB990" t="s">
        <v>2797</v>
      </c>
      <c r="AC990" t="s">
        <v>2665</v>
      </c>
      <c r="AD990" t="s">
        <v>2054</v>
      </c>
      <c r="AE990" t="s">
        <v>2054</v>
      </c>
    </row>
    <row r="991" spans="1:31" x14ac:dyDescent="0.25">
      <c r="A991" t="s">
        <v>1981</v>
      </c>
      <c r="B991" t="s">
        <v>1980</v>
      </c>
      <c r="C991" t="s">
        <v>4727</v>
      </c>
      <c r="D991" t="s">
        <v>1980</v>
      </c>
      <c r="E991" t="s">
        <v>2666</v>
      </c>
      <c r="F991" t="s">
        <v>2705</v>
      </c>
      <c r="G991" t="s">
        <v>2666</v>
      </c>
      <c r="H991" t="s">
        <v>2054</v>
      </c>
      <c r="I991" t="s">
        <v>2706</v>
      </c>
      <c r="J991" t="s">
        <v>2054</v>
      </c>
      <c r="K991" t="s">
        <v>2665</v>
      </c>
      <c r="L991" t="s">
        <v>1104</v>
      </c>
      <c r="M991" t="s">
        <v>2669</v>
      </c>
      <c r="N991" t="s">
        <v>2665</v>
      </c>
      <c r="O991" t="s">
        <v>2670</v>
      </c>
      <c r="P991" t="s">
        <v>2671</v>
      </c>
      <c r="Q991" t="s">
        <v>2672</v>
      </c>
      <c r="R991" t="s">
        <v>2665</v>
      </c>
      <c r="S991" t="s">
        <v>2671</v>
      </c>
      <c r="T991" t="s">
        <v>2673</v>
      </c>
      <c r="U991" t="s">
        <v>2665</v>
      </c>
      <c r="V991" t="s">
        <v>2713</v>
      </c>
      <c r="W991" t="s">
        <v>2714</v>
      </c>
      <c r="X991" t="s">
        <v>2665</v>
      </c>
      <c r="Y991" t="s">
        <v>2054</v>
      </c>
      <c r="Z991" t="s">
        <v>1104</v>
      </c>
      <c r="AA991" t="s">
        <v>2665</v>
      </c>
      <c r="AB991" t="s">
        <v>2665</v>
      </c>
      <c r="AC991" t="s">
        <v>2665</v>
      </c>
      <c r="AD991" t="s">
        <v>2054</v>
      </c>
      <c r="AE991" t="s">
        <v>2054</v>
      </c>
    </row>
    <row r="992" spans="1:31" x14ac:dyDescent="0.25">
      <c r="A992" t="s">
        <v>1982</v>
      </c>
      <c r="B992" t="s">
        <v>182</v>
      </c>
      <c r="C992" t="s">
        <v>4728</v>
      </c>
      <c r="D992" t="s">
        <v>182</v>
      </c>
      <c r="E992" t="s">
        <v>2666</v>
      </c>
      <c r="F992" t="s">
        <v>2712</v>
      </c>
      <c r="G992" t="s">
        <v>2666</v>
      </c>
      <c r="H992" t="s">
        <v>2054</v>
      </c>
      <c r="I992" t="s">
        <v>2668</v>
      </c>
      <c r="J992" t="s">
        <v>2054</v>
      </c>
      <c r="K992" t="s">
        <v>2665</v>
      </c>
      <c r="L992" t="s">
        <v>1063</v>
      </c>
      <c r="M992" t="s">
        <v>2898</v>
      </c>
      <c r="N992" t="s">
        <v>2665</v>
      </c>
      <c r="O992" t="s">
        <v>2984</v>
      </c>
      <c r="P992" t="s">
        <v>2671</v>
      </c>
      <c r="Q992" t="s">
        <v>2672</v>
      </c>
      <c r="R992" t="s">
        <v>2665</v>
      </c>
      <c r="S992" t="s">
        <v>2779</v>
      </c>
      <c r="T992" t="s">
        <v>2780</v>
      </c>
      <c r="U992" t="s">
        <v>2665</v>
      </c>
      <c r="V992" t="s">
        <v>2713</v>
      </c>
      <c r="W992" t="s">
        <v>2714</v>
      </c>
      <c r="X992" t="s">
        <v>2665</v>
      </c>
      <c r="Y992" t="s">
        <v>2054</v>
      </c>
      <c r="Z992" t="s">
        <v>1063</v>
      </c>
      <c r="AA992" t="s">
        <v>2665</v>
      </c>
      <c r="AB992" t="s">
        <v>2665</v>
      </c>
      <c r="AC992" t="s">
        <v>2665</v>
      </c>
      <c r="AD992" t="s">
        <v>2054</v>
      </c>
      <c r="AE992" t="s">
        <v>2054</v>
      </c>
    </row>
    <row r="993" spans="1:31" x14ac:dyDescent="0.25">
      <c r="A993" t="s">
        <v>1983</v>
      </c>
      <c r="B993" t="s">
        <v>183</v>
      </c>
      <c r="C993" t="s">
        <v>4729</v>
      </c>
      <c r="D993" t="s">
        <v>183</v>
      </c>
      <c r="E993" t="s">
        <v>2666</v>
      </c>
      <c r="F993" t="s">
        <v>2666</v>
      </c>
      <c r="G993" t="s">
        <v>2666</v>
      </c>
      <c r="H993" t="s">
        <v>2054</v>
      </c>
      <c r="I993" t="s">
        <v>2668</v>
      </c>
      <c r="J993" t="s">
        <v>2054</v>
      </c>
      <c r="K993" t="s">
        <v>2665</v>
      </c>
      <c r="L993" t="s">
        <v>1063</v>
      </c>
      <c r="M993" t="s">
        <v>2898</v>
      </c>
      <c r="N993" t="s">
        <v>2665</v>
      </c>
      <c r="O993" t="s">
        <v>2984</v>
      </c>
      <c r="P993" t="s">
        <v>2671</v>
      </c>
      <c r="Q993" t="s">
        <v>2672</v>
      </c>
      <c r="R993" t="s">
        <v>2665</v>
      </c>
      <c r="S993" t="s">
        <v>2779</v>
      </c>
      <c r="T993" t="s">
        <v>2780</v>
      </c>
      <c r="U993" t="s">
        <v>2665</v>
      </c>
      <c r="V993" t="s">
        <v>2713</v>
      </c>
      <c r="W993" t="s">
        <v>2714</v>
      </c>
      <c r="X993" t="s">
        <v>2665</v>
      </c>
      <c r="Y993" t="s">
        <v>2054</v>
      </c>
      <c r="Z993" t="s">
        <v>1063</v>
      </c>
      <c r="AA993" t="s">
        <v>2665</v>
      </c>
      <c r="AB993" t="s">
        <v>2665</v>
      </c>
      <c r="AC993" t="s">
        <v>2665</v>
      </c>
      <c r="AD993" t="s">
        <v>2054</v>
      </c>
      <c r="AE993" t="s">
        <v>2054</v>
      </c>
    </row>
    <row r="994" spans="1:31" x14ac:dyDescent="0.25">
      <c r="A994" t="s">
        <v>1984</v>
      </c>
      <c r="B994" t="s">
        <v>184</v>
      </c>
      <c r="C994" t="s">
        <v>4730</v>
      </c>
      <c r="D994" t="s">
        <v>184</v>
      </c>
      <c r="E994" t="s">
        <v>2666</v>
      </c>
      <c r="F994" t="s">
        <v>2712</v>
      </c>
      <c r="G994" t="s">
        <v>2666</v>
      </c>
      <c r="H994" t="s">
        <v>2054</v>
      </c>
      <c r="I994" t="s">
        <v>2668</v>
      </c>
      <c r="J994" t="s">
        <v>2054</v>
      </c>
      <c r="K994" t="s">
        <v>2665</v>
      </c>
      <c r="L994" t="s">
        <v>1063</v>
      </c>
      <c r="M994" t="s">
        <v>2898</v>
      </c>
      <c r="N994" t="s">
        <v>2665</v>
      </c>
      <c r="O994" t="s">
        <v>2984</v>
      </c>
      <c r="P994" t="s">
        <v>2671</v>
      </c>
      <c r="Q994" t="s">
        <v>2672</v>
      </c>
      <c r="R994" t="s">
        <v>2665</v>
      </c>
      <c r="S994" t="s">
        <v>2779</v>
      </c>
      <c r="T994" t="s">
        <v>2780</v>
      </c>
      <c r="U994" t="s">
        <v>2665</v>
      </c>
      <c r="V994" t="s">
        <v>2713</v>
      </c>
      <c r="W994" t="s">
        <v>2714</v>
      </c>
      <c r="X994" t="s">
        <v>2665</v>
      </c>
      <c r="Y994" t="s">
        <v>2054</v>
      </c>
      <c r="Z994" t="s">
        <v>1063</v>
      </c>
      <c r="AA994" t="s">
        <v>2665</v>
      </c>
      <c r="AB994" t="s">
        <v>2665</v>
      </c>
      <c r="AC994" t="s">
        <v>2665</v>
      </c>
      <c r="AD994" t="s">
        <v>2054</v>
      </c>
      <c r="AE994" t="s">
        <v>2054</v>
      </c>
    </row>
    <row r="995" spans="1:31" x14ac:dyDescent="0.25">
      <c r="A995" t="s">
        <v>1985</v>
      </c>
      <c r="B995" t="s">
        <v>185</v>
      </c>
      <c r="C995" t="s">
        <v>4731</v>
      </c>
      <c r="D995" t="s">
        <v>185</v>
      </c>
      <c r="E995" t="s">
        <v>2666</v>
      </c>
      <c r="F995" t="s">
        <v>2712</v>
      </c>
      <c r="G995" t="s">
        <v>2666</v>
      </c>
      <c r="H995" t="s">
        <v>2054</v>
      </c>
      <c r="I995" t="s">
        <v>2668</v>
      </c>
      <c r="J995" t="s">
        <v>2054</v>
      </c>
      <c r="K995" t="s">
        <v>2665</v>
      </c>
      <c r="L995" t="s">
        <v>1063</v>
      </c>
      <c r="M995" t="s">
        <v>2898</v>
      </c>
      <c r="N995" t="s">
        <v>2665</v>
      </c>
      <c r="O995" t="s">
        <v>2984</v>
      </c>
      <c r="P995" t="s">
        <v>2671</v>
      </c>
      <c r="Q995" t="s">
        <v>2672</v>
      </c>
      <c r="R995" t="s">
        <v>2665</v>
      </c>
      <c r="S995" t="s">
        <v>2779</v>
      </c>
      <c r="T995" t="s">
        <v>2780</v>
      </c>
      <c r="U995" t="s">
        <v>2665</v>
      </c>
      <c r="V995" t="s">
        <v>2713</v>
      </c>
      <c r="W995" t="s">
        <v>2714</v>
      </c>
      <c r="X995" t="s">
        <v>2665</v>
      </c>
      <c r="Y995" t="s">
        <v>2054</v>
      </c>
      <c r="Z995" t="s">
        <v>1063</v>
      </c>
      <c r="AA995" t="s">
        <v>2665</v>
      </c>
      <c r="AB995" t="s">
        <v>2665</v>
      </c>
      <c r="AC995" t="s">
        <v>2665</v>
      </c>
      <c r="AD995" t="s">
        <v>2054</v>
      </c>
      <c r="AE995" t="s">
        <v>2054</v>
      </c>
    </row>
    <row r="996" spans="1:31" x14ac:dyDescent="0.25">
      <c r="A996" t="s">
        <v>1986</v>
      </c>
      <c r="B996" t="s">
        <v>186</v>
      </c>
      <c r="C996" t="s">
        <v>4732</v>
      </c>
      <c r="D996" t="s">
        <v>186</v>
      </c>
      <c r="E996" t="s">
        <v>2666</v>
      </c>
      <c r="F996" t="s">
        <v>2712</v>
      </c>
      <c r="G996" t="s">
        <v>2666</v>
      </c>
      <c r="H996" t="s">
        <v>2054</v>
      </c>
      <c r="I996" t="s">
        <v>2668</v>
      </c>
      <c r="J996" t="s">
        <v>2054</v>
      </c>
      <c r="K996" t="s">
        <v>2665</v>
      </c>
      <c r="L996" t="s">
        <v>1063</v>
      </c>
      <c r="M996" t="s">
        <v>2898</v>
      </c>
      <c r="N996" t="s">
        <v>2665</v>
      </c>
      <c r="O996" t="s">
        <v>2984</v>
      </c>
      <c r="P996" t="s">
        <v>2671</v>
      </c>
      <c r="Q996" t="s">
        <v>2672</v>
      </c>
      <c r="R996" t="s">
        <v>2665</v>
      </c>
      <c r="S996" t="s">
        <v>2779</v>
      </c>
      <c r="T996" t="s">
        <v>2780</v>
      </c>
      <c r="U996" t="s">
        <v>2665</v>
      </c>
      <c r="V996" t="s">
        <v>2713</v>
      </c>
      <c r="W996" t="s">
        <v>2714</v>
      </c>
      <c r="X996" t="s">
        <v>2665</v>
      </c>
      <c r="Y996" t="s">
        <v>2054</v>
      </c>
      <c r="Z996" t="s">
        <v>1063</v>
      </c>
      <c r="AA996" t="s">
        <v>2665</v>
      </c>
      <c r="AB996" t="s">
        <v>2665</v>
      </c>
      <c r="AC996" t="s">
        <v>2665</v>
      </c>
      <c r="AD996" t="s">
        <v>2054</v>
      </c>
      <c r="AE996" t="s">
        <v>2054</v>
      </c>
    </row>
    <row r="997" spans="1:31" x14ac:dyDescent="0.25">
      <c r="A997" t="s">
        <v>1987</v>
      </c>
      <c r="B997" t="s">
        <v>187</v>
      </c>
      <c r="C997" t="s">
        <v>4733</v>
      </c>
      <c r="D997" t="s">
        <v>187</v>
      </c>
      <c r="E997" t="s">
        <v>2666</v>
      </c>
      <c r="F997" t="s">
        <v>2705</v>
      </c>
      <c r="G997" t="s">
        <v>2666</v>
      </c>
      <c r="H997" t="s">
        <v>2054</v>
      </c>
      <c r="I997" t="s">
        <v>2668</v>
      </c>
      <c r="J997" t="s">
        <v>2054</v>
      </c>
      <c r="K997" t="s">
        <v>2665</v>
      </c>
      <c r="L997" t="s">
        <v>1063</v>
      </c>
      <c r="M997" t="s">
        <v>2669</v>
      </c>
      <c r="N997" t="s">
        <v>2665</v>
      </c>
      <c r="O997" t="s">
        <v>2670</v>
      </c>
      <c r="P997" t="s">
        <v>2671</v>
      </c>
      <c r="Q997" t="s">
        <v>2672</v>
      </c>
      <c r="R997" t="s">
        <v>2665</v>
      </c>
      <c r="S997" t="s">
        <v>2779</v>
      </c>
      <c r="T997" t="s">
        <v>2780</v>
      </c>
      <c r="U997" t="s">
        <v>2665</v>
      </c>
      <c r="V997" t="s">
        <v>2713</v>
      </c>
      <c r="W997" t="s">
        <v>2714</v>
      </c>
      <c r="X997" t="s">
        <v>2665</v>
      </c>
      <c r="Y997" t="s">
        <v>2054</v>
      </c>
      <c r="Z997" t="s">
        <v>1063</v>
      </c>
      <c r="AA997" t="s">
        <v>2665</v>
      </c>
      <c r="AB997" t="s">
        <v>2665</v>
      </c>
      <c r="AC997" t="s">
        <v>2665</v>
      </c>
      <c r="AD997" t="s">
        <v>2054</v>
      </c>
      <c r="AE997" t="s">
        <v>2054</v>
      </c>
    </row>
    <row r="998" spans="1:31" x14ac:dyDescent="0.25">
      <c r="A998" t="s">
        <v>4734</v>
      </c>
      <c r="B998" t="s">
        <v>4735</v>
      </c>
      <c r="C998" t="s">
        <v>4736</v>
      </c>
      <c r="D998" t="s">
        <v>4735</v>
      </c>
      <c r="E998" t="s">
        <v>2666</v>
      </c>
      <c r="F998" t="s">
        <v>2712</v>
      </c>
      <c r="G998" t="s">
        <v>2666</v>
      </c>
      <c r="H998" t="s">
        <v>2054</v>
      </c>
      <c r="I998" t="s">
        <v>2668</v>
      </c>
      <c r="J998" t="s">
        <v>2054</v>
      </c>
      <c r="K998" t="s">
        <v>2665</v>
      </c>
      <c r="L998" t="s">
        <v>1063</v>
      </c>
      <c r="M998" t="s">
        <v>2669</v>
      </c>
      <c r="N998" t="s">
        <v>2665</v>
      </c>
      <c r="O998" t="s">
        <v>2670</v>
      </c>
      <c r="P998" t="s">
        <v>2671</v>
      </c>
      <c r="Q998" t="s">
        <v>2672</v>
      </c>
      <c r="R998" t="s">
        <v>2665</v>
      </c>
      <c r="S998" t="s">
        <v>2671</v>
      </c>
      <c r="T998" t="s">
        <v>2673</v>
      </c>
      <c r="U998" t="s">
        <v>2665</v>
      </c>
      <c r="V998" t="s">
        <v>2713</v>
      </c>
      <c r="W998" t="s">
        <v>2714</v>
      </c>
      <c r="X998" t="s">
        <v>2665</v>
      </c>
      <c r="Y998" t="s">
        <v>2054</v>
      </c>
      <c r="Z998" t="s">
        <v>1063</v>
      </c>
      <c r="AA998" t="s">
        <v>2665</v>
      </c>
      <c r="AB998" t="s">
        <v>2665</v>
      </c>
      <c r="AC998" t="s">
        <v>2665</v>
      </c>
      <c r="AD998" t="s">
        <v>2054</v>
      </c>
      <c r="AE998" t="s">
        <v>2054</v>
      </c>
    </row>
    <row r="999" spans="1:31" x14ac:dyDescent="0.25">
      <c r="A999" t="s">
        <v>1988</v>
      </c>
      <c r="B999" t="s">
        <v>188</v>
      </c>
      <c r="C999" t="s">
        <v>4737</v>
      </c>
      <c r="D999" t="s">
        <v>188</v>
      </c>
      <c r="E999" t="s">
        <v>2666</v>
      </c>
      <c r="F999" t="s">
        <v>2712</v>
      </c>
      <c r="G999" t="s">
        <v>2666</v>
      </c>
      <c r="H999" t="s">
        <v>2054</v>
      </c>
      <c r="I999" t="s">
        <v>2668</v>
      </c>
      <c r="J999" t="s">
        <v>2054</v>
      </c>
      <c r="K999" t="s">
        <v>2665</v>
      </c>
      <c r="L999" t="s">
        <v>1063</v>
      </c>
      <c r="M999" t="s">
        <v>2669</v>
      </c>
      <c r="N999" t="s">
        <v>2665</v>
      </c>
      <c r="O999" t="s">
        <v>2670</v>
      </c>
      <c r="P999" t="s">
        <v>2671</v>
      </c>
      <c r="Q999" t="s">
        <v>2672</v>
      </c>
      <c r="R999" t="s">
        <v>2665</v>
      </c>
      <c r="S999" t="s">
        <v>2779</v>
      </c>
      <c r="T999" t="s">
        <v>2780</v>
      </c>
      <c r="U999" t="s">
        <v>2665</v>
      </c>
      <c r="V999" t="s">
        <v>2713</v>
      </c>
      <c r="W999" t="s">
        <v>2714</v>
      </c>
      <c r="X999" t="s">
        <v>2665</v>
      </c>
      <c r="Y999" t="s">
        <v>2054</v>
      </c>
      <c r="Z999" t="s">
        <v>1063</v>
      </c>
      <c r="AA999" t="s">
        <v>2665</v>
      </c>
      <c r="AB999" t="s">
        <v>2665</v>
      </c>
      <c r="AC999" t="s">
        <v>2665</v>
      </c>
      <c r="AD999" t="s">
        <v>2054</v>
      </c>
      <c r="AE999" t="s">
        <v>2054</v>
      </c>
    </row>
    <row r="1000" spans="1:31" x14ac:dyDescent="0.25">
      <c r="A1000" t="s">
        <v>1989</v>
      </c>
      <c r="B1000" t="s">
        <v>189</v>
      </c>
      <c r="C1000" t="s">
        <v>4738</v>
      </c>
      <c r="D1000" t="s">
        <v>189</v>
      </c>
      <c r="E1000" t="s">
        <v>2666</v>
      </c>
      <c r="F1000" t="s">
        <v>2712</v>
      </c>
      <c r="G1000" t="s">
        <v>2666</v>
      </c>
      <c r="H1000" t="s">
        <v>2054</v>
      </c>
      <c r="I1000" t="s">
        <v>2668</v>
      </c>
      <c r="J1000" t="s">
        <v>2054</v>
      </c>
      <c r="K1000" t="s">
        <v>2665</v>
      </c>
      <c r="L1000" t="s">
        <v>1063</v>
      </c>
      <c r="M1000" t="s">
        <v>2669</v>
      </c>
      <c r="N1000" t="s">
        <v>2665</v>
      </c>
      <c r="O1000" t="s">
        <v>2670</v>
      </c>
      <c r="P1000" t="s">
        <v>2671</v>
      </c>
      <c r="Q1000" t="s">
        <v>2672</v>
      </c>
      <c r="R1000" t="s">
        <v>2665</v>
      </c>
      <c r="S1000" t="s">
        <v>2779</v>
      </c>
      <c r="T1000" t="s">
        <v>2780</v>
      </c>
      <c r="U1000" t="s">
        <v>2665</v>
      </c>
      <c r="V1000" t="s">
        <v>2713</v>
      </c>
      <c r="W1000" t="s">
        <v>2714</v>
      </c>
      <c r="X1000" t="s">
        <v>2665</v>
      </c>
      <c r="Y1000" t="s">
        <v>2054</v>
      </c>
      <c r="Z1000" t="s">
        <v>1063</v>
      </c>
      <c r="AA1000" t="s">
        <v>2665</v>
      </c>
      <c r="AB1000" t="s">
        <v>2665</v>
      </c>
      <c r="AC1000" t="s">
        <v>2665</v>
      </c>
      <c r="AD1000" t="s">
        <v>2054</v>
      </c>
      <c r="AE1000" t="s">
        <v>2054</v>
      </c>
    </row>
    <row r="1001" spans="1:31" x14ac:dyDescent="0.25">
      <c r="A1001" t="s">
        <v>1990</v>
      </c>
      <c r="B1001" t="s">
        <v>190</v>
      </c>
      <c r="C1001" t="s">
        <v>4739</v>
      </c>
      <c r="D1001" t="s">
        <v>190</v>
      </c>
      <c r="E1001" t="s">
        <v>2666</v>
      </c>
      <c r="F1001" t="s">
        <v>2712</v>
      </c>
      <c r="G1001" t="s">
        <v>2666</v>
      </c>
      <c r="H1001" t="s">
        <v>2054</v>
      </c>
      <c r="I1001" t="s">
        <v>2668</v>
      </c>
      <c r="J1001" t="s">
        <v>2054</v>
      </c>
      <c r="K1001" t="s">
        <v>2665</v>
      </c>
      <c r="L1001" t="s">
        <v>1063</v>
      </c>
      <c r="M1001" t="s">
        <v>2669</v>
      </c>
      <c r="N1001" t="s">
        <v>2665</v>
      </c>
      <c r="O1001" t="s">
        <v>2670</v>
      </c>
      <c r="P1001" t="s">
        <v>2671</v>
      </c>
      <c r="Q1001" t="s">
        <v>2672</v>
      </c>
      <c r="R1001" t="s">
        <v>2665</v>
      </c>
      <c r="S1001" t="s">
        <v>2779</v>
      </c>
      <c r="T1001" t="s">
        <v>2780</v>
      </c>
      <c r="U1001" t="s">
        <v>2665</v>
      </c>
      <c r="V1001" t="s">
        <v>2713</v>
      </c>
      <c r="W1001" t="s">
        <v>2714</v>
      </c>
      <c r="X1001" t="s">
        <v>2665</v>
      </c>
      <c r="Y1001" t="s">
        <v>2054</v>
      </c>
      <c r="Z1001" t="s">
        <v>1063</v>
      </c>
      <c r="AA1001" t="s">
        <v>2665</v>
      </c>
      <c r="AB1001" t="s">
        <v>2665</v>
      </c>
      <c r="AC1001" t="s">
        <v>2665</v>
      </c>
      <c r="AD1001" t="s">
        <v>2054</v>
      </c>
      <c r="AE1001" t="s">
        <v>2054</v>
      </c>
    </row>
    <row r="1002" spans="1:31" x14ac:dyDescent="0.25">
      <c r="A1002" t="s">
        <v>4740</v>
      </c>
      <c r="B1002" t="s">
        <v>4741</v>
      </c>
      <c r="C1002" t="s">
        <v>4742</v>
      </c>
      <c r="D1002" t="s">
        <v>4741</v>
      </c>
      <c r="E1002" t="s">
        <v>2666</v>
      </c>
      <c r="F1002" t="s">
        <v>2787</v>
      </c>
      <c r="G1002" t="s">
        <v>2666</v>
      </c>
      <c r="H1002" t="s">
        <v>2054</v>
      </c>
      <c r="I1002" t="s">
        <v>2741</v>
      </c>
      <c r="J1002" t="s">
        <v>2054</v>
      </c>
      <c r="K1002" t="s">
        <v>2665</v>
      </c>
      <c r="L1002" t="s">
        <v>1136</v>
      </c>
      <c r="M1002" t="s">
        <v>2669</v>
      </c>
      <c r="N1002" t="s">
        <v>2665</v>
      </c>
      <c r="O1002" t="s">
        <v>2670</v>
      </c>
      <c r="P1002" t="s">
        <v>2671</v>
      </c>
      <c r="Q1002" t="s">
        <v>2672</v>
      </c>
      <c r="R1002" t="s">
        <v>2665</v>
      </c>
      <c r="S1002" t="s">
        <v>2671</v>
      </c>
      <c r="T1002" t="s">
        <v>2673</v>
      </c>
      <c r="U1002" t="s">
        <v>2665</v>
      </c>
      <c r="V1002" t="s">
        <v>2671</v>
      </c>
      <c r="W1002" t="s">
        <v>2674</v>
      </c>
      <c r="X1002" t="s">
        <v>2665</v>
      </c>
      <c r="Y1002" t="s">
        <v>2054</v>
      </c>
      <c r="Z1002" t="s">
        <v>1136</v>
      </c>
      <c r="AA1002" t="s">
        <v>2665</v>
      </c>
      <c r="AB1002" t="s">
        <v>2665</v>
      </c>
      <c r="AC1002" t="s">
        <v>2665</v>
      </c>
      <c r="AD1002" t="s">
        <v>2054</v>
      </c>
      <c r="AE1002" t="s">
        <v>2054</v>
      </c>
    </row>
    <row r="1003" spans="1:31" x14ac:dyDescent="0.25">
      <c r="A1003" t="s">
        <v>2579</v>
      </c>
      <c r="B1003" t="s">
        <v>2578</v>
      </c>
      <c r="C1003" t="s">
        <v>4743</v>
      </c>
      <c r="D1003" t="s">
        <v>2578</v>
      </c>
      <c r="E1003" t="s">
        <v>2666</v>
      </c>
      <c r="F1003" t="s">
        <v>3827</v>
      </c>
      <c r="G1003" t="s">
        <v>2666</v>
      </c>
      <c r="H1003" t="s">
        <v>2054</v>
      </c>
      <c r="I1003" t="s">
        <v>2668</v>
      </c>
      <c r="J1003" t="s">
        <v>2054</v>
      </c>
      <c r="K1003" t="s">
        <v>2665</v>
      </c>
      <c r="L1003" t="s">
        <v>1063</v>
      </c>
      <c r="M1003" t="s">
        <v>2898</v>
      </c>
      <c r="N1003" t="s">
        <v>2665</v>
      </c>
      <c r="O1003" t="s">
        <v>2984</v>
      </c>
      <c r="P1003" t="s">
        <v>2671</v>
      </c>
      <c r="Q1003" t="s">
        <v>2672</v>
      </c>
      <c r="R1003" t="s">
        <v>2665</v>
      </c>
      <c r="S1003" t="s">
        <v>2779</v>
      </c>
      <c r="T1003" t="s">
        <v>2780</v>
      </c>
      <c r="U1003" t="s">
        <v>2665</v>
      </c>
      <c r="V1003" t="s">
        <v>4417</v>
      </c>
      <c r="W1003" t="s">
        <v>2778</v>
      </c>
      <c r="X1003" t="s">
        <v>2665</v>
      </c>
      <c r="Y1003" t="s">
        <v>2054</v>
      </c>
      <c r="Z1003" t="s">
        <v>1063</v>
      </c>
      <c r="AA1003" t="s">
        <v>2665</v>
      </c>
      <c r="AB1003" t="s">
        <v>2665</v>
      </c>
      <c r="AC1003" t="s">
        <v>2665</v>
      </c>
      <c r="AD1003" t="s">
        <v>2054</v>
      </c>
      <c r="AE1003" t="s">
        <v>2054</v>
      </c>
    </row>
    <row r="1004" spans="1:31" x14ac:dyDescent="0.25">
      <c r="A1004" t="s">
        <v>2581</v>
      </c>
      <c r="B1004" t="s">
        <v>2580</v>
      </c>
      <c r="C1004" t="s">
        <v>4744</v>
      </c>
      <c r="D1004" t="s">
        <v>2580</v>
      </c>
      <c r="E1004" t="s">
        <v>2666</v>
      </c>
      <c r="F1004" t="s">
        <v>3827</v>
      </c>
      <c r="G1004" t="s">
        <v>2666</v>
      </c>
      <c r="H1004" t="s">
        <v>2054</v>
      </c>
      <c r="I1004" t="s">
        <v>2668</v>
      </c>
      <c r="J1004" t="s">
        <v>2054</v>
      </c>
      <c r="K1004" t="s">
        <v>2665</v>
      </c>
      <c r="L1004" t="s">
        <v>1063</v>
      </c>
      <c r="M1004" t="s">
        <v>2898</v>
      </c>
      <c r="N1004" t="s">
        <v>2665</v>
      </c>
      <c r="O1004" t="s">
        <v>2984</v>
      </c>
      <c r="P1004" t="s">
        <v>2671</v>
      </c>
      <c r="Q1004" t="s">
        <v>2672</v>
      </c>
      <c r="R1004" t="s">
        <v>2665</v>
      </c>
      <c r="S1004" t="s">
        <v>2779</v>
      </c>
      <c r="T1004" t="s">
        <v>2780</v>
      </c>
      <c r="U1004" t="s">
        <v>2665</v>
      </c>
      <c r="V1004" t="s">
        <v>4417</v>
      </c>
      <c r="W1004" t="s">
        <v>2778</v>
      </c>
      <c r="X1004" t="s">
        <v>2665</v>
      </c>
      <c r="Y1004" t="s">
        <v>2054</v>
      </c>
      <c r="Z1004" t="s">
        <v>1063</v>
      </c>
      <c r="AA1004" t="s">
        <v>2665</v>
      </c>
      <c r="AB1004" t="s">
        <v>2665</v>
      </c>
      <c r="AC1004" t="s">
        <v>2665</v>
      </c>
      <c r="AD1004" t="s">
        <v>2054</v>
      </c>
      <c r="AE1004" t="s">
        <v>2054</v>
      </c>
    </row>
    <row r="1005" spans="1:31" x14ac:dyDescent="0.25">
      <c r="A1005" t="s">
        <v>2583</v>
      </c>
      <c r="B1005" t="s">
        <v>2582</v>
      </c>
      <c r="C1005" t="s">
        <v>4745</v>
      </c>
      <c r="D1005" t="s">
        <v>2582</v>
      </c>
      <c r="E1005" t="s">
        <v>2666</v>
      </c>
      <c r="F1005" t="s">
        <v>3827</v>
      </c>
      <c r="G1005" t="s">
        <v>2666</v>
      </c>
      <c r="H1005" t="s">
        <v>2054</v>
      </c>
      <c r="I1005" t="s">
        <v>2668</v>
      </c>
      <c r="J1005" t="s">
        <v>2054</v>
      </c>
      <c r="K1005" t="s">
        <v>2665</v>
      </c>
      <c r="L1005" t="s">
        <v>1063</v>
      </c>
      <c r="M1005" t="s">
        <v>2898</v>
      </c>
      <c r="N1005" t="s">
        <v>2665</v>
      </c>
      <c r="O1005" t="s">
        <v>2984</v>
      </c>
      <c r="P1005" t="s">
        <v>2671</v>
      </c>
      <c r="Q1005" t="s">
        <v>2672</v>
      </c>
      <c r="R1005" t="s">
        <v>2665</v>
      </c>
      <c r="S1005" t="s">
        <v>2779</v>
      </c>
      <c r="T1005" t="s">
        <v>2780</v>
      </c>
      <c r="U1005" t="s">
        <v>2665</v>
      </c>
      <c r="V1005" t="s">
        <v>4417</v>
      </c>
      <c r="W1005" t="s">
        <v>2778</v>
      </c>
      <c r="X1005" t="s">
        <v>2665</v>
      </c>
      <c r="Y1005" t="s">
        <v>2054</v>
      </c>
      <c r="Z1005" t="s">
        <v>1063</v>
      </c>
      <c r="AA1005" t="s">
        <v>2665</v>
      </c>
      <c r="AB1005" t="s">
        <v>2665</v>
      </c>
      <c r="AC1005" t="s">
        <v>2665</v>
      </c>
      <c r="AD1005" t="s">
        <v>2054</v>
      </c>
      <c r="AE1005" t="s">
        <v>2054</v>
      </c>
    </row>
    <row r="1006" spans="1:31" x14ac:dyDescent="0.25">
      <c r="A1006" t="s">
        <v>2585</v>
      </c>
      <c r="B1006" t="s">
        <v>2584</v>
      </c>
      <c r="C1006" t="s">
        <v>4746</v>
      </c>
      <c r="D1006" t="s">
        <v>2584</v>
      </c>
      <c r="E1006" t="s">
        <v>2666</v>
      </c>
      <c r="F1006" t="s">
        <v>2712</v>
      </c>
      <c r="G1006" t="s">
        <v>2666</v>
      </c>
      <c r="H1006" t="s">
        <v>2054</v>
      </c>
      <c r="I1006" t="s">
        <v>2668</v>
      </c>
      <c r="J1006" t="s">
        <v>2054</v>
      </c>
      <c r="K1006" t="s">
        <v>2665</v>
      </c>
      <c r="L1006" t="s">
        <v>1063</v>
      </c>
      <c r="M1006" t="s">
        <v>2898</v>
      </c>
      <c r="N1006" t="s">
        <v>2665</v>
      </c>
      <c r="O1006" t="s">
        <v>2984</v>
      </c>
      <c r="P1006" t="s">
        <v>2671</v>
      </c>
      <c r="Q1006" t="s">
        <v>2672</v>
      </c>
      <c r="R1006" t="s">
        <v>2665</v>
      </c>
      <c r="S1006" t="s">
        <v>2779</v>
      </c>
      <c r="T1006" t="s">
        <v>2780</v>
      </c>
      <c r="U1006" t="s">
        <v>2665</v>
      </c>
      <c r="V1006" t="s">
        <v>4417</v>
      </c>
      <c r="W1006" t="s">
        <v>2778</v>
      </c>
      <c r="X1006" t="s">
        <v>2665</v>
      </c>
      <c r="Y1006" t="s">
        <v>2054</v>
      </c>
      <c r="Z1006" t="s">
        <v>1063</v>
      </c>
      <c r="AA1006" t="s">
        <v>2665</v>
      </c>
      <c r="AB1006" t="s">
        <v>2665</v>
      </c>
      <c r="AC1006" t="s">
        <v>2665</v>
      </c>
      <c r="AD1006" t="s">
        <v>2054</v>
      </c>
      <c r="AE1006" t="s">
        <v>2054</v>
      </c>
    </row>
    <row r="1007" spans="1:31" x14ac:dyDescent="0.25">
      <c r="A1007" t="s">
        <v>2587</v>
      </c>
      <c r="B1007" t="s">
        <v>2586</v>
      </c>
      <c r="C1007" t="s">
        <v>4747</v>
      </c>
      <c r="D1007" t="s">
        <v>2586</v>
      </c>
      <c r="E1007" t="s">
        <v>2666</v>
      </c>
      <c r="F1007" t="s">
        <v>2712</v>
      </c>
      <c r="G1007" t="s">
        <v>2666</v>
      </c>
      <c r="H1007" t="s">
        <v>2054</v>
      </c>
      <c r="I1007" t="s">
        <v>2668</v>
      </c>
      <c r="J1007" t="s">
        <v>2054</v>
      </c>
      <c r="K1007" t="s">
        <v>2665</v>
      </c>
      <c r="L1007" t="s">
        <v>1063</v>
      </c>
      <c r="M1007" t="s">
        <v>2898</v>
      </c>
      <c r="N1007" t="s">
        <v>2665</v>
      </c>
      <c r="O1007" t="s">
        <v>2984</v>
      </c>
      <c r="P1007" t="s">
        <v>2671</v>
      </c>
      <c r="Q1007" t="s">
        <v>2672</v>
      </c>
      <c r="R1007" t="s">
        <v>2665</v>
      </c>
      <c r="S1007" t="s">
        <v>2779</v>
      </c>
      <c r="T1007" t="s">
        <v>2780</v>
      </c>
      <c r="U1007" t="s">
        <v>2665</v>
      </c>
      <c r="V1007" t="s">
        <v>4417</v>
      </c>
      <c r="W1007" t="s">
        <v>2778</v>
      </c>
      <c r="X1007" t="s">
        <v>2665</v>
      </c>
      <c r="Y1007" t="s">
        <v>2054</v>
      </c>
      <c r="Z1007" t="s">
        <v>1063</v>
      </c>
      <c r="AA1007" t="s">
        <v>2665</v>
      </c>
      <c r="AB1007" t="s">
        <v>2665</v>
      </c>
      <c r="AC1007" t="s">
        <v>2665</v>
      </c>
      <c r="AD1007" t="s">
        <v>2054</v>
      </c>
      <c r="AE1007" t="s">
        <v>2054</v>
      </c>
    </row>
    <row r="1008" spans="1:31" x14ac:dyDescent="0.25">
      <c r="A1008" t="s">
        <v>2589</v>
      </c>
      <c r="B1008" t="s">
        <v>2588</v>
      </c>
      <c r="C1008" t="s">
        <v>4748</v>
      </c>
      <c r="D1008" t="s">
        <v>2588</v>
      </c>
      <c r="E1008" t="s">
        <v>2666</v>
      </c>
      <c r="F1008" t="s">
        <v>2712</v>
      </c>
      <c r="G1008" t="s">
        <v>2666</v>
      </c>
      <c r="H1008" t="s">
        <v>2054</v>
      </c>
      <c r="I1008" t="s">
        <v>2668</v>
      </c>
      <c r="J1008" t="s">
        <v>2054</v>
      </c>
      <c r="K1008" t="s">
        <v>2665</v>
      </c>
      <c r="L1008" t="s">
        <v>1063</v>
      </c>
      <c r="M1008" t="s">
        <v>2898</v>
      </c>
      <c r="N1008" t="s">
        <v>2665</v>
      </c>
      <c r="O1008" t="s">
        <v>2984</v>
      </c>
      <c r="P1008" t="s">
        <v>2671</v>
      </c>
      <c r="Q1008" t="s">
        <v>2672</v>
      </c>
      <c r="R1008" t="s">
        <v>2665</v>
      </c>
      <c r="S1008" t="s">
        <v>2779</v>
      </c>
      <c r="T1008" t="s">
        <v>2780</v>
      </c>
      <c r="U1008" t="s">
        <v>2665</v>
      </c>
      <c r="V1008" t="s">
        <v>4417</v>
      </c>
      <c r="W1008" t="s">
        <v>2778</v>
      </c>
      <c r="X1008" t="s">
        <v>2665</v>
      </c>
      <c r="Y1008" t="s">
        <v>2054</v>
      </c>
      <c r="Z1008" t="s">
        <v>1063</v>
      </c>
      <c r="AA1008" t="s">
        <v>2665</v>
      </c>
      <c r="AB1008" t="s">
        <v>2665</v>
      </c>
      <c r="AC1008" t="s">
        <v>2665</v>
      </c>
      <c r="AD1008" t="s">
        <v>2054</v>
      </c>
      <c r="AE1008" t="s">
        <v>2054</v>
      </c>
    </row>
    <row r="1009" spans="1:31" x14ac:dyDescent="0.25">
      <c r="A1009" t="s">
        <v>4749</v>
      </c>
      <c r="B1009" t="s">
        <v>4750</v>
      </c>
      <c r="C1009" t="s">
        <v>4751</v>
      </c>
      <c r="D1009" t="s">
        <v>4750</v>
      </c>
      <c r="E1009" t="s">
        <v>2666</v>
      </c>
      <c r="F1009" t="s">
        <v>2705</v>
      </c>
      <c r="G1009" t="s">
        <v>2666</v>
      </c>
      <c r="H1009" t="s">
        <v>2054</v>
      </c>
      <c r="I1009" t="s">
        <v>2706</v>
      </c>
      <c r="J1009" t="s">
        <v>2054</v>
      </c>
      <c r="K1009" t="s">
        <v>2665</v>
      </c>
      <c r="L1009" t="s">
        <v>1104</v>
      </c>
      <c r="M1009" t="s">
        <v>2898</v>
      </c>
      <c r="N1009" t="s">
        <v>2665</v>
      </c>
      <c r="O1009" t="s">
        <v>2984</v>
      </c>
      <c r="P1009" t="s">
        <v>2671</v>
      </c>
      <c r="Q1009" t="s">
        <v>2672</v>
      </c>
      <c r="R1009" t="s">
        <v>2665</v>
      </c>
      <c r="S1009" t="s">
        <v>2779</v>
      </c>
      <c r="T1009" t="s">
        <v>2780</v>
      </c>
      <c r="U1009" t="s">
        <v>2665</v>
      </c>
      <c r="V1009" t="s">
        <v>2713</v>
      </c>
      <c r="W1009" t="s">
        <v>2714</v>
      </c>
      <c r="X1009" t="s">
        <v>2665</v>
      </c>
      <c r="Y1009" t="s">
        <v>2054</v>
      </c>
      <c r="Z1009" t="s">
        <v>1104</v>
      </c>
      <c r="AA1009" t="s">
        <v>2665</v>
      </c>
      <c r="AB1009" t="s">
        <v>2665</v>
      </c>
      <c r="AC1009" t="s">
        <v>2665</v>
      </c>
      <c r="AD1009" t="s">
        <v>2054</v>
      </c>
      <c r="AE1009" t="s">
        <v>2718</v>
      </c>
    </row>
    <row r="1010" spans="1:31" x14ac:dyDescent="0.25">
      <c r="A1010" t="s">
        <v>4752</v>
      </c>
      <c r="B1010" t="s">
        <v>4753</v>
      </c>
      <c r="C1010" t="s">
        <v>4754</v>
      </c>
      <c r="D1010" t="s">
        <v>4753</v>
      </c>
      <c r="E1010" t="s">
        <v>2666</v>
      </c>
      <c r="F1010" t="s">
        <v>2705</v>
      </c>
      <c r="G1010" t="s">
        <v>2666</v>
      </c>
      <c r="H1010" t="s">
        <v>2054</v>
      </c>
      <c r="I1010" t="s">
        <v>2706</v>
      </c>
      <c r="J1010" t="s">
        <v>2054</v>
      </c>
      <c r="K1010" t="s">
        <v>2665</v>
      </c>
      <c r="L1010" t="s">
        <v>1104</v>
      </c>
      <c r="M1010" t="s">
        <v>2898</v>
      </c>
      <c r="N1010" t="s">
        <v>2665</v>
      </c>
      <c r="O1010" t="s">
        <v>2984</v>
      </c>
      <c r="P1010" t="s">
        <v>2671</v>
      </c>
      <c r="Q1010" t="s">
        <v>2672</v>
      </c>
      <c r="R1010" t="s">
        <v>2665</v>
      </c>
      <c r="S1010" t="s">
        <v>2779</v>
      </c>
      <c r="T1010" t="s">
        <v>2780</v>
      </c>
      <c r="U1010" t="s">
        <v>2665</v>
      </c>
      <c r="V1010" t="s">
        <v>2713</v>
      </c>
      <c r="W1010" t="s">
        <v>2714</v>
      </c>
      <c r="X1010" t="s">
        <v>2665</v>
      </c>
      <c r="Y1010" t="s">
        <v>2054</v>
      </c>
      <c r="Z1010" t="s">
        <v>1104</v>
      </c>
      <c r="AA1010" t="s">
        <v>2665</v>
      </c>
      <c r="AB1010" t="s">
        <v>2665</v>
      </c>
      <c r="AC1010" t="s">
        <v>2665</v>
      </c>
      <c r="AD1010" t="s">
        <v>2054</v>
      </c>
      <c r="AE1010" t="s">
        <v>2054</v>
      </c>
    </row>
    <row r="1011" spans="1:31" x14ac:dyDescent="0.25">
      <c r="A1011" t="s">
        <v>4755</v>
      </c>
      <c r="B1011" t="s">
        <v>4756</v>
      </c>
      <c r="C1011" t="s">
        <v>4757</v>
      </c>
      <c r="D1011" t="s">
        <v>4756</v>
      </c>
      <c r="E1011" t="s">
        <v>2666</v>
      </c>
      <c r="F1011" t="s">
        <v>2705</v>
      </c>
      <c r="G1011" t="s">
        <v>2666</v>
      </c>
      <c r="H1011" t="s">
        <v>2054</v>
      </c>
      <c r="I1011" t="s">
        <v>2706</v>
      </c>
      <c r="J1011" t="s">
        <v>2054</v>
      </c>
      <c r="K1011" t="s">
        <v>2665</v>
      </c>
      <c r="L1011" t="s">
        <v>1104</v>
      </c>
      <c r="M1011" t="s">
        <v>2898</v>
      </c>
      <c r="N1011" t="s">
        <v>2665</v>
      </c>
      <c r="O1011" t="s">
        <v>2984</v>
      </c>
      <c r="P1011" t="s">
        <v>2671</v>
      </c>
      <c r="Q1011" t="s">
        <v>2672</v>
      </c>
      <c r="R1011" t="s">
        <v>2665</v>
      </c>
      <c r="S1011" t="s">
        <v>2779</v>
      </c>
      <c r="T1011" t="s">
        <v>2780</v>
      </c>
      <c r="U1011" t="s">
        <v>2665</v>
      </c>
      <c r="V1011" t="s">
        <v>2713</v>
      </c>
      <c r="W1011" t="s">
        <v>2714</v>
      </c>
      <c r="X1011" t="s">
        <v>2665</v>
      </c>
      <c r="Y1011" t="s">
        <v>2054</v>
      </c>
      <c r="Z1011" t="s">
        <v>1104</v>
      </c>
      <c r="AA1011" t="s">
        <v>2665</v>
      </c>
      <c r="AB1011" t="s">
        <v>2665</v>
      </c>
      <c r="AC1011" t="s">
        <v>2665</v>
      </c>
      <c r="AD1011" t="s">
        <v>2054</v>
      </c>
      <c r="AE1011" t="s">
        <v>2054</v>
      </c>
    </row>
    <row r="1012" spans="1:31" x14ac:dyDescent="0.25">
      <c r="A1012" t="s">
        <v>4758</v>
      </c>
      <c r="B1012" t="s">
        <v>4759</v>
      </c>
      <c r="C1012" t="s">
        <v>4760</v>
      </c>
      <c r="D1012" t="s">
        <v>4759</v>
      </c>
      <c r="E1012" t="s">
        <v>2666</v>
      </c>
      <c r="F1012" t="s">
        <v>2705</v>
      </c>
      <c r="G1012" t="s">
        <v>2666</v>
      </c>
      <c r="H1012" t="s">
        <v>2054</v>
      </c>
      <c r="I1012" t="s">
        <v>2706</v>
      </c>
      <c r="J1012" t="s">
        <v>2054</v>
      </c>
      <c r="K1012" t="s">
        <v>2665</v>
      </c>
      <c r="L1012" t="s">
        <v>1104</v>
      </c>
      <c r="M1012" t="s">
        <v>2898</v>
      </c>
      <c r="N1012" t="s">
        <v>2665</v>
      </c>
      <c r="O1012" t="s">
        <v>2984</v>
      </c>
      <c r="P1012" t="s">
        <v>2671</v>
      </c>
      <c r="Q1012" t="s">
        <v>2672</v>
      </c>
      <c r="R1012" t="s">
        <v>2665</v>
      </c>
      <c r="S1012" t="s">
        <v>2779</v>
      </c>
      <c r="T1012" t="s">
        <v>2780</v>
      </c>
      <c r="U1012" t="s">
        <v>2665</v>
      </c>
      <c r="V1012" t="s">
        <v>2713</v>
      </c>
      <c r="W1012" t="s">
        <v>2714</v>
      </c>
      <c r="X1012" t="s">
        <v>2665</v>
      </c>
      <c r="Y1012" t="s">
        <v>2054</v>
      </c>
      <c r="Z1012" t="s">
        <v>1104</v>
      </c>
      <c r="AA1012" t="s">
        <v>2665</v>
      </c>
      <c r="AB1012" t="s">
        <v>2665</v>
      </c>
      <c r="AC1012" t="s">
        <v>2665</v>
      </c>
      <c r="AD1012" t="s">
        <v>2054</v>
      </c>
      <c r="AE1012" t="s">
        <v>2718</v>
      </c>
    </row>
    <row r="1013" spans="1:31" x14ac:dyDescent="0.25">
      <c r="A1013" t="s">
        <v>4761</v>
      </c>
      <c r="B1013" t="s">
        <v>4762</v>
      </c>
      <c r="C1013" t="s">
        <v>4763</v>
      </c>
      <c r="D1013" t="s">
        <v>4762</v>
      </c>
      <c r="E1013" t="s">
        <v>2666</v>
      </c>
      <c r="F1013" t="s">
        <v>2705</v>
      </c>
      <c r="G1013" t="s">
        <v>2666</v>
      </c>
      <c r="H1013" t="s">
        <v>2054</v>
      </c>
      <c r="I1013" t="s">
        <v>2706</v>
      </c>
      <c r="J1013" t="s">
        <v>2054</v>
      </c>
      <c r="K1013" t="s">
        <v>2665</v>
      </c>
      <c r="L1013" t="s">
        <v>1104</v>
      </c>
      <c r="M1013" t="s">
        <v>2898</v>
      </c>
      <c r="N1013" t="s">
        <v>2665</v>
      </c>
      <c r="O1013" t="s">
        <v>2984</v>
      </c>
      <c r="P1013" t="s">
        <v>2671</v>
      </c>
      <c r="Q1013" t="s">
        <v>2672</v>
      </c>
      <c r="R1013" t="s">
        <v>2665</v>
      </c>
      <c r="S1013" t="s">
        <v>2779</v>
      </c>
      <c r="T1013" t="s">
        <v>2780</v>
      </c>
      <c r="U1013" t="s">
        <v>2665</v>
      </c>
      <c r="V1013" t="s">
        <v>2713</v>
      </c>
      <c r="W1013" t="s">
        <v>2714</v>
      </c>
      <c r="X1013" t="s">
        <v>2665</v>
      </c>
      <c r="Y1013" t="s">
        <v>2054</v>
      </c>
      <c r="Z1013" t="s">
        <v>1104</v>
      </c>
      <c r="AA1013" t="s">
        <v>2665</v>
      </c>
      <c r="AB1013" t="s">
        <v>2665</v>
      </c>
      <c r="AC1013" t="s">
        <v>2665</v>
      </c>
      <c r="AD1013" t="s">
        <v>2054</v>
      </c>
      <c r="AE1013" t="s">
        <v>2718</v>
      </c>
    </row>
    <row r="1014" spans="1:31" x14ac:dyDescent="0.25">
      <c r="A1014" t="s">
        <v>4764</v>
      </c>
      <c r="B1014" t="s">
        <v>4765</v>
      </c>
      <c r="C1014" t="s">
        <v>4766</v>
      </c>
      <c r="D1014" t="s">
        <v>4765</v>
      </c>
      <c r="E1014" t="s">
        <v>2666</v>
      </c>
      <c r="F1014" t="s">
        <v>2705</v>
      </c>
      <c r="G1014" t="s">
        <v>2666</v>
      </c>
      <c r="H1014" t="s">
        <v>2054</v>
      </c>
      <c r="I1014" t="s">
        <v>2706</v>
      </c>
      <c r="J1014" t="s">
        <v>2054</v>
      </c>
      <c r="K1014" t="s">
        <v>2665</v>
      </c>
      <c r="L1014" t="s">
        <v>1104</v>
      </c>
      <c r="M1014" t="s">
        <v>2898</v>
      </c>
      <c r="N1014" t="s">
        <v>2665</v>
      </c>
      <c r="O1014" t="s">
        <v>2984</v>
      </c>
      <c r="P1014" t="s">
        <v>2671</v>
      </c>
      <c r="Q1014" t="s">
        <v>2672</v>
      </c>
      <c r="R1014" t="s">
        <v>2665</v>
      </c>
      <c r="S1014" t="s">
        <v>2779</v>
      </c>
      <c r="T1014" t="s">
        <v>2780</v>
      </c>
      <c r="U1014" t="s">
        <v>2665</v>
      </c>
      <c r="V1014" t="s">
        <v>2713</v>
      </c>
      <c r="W1014" t="s">
        <v>2714</v>
      </c>
      <c r="X1014" t="s">
        <v>2665</v>
      </c>
      <c r="Y1014" t="s">
        <v>2054</v>
      </c>
      <c r="Z1014" t="s">
        <v>1104</v>
      </c>
      <c r="AA1014" t="s">
        <v>2665</v>
      </c>
      <c r="AB1014" t="s">
        <v>2665</v>
      </c>
      <c r="AC1014" t="s">
        <v>2665</v>
      </c>
      <c r="AD1014" t="s">
        <v>2054</v>
      </c>
      <c r="AE1014" t="s">
        <v>2054</v>
      </c>
    </row>
    <row r="1015" spans="1:31" x14ac:dyDescent="0.25">
      <c r="A1015" t="s">
        <v>4767</v>
      </c>
      <c r="B1015" t="s">
        <v>4768</v>
      </c>
      <c r="C1015" t="s">
        <v>4769</v>
      </c>
      <c r="D1015" t="s">
        <v>4768</v>
      </c>
      <c r="E1015" t="s">
        <v>2666</v>
      </c>
      <c r="F1015" t="s">
        <v>2705</v>
      </c>
      <c r="G1015" t="s">
        <v>2666</v>
      </c>
      <c r="H1015" t="s">
        <v>2054</v>
      </c>
      <c r="I1015" t="s">
        <v>2706</v>
      </c>
      <c r="J1015" t="s">
        <v>2054</v>
      </c>
      <c r="K1015" t="s">
        <v>2665</v>
      </c>
      <c r="L1015" t="s">
        <v>1104</v>
      </c>
      <c r="M1015" t="s">
        <v>2898</v>
      </c>
      <c r="N1015" t="s">
        <v>2665</v>
      </c>
      <c r="O1015" t="s">
        <v>2984</v>
      </c>
      <c r="P1015" t="s">
        <v>2671</v>
      </c>
      <c r="Q1015" t="s">
        <v>2672</v>
      </c>
      <c r="R1015" t="s">
        <v>2665</v>
      </c>
      <c r="S1015" t="s">
        <v>2779</v>
      </c>
      <c r="T1015" t="s">
        <v>2780</v>
      </c>
      <c r="U1015" t="s">
        <v>2665</v>
      </c>
      <c r="V1015" t="s">
        <v>2713</v>
      </c>
      <c r="W1015" t="s">
        <v>2714</v>
      </c>
      <c r="X1015" t="s">
        <v>2665</v>
      </c>
      <c r="Y1015" t="s">
        <v>2054</v>
      </c>
      <c r="Z1015" t="s">
        <v>1104</v>
      </c>
      <c r="AA1015" t="s">
        <v>2665</v>
      </c>
      <c r="AB1015" t="s">
        <v>2665</v>
      </c>
      <c r="AC1015" t="s">
        <v>2665</v>
      </c>
      <c r="AD1015" t="s">
        <v>2054</v>
      </c>
      <c r="AE1015" t="s">
        <v>2054</v>
      </c>
    </row>
    <row r="1016" spans="1:31" x14ac:dyDescent="0.25">
      <c r="A1016" t="s">
        <v>4770</v>
      </c>
      <c r="B1016" t="s">
        <v>4771</v>
      </c>
      <c r="C1016" t="s">
        <v>4772</v>
      </c>
      <c r="D1016" t="s">
        <v>4771</v>
      </c>
      <c r="E1016" t="s">
        <v>2666</v>
      </c>
      <c r="F1016" t="s">
        <v>2705</v>
      </c>
      <c r="G1016" t="s">
        <v>2666</v>
      </c>
      <c r="H1016" t="s">
        <v>2054</v>
      </c>
      <c r="I1016" t="s">
        <v>2706</v>
      </c>
      <c r="J1016" t="s">
        <v>2054</v>
      </c>
      <c r="K1016" t="s">
        <v>2665</v>
      </c>
      <c r="L1016" t="s">
        <v>1104</v>
      </c>
      <c r="M1016" t="s">
        <v>2898</v>
      </c>
      <c r="N1016" t="s">
        <v>2665</v>
      </c>
      <c r="O1016" t="s">
        <v>2984</v>
      </c>
      <c r="P1016" t="s">
        <v>2671</v>
      </c>
      <c r="Q1016" t="s">
        <v>2672</v>
      </c>
      <c r="R1016" t="s">
        <v>2665</v>
      </c>
      <c r="S1016" t="s">
        <v>2779</v>
      </c>
      <c r="T1016" t="s">
        <v>2780</v>
      </c>
      <c r="U1016" t="s">
        <v>2665</v>
      </c>
      <c r="V1016" t="s">
        <v>2713</v>
      </c>
      <c r="W1016" t="s">
        <v>2714</v>
      </c>
      <c r="X1016" t="s">
        <v>2665</v>
      </c>
      <c r="Y1016" t="s">
        <v>2054</v>
      </c>
      <c r="Z1016" t="s">
        <v>1104</v>
      </c>
      <c r="AA1016" t="s">
        <v>2665</v>
      </c>
      <c r="AB1016" t="s">
        <v>2665</v>
      </c>
      <c r="AC1016" t="s">
        <v>2665</v>
      </c>
      <c r="AD1016" t="s">
        <v>2054</v>
      </c>
      <c r="AE1016" t="s">
        <v>2054</v>
      </c>
    </row>
    <row r="1017" spans="1:31" x14ac:dyDescent="0.25">
      <c r="A1017" t="s">
        <v>4773</v>
      </c>
      <c r="B1017" t="s">
        <v>4774</v>
      </c>
      <c r="C1017" t="s">
        <v>4775</v>
      </c>
      <c r="D1017" t="s">
        <v>4774</v>
      </c>
      <c r="E1017" t="s">
        <v>2666</v>
      </c>
      <c r="F1017" t="s">
        <v>2705</v>
      </c>
      <c r="G1017" t="s">
        <v>2666</v>
      </c>
      <c r="H1017" t="s">
        <v>2054</v>
      </c>
      <c r="I1017" t="s">
        <v>2706</v>
      </c>
      <c r="J1017" t="s">
        <v>2054</v>
      </c>
      <c r="K1017" t="s">
        <v>2665</v>
      </c>
      <c r="L1017" t="s">
        <v>1104</v>
      </c>
      <c r="M1017" t="s">
        <v>2669</v>
      </c>
      <c r="N1017" t="s">
        <v>2665</v>
      </c>
      <c r="O1017" t="s">
        <v>2670</v>
      </c>
      <c r="P1017" t="s">
        <v>2671</v>
      </c>
      <c r="Q1017" t="s">
        <v>2672</v>
      </c>
      <c r="R1017" t="s">
        <v>2665</v>
      </c>
      <c r="S1017" t="s">
        <v>2779</v>
      </c>
      <c r="T1017" t="s">
        <v>2780</v>
      </c>
      <c r="U1017" t="s">
        <v>2665</v>
      </c>
      <c r="V1017" t="s">
        <v>2713</v>
      </c>
      <c r="W1017" t="s">
        <v>2714</v>
      </c>
      <c r="X1017" t="s">
        <v>2665</v>
      </c>
      <c r="Y1017" t="s">
        <v>2054</v>
      </c>
      <c r="Z1017" t="s">
        <v>1104</v>
      </c>
      <c r="AA1017" t="s">
        <v>2665</v>
      </c>
      <c r="AB1017" t="s">
        <v>2665</v>
      </c>
      <c r="AC1017" t="s">
        <v>2665</v>
      </c>
      <c r="AD1017" t="s">
        <v>2054</v>
      </c>
      <c r="AE1017" t="s">
        <v>2054</v>
      </c>
    </row>
    <row r="1018" spans="1:31" x14ac:dyDescent="0.25">
      <c r="A1018" t="s">
        <v>4776</v>
      </c>
      <c r="B1018" t="s">
        <v>4777</v>
      </c>
      <c r="C1018" t="s">
        <v>3781</v>
      </c>
      <c r="D1018" t="s">
        <v>4777</v>
      </c>
      <c r="E1018" t="s">
        <v>2666</v>
      </c>
      <c r="F1018" t="s">
        <v>2705</v>
      </c>
      <c r="G1018" t="s">
        <v>2666</v>
      </c>
      <c r="H1018" t="s">
        <v>2054</v>
      </c>
      <c r="I1018" t="s">
        <v>2706</v>
      </c>
      <c r="J1018" t="s">
        <v>2054</v>
      </c>
      <c r="K1018" t="s">
        <v>2665</v>
      </c>
      <c r="L1018" t="s">
        <v>1104</v>
      </c>
      <c r="M1018" t="s">
        <v>2669</v>
      </c>
      <c r="N1018" t="s">
        <v>2665</v>
      </c>
      <c r="O1018" t="s">
        <v>2670</v>
      </c>
      <c r="P1018" t="s">
        <v>2671</v>
      </c>
      <c r="Q1018" t="s">
        <v>2672</v>
      </c>
      <c r="R1018" t="s">
        <v>2665</v>
      </c>
      <c r="S1018" t="s">
        <v>2779</v>
      </c>
      <c r="T1018" t="s">
        <v>2780</v>
      </c>
      <c r="U1018" t="s">
        <v>2665</v>
      </c>
      <c r="V1018" t="s">
        <v>2713</v>
      </c>
      <c r="W1018" t="s">
        <v>2714</v>
      </c>
      <c r="X1018" t="s">
        <v>2665</v>
      </c>
      <c r="Y1018" t="s">
        <v>2054</v>
      </c>
      <c r="Z1018" t="s">
        <v>1104</v>
      </c>
      <c r="AA1018" t="s">
        <v>2665</v>
      </c>
      <c r="AB1018" t="s">
        <v>2665</v>
      </c>
      <c r="AC1018" t="s">
        <v>2665</v>
      </c>
      <c r="AD1018" t="s">
        <v>2054</v>
      </c>
      <c r="AE1018" t="s">
        <v>2718</v>
      </c>
    </row>
    <row r="1019" spans="1:31" x14ac:dyDescent="0.25">
      <c r="A1019" t="s">
        <v>4778</v>
      </c>
      <c r="B1019" t="s">
        <v>4779</v>
      </c>
      <c r="C1019" t="s">
        <v>4780</v>
      </c>
      <c r="D1019" t="s">
        <v>4779</v>
      </c>
      <c r="E1019" t="s">
        <v>2666</v>
      </c>
      <c r="F1019" t="s">
        <v>2819</v>
      </c>
      <c r="G1019" t="s">
        <v>2666</v>
      </c>
      <c r="H1019" t="s">
        <v>2054</v>
      </c>
      <c r="I1019" t="s">
        <v>2778</v>
      </c>
      <c r="J1019" t="s">
        <v>2054</v>
      </c>
      <c r="K1019" t="s">
        <v>2665</v>
      </c>
      <c r="L1019" t="s">
        <v>1179</v>
      </c>
      <c r="M1019" t="s">
        <v>2827</v>
      </c>
      <c r="N1019" t="s">
        <v>2665</v>
      </c>
      <c r="O1019" t="s">
        <v>2828</v>
      </c>
      <c r="P1019" t="s">
        <v>2671</v>
      </c>
      <c r="Q1019" t="s">
        <v>2672</v>
      </c>
      <c r="R1019" t="s">
        <v>2665</v>
      </c>
      <c r="S1019" t="s">
        <v>2779</v>
      </c>
      <c r="T1019" t="s">
        <v>2780</v>
      </c>
      <c r="U1019" t="s">
        <v>2665</v>
      </c>
      <c r="V1019" t="s">
        <v>2923</v>
      </c>
      <c r="W1019" t="s">
        <v>2924</v>
      </c>
      <c r="X1019" t="s">
        <v>2665</v>
      </c>
      <c r="Y1019" t="s">
        <v>2054</v>
      </c>
      <c r="Z1019" t="s">
        <v>1179</v>
      </c>
      <c r="AA1019" t="s">
        <v>2797</v>
      </c>
      <c r="AB1019" t="s">
        <v>2797</v>
      </c>
      <c r="AC1019" t="s">
        <v>2665</v>
      </c>
      <c r="AD1019" t="s">
        <v>2054</v>
      </c>
      <c r="AE1019" t="s">
        <v>2054</v>
      </c>
    </row>
    <row r="1020" spans="1:31" x14ac:dyDescent="0.25">
      <c r="A1020" t="s">
        <v>1992</v>
      </c>
      <c r="B1020" t="s">
        <v>1991</v>
      </c>
      <c r="C1020" t="s">
        <v>4781</v>
      </c>
      <c r="D1020" t="s">
        <v>1991</v>
      </c>
      <c r="E1020" t="s">
        <v>2666</v>
      </c>
      <c r="F1020" t="s">
        <v>2712</v>
      </c>
      <c r="G1020" t="s">
        <v>2666</v>
      </c>
      <c r="H1020" t="s">
        <v>2054</v>
      </c>
      <c r="I1020" t="s">
        <v>2778</v>
      </c>
      <c r="J1020" t="s">
        <v>2054</v>
      </c>
      <c r="K1020" t="s">
        <v>2665</v>
      </c>
      <c r="L1020" t="s">
        <v>1179</v>
      </c>
      <c r="M1020" t="s">
        <v>2898</v>
      </c>
      <c r="N1020" t="s">
        <v>2665</v>
      </c>
      <c r="O1020" t="s">
        <v>2984</v>
      </c>
      <c r="P1020" t="s">
        <v>2827</v>
      </c>
      <c r="Q1020" t="s">
        <v>3397</v>
      </c>
      <c r="R1020" t="s">
        <v>2665</v>
      </c>
      <c r="S1020" t="s">
        <v>2779</v>
      </c>
      <c r="T1020" t="s">
        <v>2780</v>
      </c>
      <c r="U1020" t="s">
        <v>2665</v>
      </c>
      <c r="V1020" t="s">
        <v>3629</v>
      </c>
      <c r="W1020" t="s">
        <v>3630</v>
      </c>
      <c r="X1020" t="s">
        <v>2665</v>
      </c>
      <c r="Y1020" t="s">
        <v>2054</v>
      </c>
      <c r="Z1020" t="s">
        <v>1179</v>
      </c>
      <c r="AA1020" t="s">
        <v>2894</v>
      </c>
      <c r="AB1020" t="s">
        <v>2894</v>
      </c>
      <c r="AC1020" t="s">
        <v>2665</v>
      </c>
      <c r="AD1020" t="s">
        <v>2054</v>
      </c>
      <c r="AE1020" t="s">
        <v>2054</v>
      </c>
    </row>
    <row r="1021" spans="1:31" x14ac:dyDescent="0.25">
      <c r="A1021" t="s">
        <v>4782</v>
      </c>
      <c r="B1021" t="s">
        <v>4783</v>
      </c>
      <c r="C1021" t="s">
        <v>4784</v>
      </c>
      <c r="D1021" t="s">
        <v>4783</v>
      </c>
      <c r="E1021" t="s">
        <v>2666</v>
      </c>
      <c r="F1021" t="s">
        <v>2854</v>
      </c>
      <c r="G1021" t="s">
        <v>2666</v>
      </c>
      <c r="H1021" t="s">
        <v>2054</v>
      </c>
      <c r="I1021" t="s">
        <v>2741</v>
      </c>
      <c r="J1021" t="s">
        <v>2054</v>
      </c>
      <c r="K1021" t="s">
        <v>2665</v>
      </c>
      <c r="L1021" t="s">
        <v>1136</v>
      </c>
      <c r="M1021" t="s">
        <v>2827</v>
      </c>
      <c r="N1021" t="s">
        <v>2665</v>
      </c>
      <c r="O1021" t="s">
        <v>2828</v>
      </c>
      <c r="P1021" t="s">
        <v>2671</v>
      </c>
      <c r="Q1021" t="s">
        <v>2672</v>
      </c>
      <c r="R1021" t="s">
        <v>2665</v>
      </c>
      <c r="S1021" t="s">
        <v>2779</v>
      </c>
      <c r="T1021" t="s">
        <v>2780</v>
      </c>
      <c r="U1021" t="s">
        <v>2665</v>
      </c>
      <c r="V1021" t="s">
        <v>2923</v>
      </c>
      <c r="W1021" t="s">
        <v>2924</v>
      </c>
      <c r="X1021" t="s">
        <v>2665</v>
      </c>
      <c r="Y1021" t="s">
        <v>2054</v>
      </c>
      <c r="Z1021" t="s">
        <v>1136</v>
      </c>
      <c r="AA1021" t="s">
        <v>2795</v>
      </c>
      <c r="AB1021" t="s">
        <v>2795</v>
      </c>
      <c r="AC1021" t="s">
        <v>2665</v>
      </c>
      <c r="AD1021" t="s">
        <v>2054</v>
      </c>
      <c r="AE1021" t="s">
        <v>2054</v>
      </c>
    </row>
    <row r="1022" spans="1:31" x14ac:dyDescent="0.25">
      <c r="A1022" t="s">
        <v>4785</v>
      </c>
      <c r="B1022" t="s">
        <v>4786</v>
      </c>
      <c r="C1022" t="s">
        <v>4787</v>
      </c>
      <c r="D1022" t="s">
        <v>4786</v>
      </c>
      <c r="E1022" t="s">
        <v>2666</v>
      </c>
      <c r="F1022" t="s">
        <v>2885</v>
      </c>
      <c r="G1022" t="s">
        <v>2666</v>
      </c>
      <c r="H1022" t="s">
        <v>2054</v>
      </c>
      <c r="I1022" t="s">
        <v>2778</v>
      </c>
      <c r="J1022" t="s">
        <v>2054</v>
      </c>
      <c r="K1022" t="s">
        <v>2665</v>
      </c>
      <c r="L1022" t="s">
        <v>1179</v>
      </c>
      <c r="M1022" t="s">
        <v>2827</v>
      </c>
      <c r="N1022" t="s">
        <v>2665</v>
      </c>
      <c r="O1022" t="s">
        <v>2828</v>
      </c>
      <c r="P1022" t="s">
        <v>2671</v>
      </c>
      <c r="Q1022" t="s">
        <v>2672</v>
      </c>
      <c r="R1022" t="s">
        <v>2665</v>
      </c>
      <c r="S1022" t="s">
        <v>2671</v>
      </c>
      <c r="T1022" t="s">
        <v>2673</v>
      </c>
      <c r="U1022" t="s">
        <v>2665</v>
      </c>
      <c r="V1022" t="s">
        <v>2923</v>
      </c>
      <c r="W1022" t="s">
        <v>2924</v>
      </c>
      <c r="X1022" t="s">
        <v>2665</v>
      </c>
      <c r="Y1022" t="s">
        <v>2054</v>
      </c>
      <c r="Z1022" t="s">
        <v>1179</v>
      </c>
      <c r="AA1022" t="s">
        <v>2763</v>
      </c>
      <c r="AB1022" t="s">
        <v>2763</v>
      </c>
      <c r="AC1022" t="s">
        <v>2665</v>
      </c>
      <c r="AD1022" t="s">
        <v>2054</v>
      </c>
      <c r="AE1022" t="s">
        <v>2054</v>
      </c>
    </row>
    <row r="1023" spans="1:31" x14ac:dyDescent="0.25">
      <c r="A1023" t="s">
        <v>4788</v>
      </c>
      <c r="B1023" t="s">
        <v>4789</v>
      </c>
      <c r="C1023" t="s">
        <v>4790</v>
      </c>
      <c r="D1023" t="s">
        <v>4789</v>
      </c>
      <c r="E1023" t="s">
        <v>2666</v>
      </c>
      <c r="F1023" t="s">
        <v>2892</v>
      </c>
      <c r="G1023" t="s">
        <v>2666</v>
      </c>
      <c r="H1023" t="s">
        <v>2054</v>
      </c>
      <c r="I1023" t="s">
        <v>2778</v>
      </c>
      <c r="J1023" t="s">
        <v>2054</v>
      </c>
      <c r="K1023" t="s">
        <v>2665</v>
      </c>
      <c r="L1023" t="s">
        <v>1179</v>
      </c>
      <c r="M1023" t="s">
        <v>2827</v>
      </c>
      <c r="N1023" t="s">
        <v>2665</v>
      </c>
      <c r="O1023" t="s">
        <v>2828</v>
      </c>
      <c r="P1023" t="s">
        <v>2671</v>
      </c>
      <c r="Q1023" t="s">
        <v>2672</v>
      </c>
      <c r="R1023" t="s">
        <v>2665</v>
      </c>
      <c r="S1023" t="s">
        <v>2779</v>
      </c>
      <c r="T1023" t="s">
        <v>2780</v>
      </c>
      <c r="U1023" t="s">
        <v>2665</v>
      </c>
      <c r="V1023" t="s">
        <v>2923</v>
      </c>
      <c r="W1023" t="s">
        <v>2924</v>
      </c>
      <c r="X1023" t="s">
        <v>2665</v>
      </c>
      <c r="Y1023" t="s">
        <v>2054</v>
      </c>
      <c r="Z1023" t="s">
        <v>1179</v>
      </c>
      <c r="AA1023" t="s">
        <v>2972</v>
      </c>
      <c r="AB1023" t="s">
        <v>2972</v>
      </c>
      <c r="AC1023" t="s">
        <v>2665</v>
      </c>
      <c r="AD1023" t="s">
        <v>2054</v>
      </c>
      <c r="AE1023" t="s">
        <v>2726</v>
      </c>
    </row>
    <row r="1024" spans="1:31" x14ac:dyDescent="0.25">
      <c r="A1024" t="s">
        <v>4791</v>
      </c>
      <c r="B1024" t="s">
        <v>4792</v>
      </c>
      <c r="C1024" t="s">
        <v>4793</v>
      </c>
      <c r="D1024" t="s">
        <v>4792</v>
      </c>
      <c r="E1024" t="s">
        <v>2666</v>
      </c>
      <c r="F1024" t="s">
        <v>2885</v>
      </c>
      <c r="G1024" t="s">
        <v>2666</v>
      </c>
      <c r="H1024" t="s">
        <v>2054</v>
      </c>
      <c r="I1024" t="s">
        <v>2778</v>
      </c>
      <c r="J1024" t="s">
        <v>2054</v>
      </c>
      <c r="K1024" t="s">
        <v>2665</v>
      </c>
      <c r="L1024" t="s">
        <v>1179</v>
      </c>
      <c r="M1024" t="s">
        <v>2827</v>
      </c>
      <c r="N1024" t="s">
        <v>2665</v>
      </c>
      <c r="O1024" t="s">
        <v>2828</v>
      </c>
      <c r="P1024" t="s">
        <v>2671</v>
      </c>
      <c r="Q1024" t="s">
        <v>2672</v>
      </c>
      <c r="R1024" t="s">
        <v>2665</v>
      </c>
      <c r="S1024" t="s">
        <v>2671</v>
      </c>
      <c r="T1024" t="s">
        <v>2673</v>
      </c>
      <c r="U1024" t="s">
        <v>2665</v>
      </c>
      <c r="V1024" t="s">
        <v>2923</v>
      </c>
      <c r="W1024" t="s">
        <v>2924</v>
      </c>
      <c r="X1024" t="s">
        <v>2665</v>
      </c>
      <c r="Y1024" t="s">
        <v>2054</v>
      </c>
      <c r="Z1024" t="s">
        <v>1179</v>
      </c>
      <c r="AA1024" t="s">
        <v>2791</v>
      </c>
      <c r="AB1024" t="s">
        <v>2791</v>
      </c>
      <c r="AC1024" t="s">
        <v>2665</v>
      </c>
      <c r="AD1024" t="s">
        <v>2054</v>
      </c>
      <c r="AE1024" t="s">
        <v>2726</v>
      </c>
    </row>
    <row r="1025" spans="1:31" x14ac:dyDescent="0.25">
      <c r="A1025" t="s">
        <v>4794</v>
      </c>
      <c r="B1025" t="s">
        <v>4795</v>
      </c>
      <c r="C1025" t="s">
        <v>4796</v>
      </c>
      <c r="D1025" t="s">
        <v>4795</v>
      </c>
      <c r="E1025" t="s">
        <v>2666</v>
      </c>
      <c r="F1025" t="s">
        <v>3868</v>
      </c>
      <c r="G1025" t="s">
        <v>2666</v>
      </c>
      <c r="H1025" t="s">
        <v>2054</v>
      </c>
      <c r="I1025" t="s">
        <v>2741</v>
      </c>
      <c r="J1025" t="s">
        <v>2054</v>
      </c>
      <c r="K1025" t="s">
        <v>2665</v>
      </c>
      <c r="L1025" t="s">
        <v>1136</v>
      </c>
      <c r="M1025" t="s">
        <v>2827</v>
      </c>
      <c r="N1025" t="s">
        <v>2665</v>
      </c>
      <c r="O1025" t="s">
        <v>2828</v>
      </c>
      <c r="P1025" t="s">
        <v>2671</v>
      </c>
      <c r="Q1025" t="s">
        <v>2672</v>
      </c>
      <c r="R1025" t="s">
        <v>2665</v>
      </c>
      <c r="S1025" t="s">
        <v>2779</v>
      </c>
      <c r="T1025" t="s">
        <v>2780</v>
      </c>
      <c r="U1025" t="s">
        <v>2665</v>
      </c>
      <c r="V1025" t="s">
        <v>2923</v>
      </c>
      <c r="W1025" t="s">
        <v>2924</v>
      </c>
      <c r="X1025" t="s">
        <v>2665</v>
      </c>
      <c r="Y1025" t="s">
        <v>2054</v>
      </c>
      <c r="Z1025" t="s">
        <v>1136</v>
      </c>
      <c r="AA1025" t="s">
        <v>2795</v>
      </c>
      <c r="AB1025" t="s">
        <v>2795</v>
      </c>
      <c r="AC1025" t="s">
        <v>2665</v>
      </c>
      <c r="AD1025" t="s">
        <v>2054</v>
      </c>
      <c r="AE1025" t="s">
        <v>2726</v>
      </c>
    </row>
    <row r="1026" spans="1:31" x14ac:dyDescent="0.25">
      <c r="A1026" t="s">
        <v>4797</v>
      </c>
      <c r="B1026" t="s">
        <v>4798</v>
      </c>
      <c r="C1026" t="s">
        <v>4799</v>
      </c>
      <c r="D1026" t="s">
        <v>4798</v>
      </c>
      <c r="E1026" t="s">
        <v>2666</v>
      </c>
      <c r="F1026" t="s">
        <v>2866</v>
      </c>
      <c r="G1026" t="s">
        <v>2666</v>
      </c>
      <c r="H1026" t="s">
        <v>2054</v>
      </c>
      <c r="I1026" t="s">
        <v>2778</v>
      </c>
      <c r="J1026" t="s">
        <v>2054</v>
      </c>
      <c r="K1026" t="s">
        <v>2665</v>
      </c>
      <c r="L1026" t="s">
        <v>1179</v>
      </c>
      <c r="M1026" t="s">
        <v>2827</v>
      </c>
      <c r="N1026" t="s">
        <v>2665</v>
      </c>
      <c r="O1026" t="s">
        <v>2828</v>
      </c>
      <c r="P1026" t="s">
        <v>2671</v>
      </c>
      <c r="Q1026" t="s">
        <v>2672</v>
      </c>
      <c r="R1026" t="s">
        <v>2665</v>
      </c>
      <c r="S1026" t="s">
        <v>2779</v>
      </c>
      <c r="T1026" t="s">
        <v>2780</v>
      </c>
      <c r="U1026" t="s">
        <v>2665</v>
      </c>
      <c r="V1026" t="s">
        <v>2923</v>
      </c>
      <c r="W1026" t="s">
        <v>2924</v>
      </c>
      <c r="X1026" t="s">
        <v>2665</v>
      </c>
      <c r="Y1026" t="s">
        <v>2054</v>
      </c>
      <c r="Z1026" t="s">
        <v>1179</v>
      </c>
      <c r="AA1026" t="s">
        <v>2797</v>
      </c>
      <c r="AB1026" t="s">
        <v>2797</v>
      </c>
      <c r="AC1026" t="s">
        <v>2665</v>
      </c>
      <c r="AD1026" t="s">
        <v>2054</v>
      </c>
      <c r="AE1026" t="s">
        <v>2054</v>
      </c>
    </row>
    <row r="1027" spans="1:31" x14ac:dyDescent="0.25">
      <c r="A1027" t="s">
        <v>4800</v>
      </c>
      <c r="B1027" t="s">
        <v>4801</v>
      </c>
      <c r="C1027" t="s">
        <v>4802</v>
      </c>
      <c r="D1027" t="s">
        <v>4801</v>
      </c>
      <c r="E1027" t="s">
        <v>2666</v>
      </c>
      <c r="F1027" t="s">
        <v>2712</v>
      </c>
      <c r="G1027" t="s">
        <v>2666</v>
      </c>
      <c r="H1027" t="s">
        <v>2054</v>
      </c>
      <c r="I1027" t="s">
        <v>2778</v>
      </c>
      <c r="J1027" t="s">
        <v>2054</v>
      </c>
      <c r="K1027" t="s">
        <v>2665</v>
      </c>
      <c r="L1027" t="s">
        <v>1179</v>
      </c>
      <c r="M1027" t="s">
        <v>2827</v>
      </c>
      <c r="N1027" t="s">
        <v>2665</v>
      </c>
      <c r="O1027" t="s">
        <v>2828</v>
      </c>
      <c r="P1027" t="s">
        <v>2671</v>
      </c>
      <c r="Q1027" t="s">
        <v>2672</v>
      </c>
      <c r="R1027" t="s">
        <v>2665</v>
      </c>
      <c r="S1027" t="s">
        <v>2779</v>
      </c>
      <c r="T1027" t="s">
        <v>2780</v>
      </c>
      <c r="U1027" t="s">
        <v>2665</v>
      </c>
      <c r="V1027" t="s">
        <v>2834</v>
      </c>
      <c r="W1027" t="s">
        <v>2835</v>
      </c>
      <c r="X1027" t="s">
        <v>2665</v>
      </c>
      <c r="Y1027" t="s">
        <v>2054</v>
      </c>
      <c r="Z1027" t="s">
        <v>1179</v>
      </c>
      <c r="AA1027" t="s">
        <v>2847</v>
      </c>
      <c r="AB1027" t="s">
        <v>2847</v>
      </c>
      <c r="AC1027" t="s">
        <v>2665</v>
      </c>
      <c r="AD1027" t="s">
        <v>2054</v>
      </c>
      <c r="AE1027" t="s">
        <v>2054</v>
      </c>
    </row>
    <row r="1028" spans="1:31" x14ac:dyDescent="0.25">
      <c r="A1028" t="s">
        <v>4803</v>
      </c>
      <c r="B1028" t="s">
        <v>4804</v>
      </c>
      <c r="C1028" t="s">
        <v>4805</v>
      </c>
      <c r="D1028" t="s">
        <v>4804</v>
      </c>
      <c r="E1028" t="s">
        <v>2666</v>
      </c>
      <c r="F1028" t="s">
        <v>3583</v>
      </c>
      <c r="G1028" t="s">
        <v>2666</v>
      </c>
      <c r="H1028" t="s">
        <v>2054</v>
      </c>
      <c r="I1028" t="s">
        <v>2778</v>
      </c>
      <c r="J1028" t="s">
        <v>2054</v>
      </c>
      <c r="K1028" t="s">
        <v>2665</v>
      </c>
      <c r="L1028" t="s">
        <v>1179</v>
      </c>
      <c r="M1028" t="s">
        <v>2827</v>
      </c>
      <c r="N1028" t="s">
        <v>2665</v>
      </c>
      <c r="O1028" t="s">
        <v>2828</v>
      </c>
      <c r="P1028" t="s">
        <v>2671</v>
      </c>
      <c r="Q1028" t="s">
        <v>2672</v>
      </c>
      <c r="R1028" t="s">
        <v>2665</v>
      </c>
      <c r="S1028" t="s">
        <v>2779</v>
      </c>
      <c r="T1028" t="s">
        <v>2780</v>
      </c>
      <c r="U1028" t="s">
        <v>2665</v>
      </c>
      <c r="V1028" t="s">
        <v>2834</v>
      </c>
      <c r="W1028" t="s">
        <v>2835</v>
      </c>
      <c r="X1028" t="s">
        <v>2665</v>
      </c>
      <c r="Y1028" t="s">
        <v>2054</v>
      </c>
      <c r="Z1028" t="s">
        <v>1179</v>
      </c>
      <c r="AA1028" t="s">
        <v>2959</v>
      </c>
      <c r="AB1028" t="s">
        <v>2959</v>
      </c>
      <c r="AC1028" t="s">
        <v>2665</v>
      </c>
      <c r="AD1028" t="s">
        <v>2054</v>
      </c>
      <c r="AE1028" t="s">
        <v>2054</v>
      </c>
    </row>
    <row r="1029" spans="1:31" x14ac:dyDescent="0.25">
      <c r="A1029" t="s">
        <v>4806</v>
      </c>
      <c r="B1029" t="s">
        <v>4807</v>
      </c>
      <c r="C1029" t="s">
        <v>4808</v>
      </c>
      <c r="D1029" t="s">
        <v>4807</v>
      </c>
      <c r="E1029" t="s">
        <v>2666</v>
      </c>
      <c r="F1029" t="s">
        <v>3005</v>
      </c>
      <c r="G1029" t="s">
        <v>2666</v>
      </c>
      <c r="H1029" t="s">
        <v>2054</v>
      </c>
      <c r="I1029" t="s">
        <v>2909</v>
      </c>
      <c r="J1029" t="s">
        <v>2054</v>
      </c>
      <c r="K1029" t="s">
        <v>2665</v>
      </c>
      <c r="L1029" t="s">
        <v>1280</v>
      </c>
      <c r="M1029" t="s">
        <v>2669</v>
      </c>
      <c r="N1029" t="s">
        <v>2665</v>
      </c>
      <c r="O1029" t="s">
        <v>2670</v>
      </c>
      <c r="P1029" t="s">
        <v>2671</v>
      </c>
      <c r="Q1029" t="s">
        <v>2672</v>
      </c>
      <c r="R1029" t="s">
        <v>2665</v>
      </c>
      <c r="S1029" t="s">
        <v>2779</v>
      </c>
      <c r="T1029" t="s">
        <v>2780</v>
      </c>
      <c r="U1029" t="s">
        <v>2665</v>
      </c>
      <c r="V1029" t="s">
        <v>3411</v>
      </c>
      <c r="W1029" t="s">
        <v>4809</v>
      </c>
      <c r="X1029" t="s">
        <v>2665</v>
      </c>
      <c r="Y1029" t="s">
        <v>2054</v>
      </c>
      <c r="Z1029" t="s">
        <v>1280</v>
      </c>
      <c r="AA1029" t="s">
        <v>2742</v>
      </c>
      <c r="AB1029" t="s">
        <v>2742</v>
      </c>
      <c r="AC1029" t="s">
        <v>2665</v>
      </c>
      <c r="AD1029" t="s">
        <v>2054</v>
      </c>
      <c r="AE1029" t="s">
        <v>2718</v>
      </c>
    </row>
    <row r="1030" spans="1:31" x14ac:dyDescent="0.25">
      <c r="A1030" t="s">
        <v>4810</v>
      </c>
      <c r="B1030" t="s">
        <v>4811</v>
      </c>
      <c r="C1030" t="s">
        <v>4812</v>
      </c>
      <c r="D1030" t="s">
        <v>4811</v>
      </c>
      <c r="E1030" t="s">
        <v>2666</v>
      </c>
      <c r="F1030" t="s">
        <v>3005</v>
      </c>
      <c r="G1030" t="s">
        <v>2666</v>
      </c>
      <c r="H1030" t="s">
        <v>2054</v>
      </c>
      <c r="I1030" t="s">
        <v>2909</v>
      </c>
      <c r="J1030" t="s">
        <v>2054</v>
      </c>
      <c r="K1030" t="s">
        <v>2665</v>
      </c>
      <c r="L1030" t="s">
        <v>1280</v>
      </c>
      <c r="M1030" t="s">
        <v>2669</v>
      </c>
      <c r="N1030" t="s">
        <v>2665</v>
      </c>
      <c r="O1030" t="s">
        <v>2670</v>
      </c>
      <c r="P1030" t="s">
        <v>2671</v>
      </c>
      <c r="Q1030" t="s">
        <v>2672</v>
      </c>
      <c r="R1030" t="s">
        <v>2665</v>
      </c>
      <c r="S1030" t="s">
        <v>2779</v>
      </c>
      <c r="T1030" t="s">
        <v>2780</v>
      </c>
      <c r="U1030" t="s">
        <v>2665</v>
      </c>
      <c r="V1030" t="s">
        <v>3411</v>
      </c>
      <c r="W1030" t="s">
        <v>4809</v>
      </c>
      <c r="X1030" t="s">
        <v>2665</v>
      </c>
      <c r="Y1030" t="s">
        <v>2054</v>
      </c>
      <c r="Z1030" t="s">
        <v>1280</v>
      </c>
      <c r="AA1030" t="s">
        <v>2742</v>
      </c>
      <c r="AB1030" t="s">
        <v>2742</v>
      </c>
      <c r="AC1030" t="s">
        <v>2665</v>
      </c>
      <c r="AD1030" t="s">
        <v>2054</v>
      </c>
      <c r="AE1030" t="s">
        <v>2054</v>
      </c>
    </row>
    <row r="1031" spans="1:31" x14ac:dyDescent="0.25">
      <c r="A1031" t="s">
        <v>4813</v>
      </c>
      <c r="B1031" t="s">
        <v>4814</v>
      </c>
      <c r="C1031" t="s">
        <v>4815</v>
      </c>
      <c r="D1031" t="s">
        <v>4814</v>
      </c>
      <c r="E1031" t="s">
        <v>2666</v>
      </c>
      <c r="F1031" t="s">
        <v>3005</v>
      </c>
      <c r="G1031" t="s">
        <v>2666</v>
      </c>
      <c r="H1031" t="s">
        <v>2054</v>
      </c>
      <c r="I1031" t="s">
        <v>2909</v>
      </c>
      <c r="J1031" t="s">
        <v>2054</v>
      </c>
      <c r="K1031" t="s">
        <v>2665</v>
      </c>
      <c r="L1031" t="s">
        <v>1280</v>
      </c>
      <c r="M1031" t="s">
        <v>2669</v>
      </c>
      <c r="N1031" t="s">
        <v>2665</v>
      </c>
      <c r="O1031" t="s">
        <v>2670</v>
      </c>
      <c r="P1031" t="s">
        <v>2671</v>
      </c>
      <c r="Q1031" t="s">
        <v>2672</v>
      </c>
      <c r="R1031" t="s">
        <v>2665</v>
      </c>
      <c r="S1031" t="s">
        <v>2779</v>
      </c>
      <c r="T1031" t="s">
        <v>2780</v>
      </c>
      <c r="U1031" t="s">
        <v>2665</v>
      </c>
      <c r="V1031" t="s">
        <v>3411</v>
      </c>
      <c r="W1031" t="s">
        <v>4809</v>
      </c>
      <c r="X1031" t="s">
        <v>2665</v>
      </c>
      <c r="Y1031" t="s">
        <v>2054</v>
      </c>
      <c r="Z1031" t="s">
        <v>1280</v>
      </c>
      <c r="AA1031" t="s">
        <v>2742</v>
      </c>
      <c r="AB1031" t="s">
        <v>2742</v>
      </c>
      <c r="AC1031" t="s">
        <v>2665</v>
      </c>
      <c r="AD1031" t="s">
        <v>2054</v>
      </c>
      <c r="AE1031" t="s">
        <v>2054</v>
      </c>
    </row>
    <row r="1032" spans="1:31" x14ac:dyDescent="0.25">
      <c r="A1032" t="s">
        <v>4816</v>
      </c>
      <c r="B1032" t="s">
        <v>4817</v>
      </c>
      <c r="C1032" t="s">
        <v>4818</v>
      </c>
      <c r="D1032" t="s">
        <v>4817</v>
      </c>
      <c r="E1032" t="s">
        <v>2666</v>
      </c>
      <c r="F1032" t="s">
        <v>3005</v>
      </c>
      <c r="G1032" t="s">
        <v>2666</v>
      </c>
      <c r="H1032" t="s">
        <v>2054</v>
      </c>
      <c r="I1032" t="s">
        <v>2909</v>
      </c>
      <c r="J1032" t="s">
        <v>2054</v>
      </c>
      <c r="K1032" t="s">
        <v>2665</v>
      </c>
      <c r="L1032" t="s">
        <v>1280</v>
      </c>
      <c r="M1032" t="s">
        <v>2669</v>
      </c>
      <c r="N1032" t="s">
        <v>2665</v>
      </c>
      <c r="O1032" t="s">
        <v>2670</v>
      </c>
      <c r="P1032" t="s">
        <v>2671</v>
      </c>
      <c r="Q1032" t="s">
        <v>2672</v>
      </c>
      <c r="R1032" t="s">
        <v>2665</v>
      </c>
      <c r="S1032" t="s">
        <v>2779</v>
      </c>
      <c r="T1032" t="s">
        <v>2780</v>
      </c>
      <c r="U1032" t="s">
        <v>2665</v>
      </c>
      <c r="V1032" t="s">
        <v>3411</v>
      </c>
      <c r="W1032" t="s">
        <v>4809</v>
      </c>
      <c r="X1032" t="s">
        <v>2665</v>
      </c>
      <c r="Y1032" t="s">
        <v>2054</v>
      </c>
      <c r="Z1032" t="s">
        <v>1280</v>
      </c>
      <c r="AA1032" t="s">
        <v>2742</v>
      </c>
      <c r="AB1032" t="s">
        <v>2742</v>
      </c>
      <c r="AC1032" t="s">
        <v>2665</v>
      </c>
      <c r="AD1032" t="s">
        <v>2054</v>
      </c>
      <c r="AE1032" t="s">
        <v>2054</v>
      </c>
    </row>
    <row r="1033" spans="1:31" x14ac:dyDescent="0.25">
      <c r="A1033" t="s">
        <v>4819</v>
      </c>
      <c r="B1033" t="s">
        <v>4820</v>
      </c>
      <c r="C1033" t="s">
        <v>4821</v>
      </c>
      <c r="D1033" t="s">
        <v>4820</v>
      </c>
      <c r="E1033" t="s">
        <v>2666</v>
      </c>
      <c r="F1033" t="s">
        <v>3005</v>
      </c>
      <c r="G1033" t="s">
        <v>2666</v>
      </c>
      <c r="H1033" t="s">
        <v>2054</v>
      </c>
      <c r="I1033" t="s">
        <v>2909</v>
      </c>
      <c r="J1033" t="s">
        <v>2054</v>
      </c>
      <c r="K1033" t="s">
        <v>2665</v>
      </c>
      <c r="L1033" t="s">
        <v>1280</v>
      </c>
      <c r="M1033" t="s">
        <v>2669</v>
      </c>
      <c r="N1033" t="s">
        <v>2665</v>
      </c>
      <c r="O1033" t="s">
        <v>2670</v>
      </c>
      <c r="P1033" t="s">
        <v>2671</v>
      </c>
      <c r="Q1033" t="s">
        <v>2672</v>
      </c>
      <c r="R1033" t="s">
        <v>2665</v>
      </c>
      <c r="S1033" t="s">
        <v>2779</v>
      </c>
      <c r="T1033" t="s">
        <v>2780</v>
      </c>
      <c r="U1033" t="s">
        <v>2665</v>
      </c>
      <c r="V1033" t="s">
        <v>3411</v>
      </c>
      <c r="W1033" t="s">
        <v>4809</v>
      </c>
      <c r="X1033" t="s">
        <v>2665</v>
      </c>
      <c r="Y1033" t="s">
        <v>2054</v>
      </c>
      <c r="Z1033" t="s">
        <v>1280</v>
      </c>
      <c r="AA1033" t="s">
        <v>2742</v>
      </c>
      <c r="AB1033" t="s">
        <v>2742</v>
      </c>
      <c r="AC1033" t="s">
        <v>2665</v>
      </c>
      <c r="AD1033" t="s">
        <v>2054</v>
      </c>
      <c r="AE1033" t="s">
        <v>2054</v>
      </c>
    </row>
    <row r="1034" spans="1:31" x14ac:dyDescent="0.25">
      <c r="A1034" t="s">
        <v>4822</v>
      </c>
      <c r="B1034" t="s">
        <v>4823</v>
      </c>
      <c r="C1034" t="s">
        <v>4824</v>
      </c>
      <c r="D1034" t="s">
        <v>4823</v>
      </c>
      <c r="E1034" t="s">
        <v>2666</v>
      </c>
      <c r="F1034" t="s">
        <v>3005</v>
      </c>
      <c r="G1034" t="s">
        <v>2666</v>
      </c>
      <c r="H1034" t="s">
        <v>2054</v>
      </c>
      <c r="I1034" t="s">
        <v>2909</v>
      </c>
      <c r="J1034" t="s">
        <v>2054</v>
      </c>
      <c r="K1034" t="s">
        <v>2665</v>
      </c>
      <c r="L1034" t="s">
        <v>1280</v>
      </c>
      <c r="M1034" t="s">
        <v>2669</v>
      </c>
      <c r="N1034" t="s">
        <v>2665</v>
      </c>
      <c r="O1034" t="s">
        <v>2670</v>
      </c>
      <c r="P1034" t="s">
        <v>2671</v>
      </c>
      <c r="Q1034" t="s">
        <v>2672</v>
      </c>
      <c r="R1034" t="s">
        <v>2665</v>
      </c>
      <c r="S1034" t="s">
        <v>2779</v>
      </c>
      <c r="T1034" t="s">
        <v>2780</v>
      </c>
      <c r="U1034" t="s">
        <v>2665</v>
      </c>
      <c r="V1034" t="s">
        <v>3411</v>
      </c>
      <c r="W1034" t="s">
        <v>4809</v>
      </c>
      <c r="X1034" t="s">
        <v>2665</v>
      </c>
      <c r="Y1034" t="s">
        <v>2054</v>
      </c>
      <c r="Z1034" t="s">
        <v>1280</v>
      </c>
      <c r="AA1034" t="s">
        <v>2742</v>
      </c>
      <c r="AB1034" t="s">
        <v>2742</v>
      </c>
      <c r="AC1034" t="s">
        <v>2665</v>
      </c>
      <c r="AD1034" t="s">
        <v>2054</v>
      </c>
      <c r="AE1034" t="s">
        <v>2054</v>
      </c>
    </row>
    <row r="1035" spans="1:31" x14ac:dyDescent="0.25">
      <c r="A1035" t="s">
        <v>4825</v>
      </c>
      <c r="B1035" t="s">
        <v>4826</v>
      </c>
      <c r="C1035" t="s">
        <v>4827</v>
      </c>
      <c r="D1035" t="s">
        <v>4826</v>
      </c>
      <c r="E1035" t="s">
        <v>2666</v>
      </c>
      <c r="F1035" t="s">
        <v>3005</v>
      </c>
      <c r="G1035" t="s">
        <v>2666</v>
      </c>
      <c r="H1035" t="s">
        <v>2054</v>
      </c>
      <c r="I1035" t="s">
        <v>2909</v>
      </c>
      <c r="J1035" t="s">
        <v>2054</v>
      </c>
      <c r="K1035" t="s">
        <v>2665</v>
      </c>
      <c r="L1035" t="s">
        <v>1280</v>
      </c>
      <c r="M1035" t="s">
        <v>2669</v>
      </c>
      <c r="N1035" t="s">
        <v>2665</v>
      </c>
      <c r="O1035" t="s">
        <v>2670</v>
      </c>
      <c r="P1035" t="s">
        <v>2671</v>
      </c>
      <c r="Q1035" t="s">
        <v>2672</v>
      </c>
      <c r="R1035" t="s">
        <v>2665</v>
      </c>
      <c r="S1035" t="s">
        <v>2779</v>
      </c>
      <c r="T1035" t="s">
        <v>2780</v>
      </c>
      <c r="U1035" t="s">
        <v>2665</v>
      </c>
      <c r="V1035" t="s">
        <v>3411</v>
      </c>
      <c r="W1035" t="s">
        <v>4809</v>
      </c>
      <c r="X1035" t="s">
        <v>2665</v>
      </c>
      <c r="Y1035" t="s">
        <v>2054</v>
      </c>
      <c r="Z1035" t="s">
        <v>1280</v>
      </c>
      <c r="AA1035" t="s">
        <v>2742</v>
      </c>
      <c r="AB1035" t="s">
        <v>2742</v>
      </c>
      <c r="AC1035" t="s">
        <v>2665</v>
      </c>
      <c r="AD1035" t="s">
        <v>2054</v>
      </c>
      <c r="AE1035" t="s">
        <v>2054</v>
      </c>
    </row>
    <row r="1036" spans="1:31" x14ac:dyDescent="0.25">
      <c r="A1036" t="s">
        <v>4828</v>
      </c>
      <c r="B1036" t="s">
        <v>4829</v>
      </c>
      <c r="C1036" t="s">
        <v>4830</v>
      </c>
      <c r="D1036" t="s">
        <v>4829</v>
      </c>
      <c r="E1036" t="s">
        <v>2666</v>
      </c>
      <c r="F1036" t="s">
        <v>3005</v>
      </c>
      <c r="G1036" t="s">
        <v>2666</v>
      </c>
      <c r="H1036" t="s">
        <v>2054</v>
      </c>
      <c r="I1036" t="s">
        <v>2909</v>
      </c>
      <c r="J1036" t="s">
        <v>2054</v>
      </c>
      <c r="K1036" t="s">
        <v>2665</v>
      </c>
      <c r="L1036" t="s">
        <v>1280</v>
      </c>
      <c r="M1036" t="s">
        <v>2669</v>
      </c>
      <c r="N1036" t="s">
        <v>2665</v>
      </c>
      <c r="O1036" t="s">
        <v>2670</v>
      </c>
      <c r="P1036" t="s">
        <v>2671</v>
      </c>
      <c r="Q1036" t="s">
        <v>2672</v>
      </c>
      <c r="R1036" t="s">
        <v>2665</v>
      </c>
      <c r="S1036" t="s">
        <v>2779</v>
      </c>
      <c r="T1036" t="s">
        <v>2780</v>
      </c>
      <c r="U1036" t="s">
        <v>2665</v>
      </c>
      <c r="V1036" t="s">
        <v>3411</v>
      </c>
      <c r="W1036" t="s">
        <v>4809</v>
      </c>
      <c r="X1036" t="s">
        <v>2665</v>
      </c>
      <c r="Y1036" t="s">
        <v>2054</v>
      </c>
      <c r="Z1036" t="s">
        <v>1280</v>
      </c>
      <c r="AA1036" t="s">
        <v>2742</v>
      </c>
      <c r="AB1036" t="s">
        <v>2742</v>
      </c>
      <c r="AC1036" t="s">
        <v>2665</v>
      </c>
      <c r="AD1036" t="s">
        <v>2054</v>
      </c>
      <c r="AE1036" t="s">
        <v>2054</v>
      </c>
    </row>
    <row r="1037" spans="1:31" x14ac:dyDescent="0.25">
      <c r="A1037" t="s">
        <v>4831</v>
      </c>
      <c r="B1037" t="s">
        <v>4832</v>
      </c>
      <c r="C1037" t="s">
        <v>4833</v>
      </c>
      <c r="D1037" t="s">
        <v>4832</v>
      </c>
      <c r="E1037" t="s">
        <v>2666</v>
      </c>
      <c r="F1037" t="s">
        <v>3005</v>
      </c>
      <c r="G1037" t="s">
        <v>2666</v>
      </c>
      <c r="H1037" t="s">
        <v>2054</v>
      </c>
      <c r="I1037" t="s">
        <v>2909</v>
      </c>
      <c r="J1037" t="s">
        <v>2054</v>
      </c>
      <c r="K1037" t="s">
        <v>2665</v>
      </c>
      <c r="L1037" t="s">
        <v>1280</v>
      </c>
      <c r="M1037" t="s">
        <v>2669</v>
      </c>
      <c r="N1037" t="s">
        <v>2665</v>
      </c>
      <c r="O1037" t="s">
        <v>2670</v>
      </c>
      <c r="P1037" t="s">
        <v>2671</v>
      </c>
      <c r="Q1037" t="s">
        <v>2672</v>
      </c>
      <c r="R1037" t="s">
        <v>2665</v>
      </c>
      <c r="S1037" t="s">
        <v>2779</v>
      </c>
      <c r="T1037" t="s">
        <v>2780</v>
      </c>
      <c r="U1037" t="s">
        <v>2665</v>
      </c>
      <c r="V1037" t="s">
        <v>3411</v>
      </c>
      <c r="W1037" t="s">
        <v>4809</v>
      </c>
      <c r="X1037" t="s">
        <v>2665</v>
      </c>
      <c r="Y1037" t="s">
        <v>2054</v>
      </c>
      <c r="Z1037" t="s">
        <v>1280</v>
      </c>
      <c r="AA1037" t="s">
        <v>2742</v>
      </c>
      <c r="AB1037" t="s">
        <v>2742</v>
      </c>
      <c r="AC1037" t="s">
        <v>2665</v>
      </c>
      <c r="AD1037" t="s">
        <v>2054</v>
      </c>
      <c r="AE1037" t="s">
        <v>2054</v>
      </c>
    </row>
    <row r="1038" spans="1:31" x14ac:dyDescent="0.25">
      <c r="A1038" t="s">
        <v>4834</v>
      </c>
      <c r="B1038" t="s">
        <v>4835</v>
      </c>
      <c r="C1038" t="s">
        <v>4836</v>
      </c>
      <c r="D1038" t="s">
        <v>4835</v>
      </c>
      <c r="E1038" t="s">
        <v>2666</v>
      </c>
      <c r="F1038" t="s">
        <v>3005</v>
      </c>
      <c r="G1038" t="s">
        <v>2666</v>
      </c>
      <c r="H1038" t="s">
        <v>2054</v>
      </c>
      <c r="I1038" t="s">
        <v>2909</v>
      </c>
      <c r="J1038" t="s">
        <v>2054</v>
      </c>
      <c r="K1038" t="s">
        <v>2665</v>
      </c>
      <c r="L1038" t="s">
        <v>1280</v>
      </c>
      <c r="M1038" t="s">
        <v>2669</v>
      </c>
      <c r="N1038" t="s">
        <v>2665</v>
      </c>
      <c r="O1038" t="s">
        <v>2670</v>
      </c>
      <c r="P1038" t="s">
        <v>2671</v>
      </c>
      <c r="Q1038" t="s">
        <v>2672</v>
      </c>
      <c r="R1038" t="s">
        <v>2665</v>
      </c>
      <c r="S1038" t="s">
        <v>2779</v>
      </c>
      <c r="T1038" t="s">
        <v>2780</v>
      </c>
      <c r="U1038" t="s">
        <v>2665</v>
      </c>
      <c r="V1038" t="s">
        <v>3411</v>
      </c>
      <c r="W1038" t="s">
        <v>4809</v>
      </c>
      <c r="X1038" t="s">
        <v>2665</v>
      </c>
      <c r="Y1038" t="s">
        <v>2054</v>
      </c>
      <c r="Z1038" t="s">
        <v>1280</v>
      </c>
      <c r="AA1038" t="s">
        <v>2742</v>
      </c>
      <c r="AB1038" t="s">
        <v>2742</v>
      </c>
      <c r="AC1038" t="s">
        <v>2665</v>
      </c>
      <c r="AD1038" t="s">
        <v>2054</v>
      </c>
      <c r="AE1038" t="s">
        <v>2054</v>
      </c>
    </row>
    <row r="1039" spans="1:31" x14ac:dyDescent="0.25">
      <c r="A1039" t="s">
        <v>4837</v>
      </c>
      <c r="B1039" t="s">
        <v>4838</v>
      </c>
      <c r="C1039" t="s">
        <v>4839</v>
      </c>
      <c r="D1039" t="s">
        <v>4838</v>
      </c>
      <c r="E1039" t="s">
        <v>2666</v>
      </c>
      <c r="F1039" t="s">
        <v>3005</v>
      </c>
      <c r="G1039" t="s">
        <v>2666</v>
      </c>
      <c r="H1039" t="s">
        <v>2054</v>
      </c>
      <c r="I1039" t="s">
        <v>2909</v>
      </c>
      <c r="J1039" t="s">
        <v>2054</v>
      </c>
      <c r="K1039" t="s">
        <v>2665</v>
      </c>
      <c r="L1039" t="s">
        <v>1280</v>
      </c>
      <c r="M1039" t="s">
        <v>2669</v>
      </c>
      <c r="N1039" t="s">
        <v>2665</v>
      </c>
      <c r="O1039" t="s">
        <v>2670</v>
      </c>
      <c r="P1039" t="s">
        <v>2671</v>
      </c>
      <c r="Q1039" t="s">
        <v>2672</v>
      </c>
      <c r="R1039" t="s">
        <v>2665</v>
      </c>
      <c r="S1039" t="s">
        <v>2779</v>
      </c>
      <c r="T1039" t="s">
        <v>2780</v>
      </c>
      <c r="U1039" t="s">
        <v>2665</v>
      </c>
      <c r="V1039" t="s">
        <v>3411</v>
      </c>
      <c r="W1039" t="s">
        <v>4809</v>
      </c>
      <c r="X1039" t="s">
        <v>2665</v>
      </c>
      <c r="Y1039" t="s">
        <v>2054</v>
      </c>
      <c r="Z1039" t="s">
        <v>1280</v>
      </c>
      <c r="AA1039" t="s">
        <v>2742</v>
      </c>
      <c r="AB1039" t="s">
        <v>2742</v>
      </c>
      <c r="AC1039" t="s">
        <v>2665</v>
      </c>
      <c r="AD1039" t="s">
        <v>2054</v>
      </c>
      <c r="AE1039" t="s">
        <v>2054</v>
      </c>
    </row>
    <row r="1040" spans="1:31" x14ac:dyDescent="0.25">
      <c r="A1040" t="s">
        <v>4840</v>
      </c>
      <c r="B1040" t="s">
        <v>4841</v>
      </c>
      <c r="C1040" t="s">
        <v>4842</v>
      </c>
      <c r="D1040" t="s">
        <v>4841</v>
      </c>
      <c r="E1040" t="s">
        <v>2666</v>
      </c>
      <c r="F1040" t="s">
        <v>3005</v>
      </c>
      <c r="G1040" t="s">
        <v>2666</v>
      </c>
      <c r="H1040" t="s">
        <v>2054</v>
      </c>
      <c r="I1040" t="s">
        <v>2909</v>
      </c>
      <c r="J1040" t="s">
        <v>2054</v>
      </c>
      <c r="K1040" t="s">
        <v>2665</v>
      </c>
      <c r="L1040" t="s">
        <v>1280</v>
      </c>
      <c r="M1040" t="s">
        <v>2669</v>
      </c>
      <c r="N1040" t="s">
        <v>2665</v>
      </c>
      <c r="O1040" t="s">
        <v>2670</v>
      </c>
      <c r="P1040" t="s">
        <v>2671</v>
      </c>
      <c r="Q1040" t="s">
        <v>2672</v>
      </c>
      <c r="R1040" t="s">
        <v>2665</v>
      </c>
      <c r="S1040" t="s">
        <v>2779</v>
      </c>
      <c r="T1040" t="s">
        <v>2780</v>
      </c>
      <c r="U1040" t="s">
        <v>2665</v>
      </c>
      <c r="V1040" t="s">
        <v>3411</v>
      </c>
      <c r="W1040" t="s">
        <v>4809</v>
      </c>
      <c r="X1040" t="s">
        <v>2665</v>
      </c>
      <c r="Y1040" t="s">
        <v>2054</v>
      </c>
      <c r="Z1040" t="s">
        <v>1280</v>
      </c>
      <c r="AA1040" t="s">
        <v>2742</v>
      </c>
      <c r="AB1040" t="s">
        <v>2742</v>
      </c>
      <c r="AC1040" t="s">
        <v>2665</v>
      </c>
      <c r="AD1040" t="s">
        <v>2054</v>
      </c>
      <c r="AE1040" t="s">
        <v>2054</v>
      </c>
    </row>
    <row r="1041" spans="1:31" x14ac:dyDescent="0.25">
      <c r="A1041" t="s">
        <v>4843</v>
      </c>
      <c r="B1041" t="s">
        <v>4844</v>
      </c>
      <c r="C1041" t="s">
        <v>3820</v>
      </c>
      <c r="D1041" t="s">
        <v>4844</v>
      </c>
      <c r="E1041" t="s">
        <v>2666</v>
      </c>
      <c r="F1041" t="s">
        <v>3005</v>
      </c>
      <c r="G1041" t="s">
        <v>2666</v>
      </c>
      <c r="H1041" t="s">
        <v>2054</v>
      </c>
      <c r="I1041" t="s">
        <v>2778</v>
      </c>
      <c r="J1041" t="s">
        <v>2054</v>
      </c>
      <c r="K1041" t="s">
        <v>2665</v>
      </c>
      <c r="L1041" t="s">
        <v>1179</v>
      </c>
      <c r="M1041" t="s">
        <v>2669</v>
      </c>
      <c r="N1041" t="s">
        <v>2665</v>
      </c>
      <c r="O1041" t="s">
        <v>2670</v>
      </c>
      <c r="P1041" t="s">
        <v>2671</v>
      </c>
      <c r="Q1041" t="s">
        <v>2672</v>
      </c>
      <c r="R1041" t="s">
        <v>2665</v>
      </c>
      <c r="S1041" t="s">
        <v>2779</v>
      </c>
      <c r="T1041" t="s">
        <v>2780</v>
      </c>
      <c r="U1041" t="s">
        <v>2665</v>
      </c>
      <c r="V1041" t="s">
        <v>3411</v>
      </c>
      <c r="W1041" t="s">
        <v>4809</v>
      </c>
      <c r="X1041" t="s">
        <v>2665</v>
      </c>
      <c r="Y1041" t="s">
        <v>2054</v>
      </c>
      <c r="Z1041" t="s">
        <v>1179</v>
      </c>
      <c r="AA1041" t="s">
        <v>2742</v>
      </c>
      <c r="AB1041" t="s">
        <v>2742</v>
      </c>
      <c r="AC1041" t="s">
        <v>2665</v>
      </c>
      <c r="AD1041" t="s">
        <v>2054</v>
      </c>
      <c r="AE1041" t="s">
        <v>2054</v>
      </c>
    </row>
    <row r="1042" spans="1:31" x14ac:dyDescent="0.25">
      <c r="A1042" t="s">
        <v>4845</v>
      </c>
      <c r="B1042" t="s">
        <v>4846</v>
      </c>
      <c r="C1042" t="s">
        <v>4847</v>
      </c>
      <c r="D1042" t="s">
        <v>4846</v>
      </c>
      <c r="E1042" t="s">
        <v>2666</v>
      </c>
      <c r="F1042" t="s">
        <v>3005</v>
      </c>
      <c r="G1042" t="s">
        <v>2666</v>
      </c>
      <c r="H1042" t="s">
        <v>2054</v>
      </c>
      <c r="I1042" t="s">
        <v>2909</v>
      </c>
      <c r="J1042" t="s">
        <v>2054</v>
      </c>
      <c r="K1042" t="s">
        <v>2665</v>
      </c>
      <c r="L1042" t="s">
        <v>1280</v>
      </c>
      <c r="M1042" t="s">
        <v>2669</v>
      </c>
      <c r="N1042" t="s">
        <v>2665</v>
      </c>
      <c r="O1042" t="s">
        <v>2670</v>
      </c>
      <c r="P1042" t="s">
        <v>2671</v>
      </c>
      <c r="Q1042" t="s">
        <v>2672</v>
      </c>
      <c r="R1042" t="s">
        <v>2665</v>
      </c>
      <c r="S1042" t="s">
        <v>2779</v>
      </c>
      <c r="T1042" t="s">
        <v>2780</v>
      </c>
      <c r="U1042" t="s">
        <v>2665</v>
      </c>
      <c r="V1042" t="s">
        <v>3411</v>
      </c>
      <c r="W1042" t="s">
        <v>4809</v>
      </c>
      <c r="X1042" t="s">
        <v>2665</v>
      </c>
      <c r="Y1042" t="s">
        <v>2054</v>
      </c>
      <c r="Z1042" t="s">
        <v>1280</v>
      </c>
      <c r="AA1042" t="s">
        <v>2742</v>
      </c>
      <c r="AB1042" t="s">
        <v>2742</v>
      </c>
      <c r="AC1042" t="s">
        <v>2665</v>
      </c>
      <c r="AD1042" t="s">
        <v>2054</v>
      </c>
      <c r="AE1042" t="s">
        <v>2054</v>
      </c>
    </row>
    <row r="1043" spans="1:31" x14ac:dyDescent="0.25">
      <c r="A1043" t="s">
        <v>4848</v>
      </c>
      <c r="B1043" t="s">
        <v>4849</v>
      </c>
      <c r="C1043" t="s">
        <v>4850</v>
      </c>
      <c r="D1043" t="s">
        <v>4849</v>
      </c>
      <c r="E1043" t="s">
        <v>2666</v>
      </c>
      <c r="F1043" t="s">
        <v>3005</v>
      </c>
      <c r="G1043" t="s">
        <v>2666</v>
      </c>
      <c r="H1043" t="s">
        <v>2054</v>
      </c>
      <c r="I1043" t="s">
        <v>2909</v>
      </c>
      <c r="J1043" t="s">
        <v>2054</v>
      </c>
      <c r="K1043" t="s">
        <v>2665</v>
      </c>
      <c r="L1043" t="s">
        <v>1280</v>
      </c>
      <c r="M1043" t="s">
        <v>2669</v>
      </c>
      <c r="N1043" t="s">
        <v>2665</v>
      </c>
      <c r="O1043" t="s">
        <v>2670</v>
      </c>
      <c r="P1043" t="s">
        <v>2671</v>
      </c>
      <c r="Q1043" t="s">
        <v>2672</v>
      </c>
      <c r="R1043" t="s">
        <v>2665</v>
      </c>
      <c r="S1043" t="s">
        <v>2779</v>
      </c>
      <c r="T1043" t="s">
        <v>2780</v>
      </c>
      <c r="U1043" t="s">
        <v>2665</v>
      </c>
      <c r="V1043" t="s">
        <v>3411</v>
      </c>
      <c r="W1043" t="s">
        <v>4809</v>
      </c>
      <c r="X1043" t="s">
        <v>2665</v>
      </c>
      <c r="Y1043" t="s">
        <v>2054</v>
      </c>
      <c r="Z1043" t="s">
        <v>1280</v>
      </c>
      <c r="AA1043" t="s">
        <v>2742</v>
      </c>
      <c r="AB1043" t="s">
        <v>2742</v>
      </c>
      <c r="AC1043" t="s">
        <v>2665</v>
      </c>
      <c r="AD1043" t="s">
        <v>2054</v>
      </c>
      <c r="AE1043" t="s">
        <v>2054</v>
      </c>
    </row>
    <row r="1044" spans="1:31" x14ac:dyDescent="0.25">
      <c r="A1044" t="s">
        <v>4851</v>
      </c>
      <c r="B1044" t="s">
        <v>4852</v>
      </c>
      <c r="C1044" t="s">
        <v>4853</v>
      </c>
      <c r="D1044" t="s">
        <v>4852</v>
      </c>
      <c r="E1044" t="s">
        <v>2666</v>
      </c>
      <c r="F1044" t="s">
        <v>3005</v>
      </c>
      <c r="G1044" t="s">
        <v>2666</v>
      </c>
      <c r="H1044" t="s">
        <v>2054</v>
      </c>
      <c r="I1044" t="s">
        <v>2909</v>
      </c>
      <c r="J1044" t="s">
        <v>2054</v>
      </c>
      <c r="K1044" t="s">
        <v>2665</v>
      </c>
      <c r="L1044" t="s">
        <v>1280</v>
      </c>
      <c r="M1044" t="s">
        <v>2669</v>
      </c>
      <c r="N1044" t="s">
        <v>2665</v>
      </c>
      <c r="O1044" t="s">
        <v>2670</v>
      </c>
      <c r="P1044" t="s">
        <v>2671</v>
      </c>
      <c r="Q1044" t="s">
        <v>2672</v>
      </c>
      <c r="R1044" t="s">
        <v>2665</v>
      </c>
      <c r="S1044" t="s">
        <v>2779</v>
      </c>
      <c r="T1044" t="s">
        <v>2780</v>
      </c>
      <c r="U1044" t="s">
        <v>2665</v>
      </c>
      <c r="V1044" t="s">
        <v>3411</v>
      </c>
      <c r="W1044" t="s">
        <v>4809</v>
      </c>
      <c r="X1044" t="s">
        <v>2665</v>
      </c>
      <c r="Y1044" t="s">
        <v>2054</v>
      </c>
      <c r="Z1044" t="s">
        <v>1280</v>
      </c>
      <c r="AA1044" t="s">
        <v>2795</v>
      </c>
      <c r="AB1044" t="s">
        <v>2795</v>
      </c>
      <c r="AC1044" t="s">
        <v>2665</v>
      </c>
      <c r="AD1044" t="s">
        <v>2054</v>
      </c>
      <c r="AE1044" t="s">
        <v>2726</v>
      </c>
    </row>
    <row r="1045" spans="1:31" x14ac:dyDescent="0.25">
      <c r="A1045" t="s">
        <v>4854</v>
      </c>
      <c r="B1045" t="s">
        <v>4855</v>
      </c>
      <c r="C1045" t="s">
        <v>4856</v>
      </c>
      <c r="D1045" t="s">
        <v>4855</v>
      </c>
      <c r="E1045" t="s">
        <v>2666</v>
      </c>
      <c r="F1045" t="s">
        <v>3005</v>
      </c>
      <c r="G1045" t="s">
        <v>2666</v>
      </c>
      <c r="H1045" t="s">
        <v>2054</v>
      </c>
      <c r="I1045" t="s">
        <v>2909</v>
      </c>
      <c r="J1045" t="s">
        <v>2054</v>
      </c>
      <c r="K1045" t="s">
        <v>2665</v>
      </c>
      <c r="L1045" t="s">
        <v>1280</v>
      </c>
      <c r="M1045" t="s">
        <v>2669</v>
      </c>
      <c r="N1045" t="s">
        <v>2665</v>
      </c>
      <c r="O1045" t="s">
        <v>2670</v>
      </c>
      <c r="P1045" t="s">
        <v>2671</v>
      </c>
      <c r="Q1045" t="s">
        <v>2672</v>
      </c>
      <c r="R1045" t="s">
        <v>2665</v>
      </c>
      <c r="S1045" t="s">
        <v>2779</v>
      </c>
      <c r="T1045" t="s">
        <v>2780</v>
      </c>
      <c r="U1045" t="s">
        <v>2665</v>
      </c>
      <c r="V1045" t="s">
        <v>3411</v>
      </c>
      <c r="W1045" t="s">
        <v>4809</v>
      </c>
      <c r="X1045" t="s">
        <v>2665</v>
      </c>
      <c r="Y1045" t="s">
        <v>2054</v>
      </c>
      <c r="Z1045" t="s">
        <v>1280</v>
      </c>
      <c r="AA1045" t="s">
        <v>2795</v>
      </c>
      <c r="AB1045" t="s">
        <v>2795</v>
      </c>
      <c r="AC1045" t="s">
        <v>2665</v>
      </c>
      <c r="AD1045" t="s">
        <v>2054</v>
      </c>
      <c r="AE1045" t="s">
        <v>2726</v>
      </c>
    </row>
    <row r="1046" spans="1:31" x14ac:dyDescent="0.25">
      <c r="A1046" t="s">
        <v>4857</v>
      </c>
      <c r="B1046" t="s">
        <v>4858</v>
      </c>
      <c r="C1046" t="s">
        <v>4859</v>
      </c>
      <c r="D1046" t="s">
        <v>4858</v>
      </c>
      <c r="E1046" t="s">
        <v>2666</v>
      </c>
      <c r="F1046" t="s">
        <v>3005</v>
      </c>
      <c r="G1046" t="s">
        <v>2666</v>
      </c>
      <c r="H1046" t="s">
        <v>2054</v>
      </c>
      <c r="I1046" t="s">
        <v>2909</v>
      </c>
      <c r="J1046" t="s">
        <v>2054</v>
      </c>
      <c r="K1046" t="s">
        <v>2665</v>
      </c>
      <c r="L1046" t="s">
        <v>1280</v>
      </c>
      <c r="M1046" t="s">
        <v>2669</v>
      </c>
      <c r="N1046" t="s">
        <v>2665</v>
      </c>
      <c r="O1046" t="s">
        <v>2670</v>
      </c>
      <c r="P1046" t="s">
        <v>2671</v>
      </c>
      <c r="Q1046" t="s">
        <v>2672</v>
      </c>
      <c r="R1046" t="s">
        <v>2665</v>
      </c>
      <c r="S1046" t="s">
        <v>2779</v>
      </c>
      <c r="T1046" t="s">
        <v>2780</v>
      </c>
      <c r="U1046" t="s">
        <v>2665</v>
      </c>
      <c r="V1046" t="s">
        <v>3411</v>
      </c>
      <c r="W1046" t="s">
        <v>4809</v>
      </c>
      <c r="X1046" t="s">
        <v>2665</v>
      </c>
      <c r="Y1046" t="s">
        <v>2054</v>
      </c>
      <c r="Z1046" t="s">
        <v>1280</v>
      </c>
      <c r="AA1046" t="s">
        <v>2797</v>
      </c>
      <c r="AB1046" t="s">
        <v>2797</v>
      </c>
      <c r="AC1046" t="s">
        <v>2665</v>
      </c>
      <c r="AD1046" t="s">
        <v>2054</v>
      </c>
      <c r="AE1046" t="s">
        <v>2054</v>
      </c>
    </row>
    <row r="1047" spans="1:31" x14ac:dyDescent="0.25">
      <c r="A1047" t="s">
        <v>4860</v>
      </c>
      <c r="B1047" t="s">
        <v>4861</v>
      </c>
      <c r="C1047" t="s">
        <v>4862</v>
      </c>
      <c r="D1047" t="s">
        <v>4861</v>
      </c>
      <c r="E1047" t="s">
        <v>2666</v>
      </c>
      <c r="F1047" t="s">
        <v>3005</v>
      </c>
      <c r="G1047" t="s">
        <v>2666</v>
      </c>
      <c r="H1047" t="s">
        <v>2054</v>
      </c>
      <c r="I1047" t="s">
        <v>2909</v>
      </c>
      <c r="J1047" t="s">
        <v>2054</v>
      </c>
      <c r="K1047" t="s">
        <v>2665</v>
      </c>
      <c r="L1047" t="s">
        <v>1280</v>
      </c>
      <c r="M1047" t="s">
        <v>2669</v>
      </c>
      <c r="N1047" t="s">
        <v>2665</v>
      </c>
      <c r="O1047" t="s">
        <v>2670</v>
      </c>
      <c r="P1047" t="s">
        <v>2671</v>
      </c>
      <c r="Q1047" t="s">
        <v>2672</v>
      </c>
      <c r="R1047" t="s">
        <v>2665</v>
      </c>
      <c r="S1047" t="s">
        <v>2779</v>
      </c>
      <c r="T1047" t="s">
        <v>2780</v>
      </c>
      <c r="U1047" t="s">
        <v>2665</v>
      </c>
      <c r="V1047" t="s">
        <v>3411</v>
      </c>
      <c r="W1047" t="s">
        <v>4809</v>
      </c>
      <c r="X1047" t="s">
        <v>2665</v>
      </c>
      <c r="Y1047" t="s">
        <v>2054</v>
      </c>
      <c r="Z1047" t="s">
        <v>1280</v>
      </c>
      <c r="AA1047" t="s">
        <v>2797</v>
      </c>
      <c r="AB1047" t="s">
        <v>2797</v>
      </c>
      <c r="AC1047" t="s">
        <v>2665</v>
      </c>
      <c r="AD1047" t="s">
        <v>2054</v>
      </c>
      <c r="AE1047" t="s">
        <v>2054</v>
      </c>
    </row>
    <row r="1048" spans="1:31" x14ac:dyDescent="0.25">
      <c r="A1048" t="s">
        <v>4863</v>
      </c>
      <c r="B1048" t="s">
        <v>4864</v>
      </c>
      <c r="C1048" t="s">
        <v>4865</v>
      </c>
      <c r="D1048" t="s">
        <v>4864</v>
      </c>
      <c r="E1048" t="s">
        <v>2666</v>
      </c>
      <c r="F1048" t="s">
        <v>3005</v>
      </c>
      <c r="G1048" t="s">
        <v>2666</v>
      </c>
      <c r="H1048" t="s">
        <v>2054</v>
      </c>
      <c r="I1048" t="s">
        <v>2909</v>
      </c>
      <c r="J1048" t="s">
        <v>2054</v>
      </c>
      <c r="K1048" t="s">
        <v>2665</v>
      </c>
      <c r="L1048" t="s">
        <v>1280</v>
      </c>
      <c r="M1048" t="s">
        <v>2669</v>
      </c>
      <c r="N1048" t="s">
        <v>2665</v>
      </c>
      <c r="O1048" t="s">
        <v>2670</v>
      </c>
      <c r="P1048" t="s">
        <v>2671</v>
      </c>
      <c r="Q1048" t="s">
        <v>2672</v>
      </c>
      <c r="R1048" t="s">
        <v>2665</v>
      </c>
      <c r="S1048" t="s">
        <v>2779</v>
      </c>
      <c r="T1048" t="s">
        <v>2780</v>
      </c>
      <c r="U1048" t="s">
        <v>2665</v>
      </c>
      <c r="V1048" t="s">
        <v>3411</v>
      </c>
      <c r="W1048" t="s">
        <v>4809</v>
      </c>
      <c r="X1048" t="s">
        <v>2665</v>
      </c>
      <c r="Y1048" t="s">
        <v>2054</v>
      </c>
      <c r="Z1048" t="s">
        <v>1280</v>
      </c>
      <c r="AA1048" t="s">
        <v>2742</v>
      </c>
      <c r="AB1048" t="s">
        <v>2742</v>
      </c>
      <c r="AC1048" t="s">
        <v>2665</v>
      </c>
      <c r="AD1048" t="s">
        <v>2054</v>
      </c>
      <c r="AE1048" t="s">
        <v>2054</v>
      </c>
    </row>
    <row r="1049" spans="1:31" x14ac:dyDescent="0.25">
      <c r="A1049" t="s">
        <v>4866</v>
      </c>
      <c r="B1049" t="s">
        <v>4867</v>
      </c>
      <c r="C1049" t="s">
        <v>4868</v>
      </c>
      <c r="D1049" t="s">
        <v>4867</v>
      </c>
      <c r="E1049" t="s">
        <v>2666</v>
      </c>
      <c r="F1049" t="s">
        <v>3005</v>
      </c>
      <c r="G1049" t="s">
        <v>2666</v>
      </c>
      <c r="H1049" t="s">
        <v>2054</v>
      </c>
      <c r="I1049" t="s">
        <v>2909</v>
      </c>
      <c r="J1049" t="s">
        <v>2054</v>
      </c>
      <c r="K1049" t="s">
        <v>2665</v>
      </c>
      <c r="L1049" t="s">
        <v>1280</v>
      </c>
      <c r="M1049" t="s">
        <v>2669</v>
      </c>
      <c r="N1049" t="s">
        <v>2665</v>
      </c>
      <c r="O1049" t="s">
        <v>2670</v>
      </c>
      <c r="P1049" t="s">
        <v>2671</v>
      </c>
      <c r="Q1049" t="s">
        <v>2672</v>
      </c>
      <c r="R1049" t="s">
        <v>2665</v>
      </c>
      <c r="S1049" t="s">
        <v>2779</v>
      </c>
      <c r="T1049" t="s">
        <v>2780</v>
      </c>
      <c r="U1049" t="s">
        <v>2665</v>
      </c>
      <c r="V1049" t="s">
        <v>3411</v>
      </c>
      <c r="W1049" t="s">
        <v>4809</v>
      </c>
      <c r="X1049" t="s">
        <v>2665</v>
      </c>
      <c r="Y1049" t="s">
        <v>2054</v>
      </c>
      <c r="Z1049" t="s">
        <v>1280</v>
      </c>
      <c r="AA1049" t="s">
        <v>2742</v>
      </c>
      <c r="AB1049" t="s">
        <v>2742</v>
      </c>
      <c r="AC1049" t="s">
        <v>2665</v>
      </c>
      <c r="AD1049" t="s">
        <v>2054</v>
      </c>
      <c r="AE1049" t="s">
        <v>2054</v>
      </c>
    </row>
    <row r="1050" spans="1:31" x14ac:dyDescent="0.25">
      <c r="A1050" t="s">
        <v>4869</v>
      </c>
      <c r="B1050" t="s">
        <v>4870</v>
      </c>
      <c r="C1050" t="s">
        <v>4871</v>
      </c>
      <c r="D1050" t="s">
        <v>4870</v>
      </c>
      <c r="E1050" t="s">
        <v>2666</v>
      </c>
      <c r="F1050" t="s">
        <v>3005</v>
      </c>
      <c r="G1050" t="s">
        <v>2666</v>
      </c>
      <c r="H1050" t="s">
        <v>2054</v>
      </c>
      <c r="I1050" t="s">
        <v>2909</v>
      </c>
      <c r="J1050" t="s">
        <v>2054</v>
      </c>
      <c r="K1050" t="s">
        <v>2665</v>
      </c>
      <c r="L1050" t="s">
        <v>1280</v>
      </c>
      <c r="M1050" t="s">
        <v>2669</v>
      </c>
      <c r="N1050" t="s">
        <v>2665</v>
      </c>
      <c r="O1050" t="s">
        <v>2670</v>
      </c>
      <c r="P1050" t="s">
        <v>2671</v>
      </c>
      <c r="Q1050" t="s">
        <v>2672</v>
      </c>
      <c r="R1050" t="s">
        <v>2665</v>
      </c>
      <c r="S1050" t="s">
        <v>2779</v>
      </c>
      <c r="T1050" t="s">
        <v>2780</v>
      </c>
      <c r="U1050" t="s">
        <v>2665</v>
      </c>
      <c r="V1050" t="s">
        <v>3411</v>
      </c>
      <c r="W1050" t="s">
        <v>4809</v>
      </c>
      <c r="X1050" t="s">
        <v>2665</v>
      </c>
      <c r="Y1050" t="s">
        <v>2054</v>
      </c>
      <c r="Z1050" t="s">
        <v>1280</v>
      </c>
      <c r="AA1050" t="s">
        <v>2742</v>
      </c>
      <c r="AB1050" t="s">
        <v>2742</v>
      </c>
      <c r="AC1050" t="s">
        <v>2665</v>
      </c>
      <c r="AD1050" t="s">
        <v>2054</v>
      </c>
      <c r="AE1050" t="s">
        <v>2054</v>
      </c>
    </row>
    <row r="1051" spans="1:31" x14ac:dyDescent="0.25">
      <c r="A1051" t="s">
        <v>4872</v>
      </c>
      <c r="B1051" t="s">
        <v>4873</v>
      </c>
      <c r="C1051" t="s">
        <v>4874</v>
      </c>
      <c r="D1051" t="s">
        <v>4873</v>
      </c>
      <c r="E1051" t="s">
        <v>2666</v>
      </c>
      <c r="F1051" t="s">
        <v>2819</v>
      </c>
      <c r="G1051" t="s">
        <v>2666</v>
      </c>
      <c r="H1051" t="s">
        <v>2054</v>
      </c>
      <c r="I1051" t="s">
        <v>2778</v>
      </c>
      <c r="J1051" t="s">
        <v>2054</v>
      </c>
      <c r="K1051" t="s">
        <v>2665</v>
      </c>
      <c r="L1051" t="s">
        <v>1179</v>
      </c>
      <c r="M1051" t="s">
        <v>2669</v>
      </c>
      <c r="N1051" t="s">
        <v>2665</v>
      </c>
      <c r="O1051" t="s">
        <v>2670</v>
      </c>
      <c r="P1051" t="s">
        <v>2671</v>
      </c>
      <c r="Q1051" t="s">
        <v>2672</v>
      </c>
      <c r="R1051" t="s">
        <v>2665</v>
      </c>
      <c r="S1051" t="s">
        <v>2779</v>
      </c>
      <c r="T1051" t="s">
        <v>2780</v>
      </c>
      <c r="U1051" t="s">
        <v>2665</v>
      </c>
      <c r="V1051" t="s">
        <v>2923</v>
      </c>
      <c r="W1051" t="s">
        <v>2924</v>
      </c>
      <c r="X1051" t="s">
        <v>2665</v>
      </c>
      <c r="Y1051" t="s">
        <v>2054</v>
      </c>
      <c r="Z1051" t="s">
        <v>1179</v>
      </c>
      <c r="AA1051" t="s">
        <v>2959</v>
      </c>
      <c r="AB1051" t="s">
        <v>2959</v>
      </c>
      <c r="AC1051" t="s">
        <v>2665</v>
      </c>
      <c r="AD1051" t="s">
        <v>2054</v>
      </c>
      <c r="AE1051" t="s">
        <v>2054</v>
      </c>
    </row>
    <row r="1052" spans="1:31" x14ac:dyDescent="0.25">
      <c r="A1052" t="s">
        <v>4875</v>
      </c>
      <c r="B1052" t="s">
        <v>4876</v>
      </c>
      <c r="C1052" t="s">
        <v>4877</v>
      </c>
      <c r="D1052" t="s">
        <v>4876</v>
      </c>
      <c r="E1052" t="s">
        <v>2666</v>
      </c>
      <c r="F1052" t="s">
        <v>3005</v>
      </c>
      <c r="G1052" t="s">
        <v>2666</v>
      </c>
      <c r="H1052" t="s">
        <v>2054</v>
      </c>
      <c r="I1052" t="s">
        <v>2909</v>
      </c>
      <c r="J1052" t="s">
        <v>2054</v>
      </c>
      <c r="K1052" t="s">
        <v>2665</v>
      </c>
      <c r="L1052" t="s">
        <v>1280</v>
      </c>
      <c r="M1052" t="s">
        <v>2669</v>
      </c>
      <c r="N1052" t="s">
        <v>2665</v>
      </c>
      <c r="O1052" t="s">
        <v>2670</v>
      </c>
      <c r="P1052" t="s">
        <v>2671</v>
      </c>
      <c r="Q1052" t="s">
        <v>2672</v>
      </c>
      <c r="R1052" t="s">
        <v>2665</v>
      </c>
      <c r="S1052" t="s">
        <v>2779</v>
      </c>
      <c r="T1052" t="s">
        <v>2780</v>
      </c>
      <c r="U1052" t="s">
        <v>2665</v>
      </c>
      <c r="V1052" t="s">
        <v>3411</v>
      </c>
      <c r="W1052" t="s">
        <v>4809</v>
      </c>
      <c r="X1052" t="s">
        <v>2665</v>
      </c>
      <c r="Y1052" t="s">
        <v>2054</v>
      </c>
      <c r="Z1052" t="s">
        <v>1280</v>
      </c>
      <c r="AA1052" t="s">
        <v>2742</v>
      </c>
      <c r="AB1052" t="s">
        <v>2742</v>
      </c>
      <c r="AC1052" t="s">
        <v>2665</v>
      </c>
      <c r="AD1052" t="s">
        <v>2054</v>
      </c>
      <c r="AE1052" t="s">
        <v>2054</v>
      </c>
    </row>
    <row r="1053" spans="1:31" x14ac:dyDescent="0.25">
      <c r="A1053" t="s">
        <v>4878</v>
      </c>
      <c r="B1053" t="s">
        <v>4879</v>
      </c>
      <c r="C1053" t="s">
        <v>4880</v>
      </c>
      <c r="D1053" t="s">
        <v>4879</v>
      </c>
      <c r="E1053" t="s">
        <v>2666</v>
      </c>
      <c r="F1053" t="s">
        <v>3005</v>
      </c>
      <c r="G1053" t="s">
        <v>2666</v>
      </c>
      <c r="H1053" t="s">
        <v>2054</v>
      </c>
      <c r="I1053" t="s">
        <v>2909</v>
      </c>
      <c r="J1053" t="s">
        <v>2054</v>
      </c>
      <c r="K1053" t="s">
        <v>2665</v>
      </c>
      <c r="L1053" t="s">
        <v>1280</v>
      </c>
      <c r="M1053" t="s">
        <v>2669</v>
      </c>
      <c r="N1053" t="s">
        <v>2665</v>
      </c>
      <c r="O1053" t="s">
        <v>2670</v>
      </c>
      <c r="P1053" t="s">
        <v>2671</v>
      </c>
      <c r="Q1053" t="s">
        <v>2672</v>
      </c>
      <c r="R1053" t="s">
        <v>2665</v>
      </c>
      <c r="S1053" t="s">
        <v>2779</v>
      </c>
      <c r="T1053" t="s">
        <v>2780</v>
      </c>
      <c r="U1053" t="s">
        <v>2665</v>
      </c>
      <c r="V1053" t="s">
        <v>3411</v>
      </c>
      <c r="W1053" t="s">
        <v>4809</v>
      </c>
      <c r="X1053" t="s">
        <v>2665</v>
      </c>
      <c r="Y1053" t="s">
        <v>2054</v>
      </c>
      <c r="Z1053" t="s">
        <v>1280</v>
      </c>
      <c r="AA1053" t="s">
        <v>2742</v>
      </c>
      <c r="AB1053" t="s">
        <v>2742</v>
      </c>
      <c r="AC1053" t="s">
        <v>2665</v>
      </c>
      <c r="AD1053" t="s">
        <v>2054</v>
      </c>
      <c r="AE1053" t="s">
        <v>2054</v>
      </c>
    </row>
    <row r="1054" spans="1:31" x14ac:dyDescent="0.25">
      <c r="A1054" t="s">
        <v>4881</v>
      </c>
      <c r="B1054" t="s">
        <v>4882</v>
      </c>
      <c r="C1054" t="s">
        <v>4883</v>
      </c>
      <c r="D1054" t="s">
        <v>4882</v>
      </c>
      <c r="E1054" t="s">
        <v>2666</v>
      </c>
      <c r="F1054" t="s">
        <v>3005</v>
      </c>
      <c r="G1054" t="s">
        <v>2666</v>
      </c>
      <c r="H1054" t="s">
        <v>2054</v>
      </c>
      <c r="I1054" t="s">
        <v>2909</v>
      </c>
      <c r="J1054" t="s">
        <v>2054</v>
      </c>
      <c r="K1054" t="s">
        <v>2665</v>
      </c>
      <c r="L1054" t="s">
        <v>1280</v>
      </c>
      <c r="M1054" t="s">
        <v>2669</v>
      </c>
      <c r="N1054" t="s">
        <v>2665</v>
      </c>
      <c r="O1054" t="s">
        <v>2670</v>
      </c>
      <c r="P1054" t="s">
        <v>2671</v>
      </c>
      <c r="Q1054" t="s">
        <v>2672</v>
      </c>
      <c r="R1054" t="s">
        <v>2665</v>
      </c>
      <c r="S1054" t="s">
        <v>2779</v>
      </c>
      <c r="T1054" t="s">
        <v>2780</v>
      </c>
      <c r="U1054" t="s">
        <v>2665</v>
      </c>
      <c r="V1054" t="s">
        <v>3411</v>
      </c>
      <c r="W1054" t="s">
        <v>4809</v>
      </c>
      <c r="X1054" t="s">
        <v>2665</v>
      </c>
      <c r="Y1054" t="s">
        <v>2054</v>
      </c>
      <c r="Z1054" t="s">
        <v>1280</v>
      </c>
      <c r="AA1054" t="s">
        <v>2742</v>
      </c>
      <c r="AB1054" t="s">
        <v>2742</v>
      </c>
      <c r="AC1054" t="s">
        <v>2665</v>
      </c>
      <c r="AD1054" t="s">
        <v>2054</v>
      </c>
      <c r="AE1054" t="s">
        <v>2054</v>
      </c>
    </row>
    <row r="1055" spans="1:31" x14ac:dyDescent="0.25">
      <c r="A1055" t="s">
        <v>4884</v>
      </c>
      <c r="B1055" t="s">
        <v>4885</v>
      </c>
      <c r="C1055" t="s">
        <v>4886</v>
      </c>
      <c r="D1055" t="s">
        <v>4885</v>
      </c>
      <c r="E1055" t="s">
        <v>2666</v>
      </c>
      <c r="F1055" t="s">
        <v>3005</v>
      </c>
      <c r="G1055" t="s">
        <v>2666</v>
      </c>
      <c r="H1055" t="s">
        <v>2054</v>
      </c>
      <c r="I1055" t="s">
        <v>2909</v>
      </c>
      <c r="J1055" t="s">
        <v>2054</v>
      </c>
      <c r="K1055" t="s">
        <v>2665</v>
      </c>
      <c r="L1055" t="s">
        <v>1280</v>
      </c>
      <c r="M1055" t="s">
        <v>2669</v>
      </c>
      <c r="N1055" t="s">
        <v>2665</v>
      </c>
      <c r="O1055" t="s">
        <v>2670</v>
      </c>
      <c r="P1055" t="s">
        <v>2671</v>
      </c>
      <c r="Q1055" t="s">
        <v>2672</v>
      </c>
      <c r="R1055" t="s">
        <v>2665</v>
      </c>
      <c r="S1055" t="s">
        <v>2779</v>
      </c>
      <c r="T1055" t="s">
        <v>2780</v>
      </c>
      <c r="U1055" t="s">
        <v>2665</v>
      </c>
      <c r="V1055" t="s">
        <v>3411</v>
      </c>
      <c r="W1055" t="s">
        <v>4809</v>
      </c>
      <c r="X1055" t="s">
        <v>2665</v>
      </c>
      <c r="Y1055" t="s">
        <v>2054</v>
      </c>
      <c r="Z1055" t="s">
        <v>1280</v>
      </c>
      <c r="AA1055" t="s">
        <v>2742</v>
      </c>
      <c r="AB1055" t="s">
        <v>2742</v>
      </c>
      <c r="AC1055" t="s">
        <v>2665</v>
      </c>
      <c r="AD1055" t="s">
        <v>2054</v>
      </c>
      <c r="AE1055" t="s">
        <v>2054</v>
      </c>
    </row>
    <row r="1056" spans="1:31" x14ac:dyDescent="0.25">
      <c r="A1056" t="s">
        <v>4887</v>
      </c>
      <c r="B1056" t="s">
        <v>4888</v>
      </c>
      <c r="C1056" t="s">
        <v>4889</v>
      </c>
      <c r="D1056" t="s">
        <v>4888</v>
      </c>
      <c r="E1056" t="s">
        <v>2666</v>
      </c>
      <c r="F1056" t="s">
        <v>2885</v>
      </c>
      <c r="G1056" t="s">
        <v>2666</v>
      </c>
      <c r="H1056" t="s">
        <v>2054</v>
      </c>
      <c r="I1056" t="s">
        <v>2778</v>
      </c>
      <c r="J1056" t="s">
        <v>2054</v>
      </c>
      <c r="K1056" t="s">
        <v>2665</v>
      </c>
      <c r="L1056" t="s">
        <v>1179</v>
      </c>
      <c r="M1056" t="s">
        <v>2827</v>
      </c>
      <c r="N1056" t="s">
        <v>2665</v>
      </c>
      <c r="O1056" t="s">
        <v>2828</v>
      </c>
      <c r="P1056" t="s">
        <v>2671</v>
      </c>
      <c r="Q1056" t="s">
        <v>2672</v>
      </c>
      <c r="R1056" t="s">
        <v>2665</v>
      </c>
      <c r="S1056" t="s">
        <v>2671</v>
      </c>
      <c r="T1056" t="s">
        <v>2673</v>
      </c>
      <c r="U1056" t="s">
        <v>2665</v>
      </c>
      <c r="V1056" t="s">
        <v>2923</v>
      </c>
      <c r="W1056" t="s">
        <v>2924</v>
      </c>
      <c r="X1056" t="s">
        <v>2665</v>
      </c>
      <c r="Y1056" t="s">
        <v>2054</v>
      </c>
      <c r="Z1056" t="s">
        <v>1179</v>
      </c>
      <c r="AA1056" t="s">
        <v>2791</v>
      </c>
      <c r="AB1056" t="s">
        <v>2791</v>
      </c>
      <c r="AC1056" t="s">
        <v>2665</v>
      </c>
      <c r="AD1056" t="s">
        <v>2054</v>
      </c>
      <c r="AE1056" t="s">
        <v>2054</v>
      </c>
    </row>
    <row r="1057" spans="1:31" x14ac:dyDescent="0.25">
      <c r="A1057" t="s">
        <v>4890</v>
      </c>
      <c r="B1057" t="s">
        <v>4891</v>
      </c>
      <c r="C1057" t="s">
        <v>4892</v>
      </c>
      <c r="D1057" t="s">
        <v>4891</v>
      </c>
      <c r="E1057" t="s">
        <v>2666</v>
      </c>
      <c r="F1057" t="s">
        <v>2885</v>
      </c>
      <c r="G1057" t="s">
        <v>2666</v>
      </c>
      <c r="H1057" t="s">
        <v>2054</v>
      </c>
      <c r="I1057" t="s">
        <v>2778</v>
      </c>
      <c r="J1057" t="s">
        <v>2054</v>
      </c>
      <c r="K1057" t="s">
        <v>2665</v>
      </c>
      <c r="L1057" t="s">
        <v>1179</v>
      </c>
      <c r="M1057" t="s">
        <v>2827</v>
      </c>
      <c r="N1057" t="s">
        <v>2665</v>
      </c>
      <c r="O1057" t="s">
        <v>2828</v>
      </c>
      <c r="P1057" t="s">
        <v>2671</v>
      </c>
      <c r="Q1057" t="s">
        <v>2672</v>
      </c>
      <c r="R1057" t="s">
        <v>2665</v>
      </c>
      <c r="S1057" t="s">
        <v>2671</v>
      </c>
      <c r="T1057" t="s">
        <v>2673</v>
      </c>
      <c r="U1057" t="s">
        <v>2665</v>
      </c>
      <c r="V1057" t="s">
        <v>2923</v>
      </c>
      <c r="W1057" t="s">
        <v>2924</v>
      </c>
      <c r="X1057" t="s">
        <v>2665</v>
      </c>
      <c r="Y1057" t="s">
        <v>2054</v>
      </c>
      <c r="Z1057" t="s">
        <v>1179</v>
      </c>
      <c r="AA1057" t="s">
        <v>2791</v>
      </c>
      <c r="AB1057" t="s">
        <v>2791</v>
      </c>
      <c r="AC1057" t="s">
        <v>2665</v>
      </c>
      <c r="AD1057" t="s">
        <v>2054</v>
      </c>
      <c r="AE1057" t="s">
        <v>2054</v>
      </c>
    </row>
    <row r="1058" spans="1:31" x14ac:dyDescent="0.25">
      <c r="A1058" t="s">
        <v>4893</v>
      </c>
      <c r="B1058" t="s">
        <v>4894</v>
      </c>
      <c r="C1058" t="s">
        <v>4895</v>
      </c>
      <c r="D1058" t="s">
        <v>4894</v>
      </c>
      <c r="E1058" t="s">
        <v>2666</v>
      </c>
      <c r="F1058" t="s">
        <v>2854</v>
      </c>
      <c r="G1058" t="s">
        <v>2666</v>
      </c>
      <c r="H1058" t="s">
        <v>2054</v>
      </c>
      <c r="I1058" t="s">
        <v>2741</v>
      </c>
      <c r="J1058" t="s">
        <v>2054</v>
      </c>
      <c r="K1058" t="s">
        <v>2665</v>
      </c>
      <c r="L1058" t="s">
        <v>1136</v>
      </c>
      <c r="M1058" t="s">
        <v>2827</v>
      </c>
      <c r="N1058" t="s">
        <v>2665</v>
      </c>
      <c r="O1058" t="s">
        <v>2828</v>
      </c>
      <c r="P1058" t="s">
        <v>2671</v>
      </c>
      <c r="Q1058" t="s">
        <v>2672</v>
      </c>
      <c r="R1058" t="s">
        <v>2665</v>
      </c>
      <c r="S1058" t="s">
        <v>2779</v>
      </c>
      <c r="T1058" t="s">
        <v>2780</v>
      </c>
      <c r="U1058" t="s">
        <v>2665</v>
      </c>
      <c r="V1058" t="s">
        <v>2923</v>
      </c>
      <c r="W1058" t="s">
        <v>2924</v>
      </c>
      <c r="X1058" t="s">
        <v>2665</v>
      </c>
      <c r="Y1058" t="s">
        <v>2054</v>
      </c>
      <c r="Z1058" t="s">
        <v>1136</v>
      </c>
      <c r="AA1058" t="s">
        <v>2766</v>
      </c>
      <c r="AB1058" t="s">
        <v>2766</v>
      </c>
      <c r="AC1058" t="s">
        <v>2665</v>
      </c>
      <c r="AD1058" t="s">
        <v>2054</v>
      </c>
      <c r="AE1058" t="s">
        <v>2054</v>
      </c>
    </row>
    <row r="1059" spans="1:31" x14ac:dyDescent="0.25">
      <c r="A1059" t="s">
        <v>4896</v>
      </c>
      <c r="B1059" t="s">
        <v>4897</v>
      </c>
      <c r="C1059" t="s">
        <v>4898</v>
      </c>
      <c r="D1059" t="s">
        <v>4897</v>
      </c>
      <c r="E1059" t="s">
        <v>2666</v>
      </c>
      <c r="F1059" t="s">
        <v>3042</v>
      </c>
      <c r="G1059" t="s">
        <v>2666</v>
      </c>
      <c r="H1059" t="s">
        <v>2054</v>
      </c>
      <c r="I1059" t="s">
        <v>2741</v>
      </c>
      <c r="J1059" t="s">
        <v>2054</v>
      </c>
      <c r="K1059" t="s">
        <v>2665</v>
      </c>
      <c r="L1059" t="s">
        <v>1136</v>
      </c>
      <c r="M1059" t="s">
        <v>2669</v>
      </c>
      <c r="N1059" t="s">
        <v>2665</v>
      </c>
      <c r="O1059" t="s">
        <v>2670</v>
      </c>
      <c r="P1059" t="s">
        <v>2671</v>
      </c>
      <c r="Q1059" t="s">
        <v>2672</v>
      </c>
      <c r="R1059" t="s">
        <v>2665</v>
      </c>
      <c r="S1059" t="s">
        <v>2671</v>
      </c>
      <c r="T1059" t="s">
        <v>2673</v>
      </c>
      <c r="U1059" t="s">
        <v>2665</v>
      </c>
      <c r="V1059" t="s">
        <v>2669</v>
      </c>
      <c r="W1059" t="s">
        <v>4899</v>
      </c>
      <c r="X1059" t="s">
        <v>2665</v>
      </c>
      <c r="Y1059" t="s">
        <v>2054</v>
      </c>
      <c r="Z1059" t="s">
        <v>1136</v>
      </c>
      <c r="AA1059" t="s">
        <v>2742</v>
      </c>
      <c r="AB1059" t="s">
        <v>2742</v>
      </c>
      <c r="AC1059" t="s">
        <v>2665</v>
      </c>
      <c r="AD1059" t="s">
        <v>2054</v>
      </c>
      <c r="AE1059" t="s">
        <v>2726</v>
      </c>
    </row>
    <row r="1060" spans="1:31" x14ac:dyDescent="0.25">
      <c r="A1060" t="s">
        <v>4900</v>
      </c>
      <c r="B1060" t="s">
        <v>4901</v>
      </c>
      <c r="C1060" t="s">
        <v>4902</v>
      </c>
      <c r="D1060" t="s">
        <v>4901</v>
      </c>
      <c r="E1060" t="s">
        <v>2666</v>
      </c>
      <c r="F1060" t="s">
        <v>3042</v>
      </c>
      <c r="G1060" t="s">
        <v>2666</v>
      </c>
      <c r="H1060" t="s">
        <v>2054</v>
      </c>
      <c r="I1060" t="s">
        <v>2741</v>
      </c>
      <c r="J1060" t="s">
        <v>2054</v>
      </c>
      <c r="K1060" t="s">
        <v>2665</v>
      </c>
      <c r="L1060" t="s">
        <v>1136</v>
      </c>
      <c r="M1060" t="s">
        <v>2669</v>
      </c>
      <c r="N1060" t="s">
        <v>2665</v>
      </c>
      <c r="O1060" t="s">
        <v>2670</v>
      </c>
      <c r="P1060" t="s">
        <v>2671</v>
      </c>
      <c r="Q1060" t="s">
        <v>2672</v>
      </c>
      <c r="R1060" t="s">
        <v>2665</v>
      </c>
      <c r="S1060" t="s">
        <v>2671</v>
      </c>
      <c r="T1060" t="s">
        <v>2673</v>
      </c>
      <c r="U1060" t="s">
        <v>2665</v>
      </c>
      <c r="V1060" t="s">
        <v>2669</v>
      </c>
      <c r="W1060" t="s">
        <v>4899</v>
      </c>
      <c r="X1060" t="s">
        <v>2665</v>
      </c>
      <c r="Y1060" t="s">
        <v>2054</v>
      </c>
      <c r="Z1060" t="s">
        <v>1136</v>
      </c>
      <c r="AA1060" t="s">
        <v>2742</v>
      </c>
      <c r="AB1060" t="s">
        <v>2742</v>
      </c>
      <c r="AC1060" t="s">
        <v>2665</v>
      </c>
      <c r="AD1060" t="s">
        <v>2054</v>
      </c>
      <c r="AE1060" t="s">
        <v>2726</v>
      </c>
    </row>
    <row r="1061" spans="1:31" x14ac:dyDescent="0.25">
      <c r="A1061" t="s">
        <v>4903</v>
      </c>
      <c r="B1061" t="s">
        <v>4904</v>
      </c>
      <c r="C1061" t="s">
        <v>4905</v>
      </c>
      <c r="D1061" t="s">
        <v>4904</v>
      </c>
      <c r="E1061" t="s">
        <v>2666</v>
      </c>
      <c r="F1061" t="s">
        <v>3042</v>
      </c>
      <c r="G1061" t="s">
        <v>2666</v>
      </c>
      <c r="H1061" t="s">
        <v>2054</v>
      </c>
      <c r="I1061" t="s">
        <v>2741</v>
      </c>
      <c r="J1061" t="s">
        <v>2054</v>
      </c>
      <c r="K1061" t="s">
        <v>2665</v>
      </c>
      <c r="L1061" t="s">
        <v>1136</v>
      </c>
      <c r="M1061" t="s">
        <v>2669</v>
      </c>
      <c r="N1061" t="s">
        <v>2665</v>
      </c>
      <c r="O1061" t="s">
        <v>2670</v>
      </c>
      <c r="P1061" t="s">
        <v>2671</v>
      </c>
      <c r="Q1061" t="s">
        <v>2672</v>
      </c>
      <c r="R1061" t="s">
        <v>2665</v>
      </c>
      <c r="S1061" t="s">
        <v>2671</v>
      </c>
      <c r="T1061" t="s">
        <v>2673</v>
      </c>
      <c r="U1061" t="s">
        <v>2665</v>
      </c>
      <c r="V1061" t="s">
        <v>2669</v>
      </c>
      <c r="W1061" t="s">
        <v>4899</v>
      </c>
      <c r="X1061" t="s">
        <v>2665</v>
      </c>
      <c r="Y1061" t="s">
        <v>2054</v>
      </c>
      <c r="Z1061" t="s">
        <v>1136</v>
      </c>
      <c r="AA1061" t="s">
        <v>2742</v>
      </c>
      <c r="AB1061" t="s">
        <v>2742</v>
      </c>
      <c r="AC1061" t="s">
        <v>2665</v>
      </c>
      <c r="AD1061" t="s">
        <v>2054</v>
      </c>
      <c r="AE1061" t="s">
        <v>2726</v>
      </c>
    </row>
    <row r="1062" spans="1:31" x14ac:dyDescent="0.25">
      <c r="A1062" t="s">
        <v>4906</v>
      </c>
      <c r="B1062" t="s">
        <v>4907</v>
      </c>
      <c r="C1062" t="s">
        <v>4908</v>
      </c>
      <c r="D1062" t="s">
        <v>4907</v>
      </c>
      <c r="E1062" t="s">
        <v>2666</v>
      </c>
      <c r="F1062" t="s">
        <v>3042</v>
      </c>
      <c r="G1062" t="s">
        <v>2666</v>
      </c>
      <c r="H1062" t="s">
        <v>2054</v>
      </c>
      <c r="I1062" t="s">
        <v>2741</v>
      </c>
      <c r="J1062" t="s">
        <v>2054</v>
      </c>
      <c r="K1062" t="s">
        <v>2665</v>
      </c>
      <c r="L1062" t="s">
        <v>1136</v>
      </c>
      <c r="M1062" t="s">
        <v>2669</v>
      </c>
      <c r="N1062" t="s">
        <v>2665</v>
      </c>
      <c r="O1062" t="s">
        <v>2670</v>
      </c>
      <c r="P1062" t="s">
        <v>2671</v>
      </c>
      <c r="Q1062" t="s">
        <v>2672</v>
      </c>
      <c r="R1062" t="s">
        <v>2665</v>
      </c>
      <c r="S1062" t="s">
        <v>2671</v>
      </c>
      <c r="T1062" t="s">
        <v>2673</v>
      </c>
      <c r="U1062" t="s">
        <v>2665</v>
      </c>
      <c r="V1062" t="s">
        <v>2669</v>
      </c>
      <c r="W1062" t="s">
        <v>4899</v>
      </c>
      <c r="X1062" t="s">
        <v>2665</v>
      </c>
      <c r="Y1062" t="s">
        <v>2054</v>
      </c>
      <c r="Z1062" t="s">
        <v>1136</v>
      </c>
      <c r="AA1062" t="s">
        <v>2742</v>
      </c>
      <c r="AB1062" t="s">
        <v>2742</v>
      </c>
      <c r="AC1062" t="s">
        <v>2665</v>
      </c>
      <c r="AD1062" t="s">
        <v>2054</v>
      </c>
      <c r="AE1062" t="s">
        <v>2726</v>
      </c>
    </row>
    <row r="1063" spans="1:31" x14ac:dyDescent="0.25">
      <c r="A1063" t="s">
        <v>4909</v>
      </c>
      <c r="B1063" t="s">
        <v>4910</v>
      </c>
      <c r="C1063" t="s">
        <v>4911</v>
      </c>
      <c r="D1063" t="s">
        <v>4910</v>
      </c>
      <c r="E1063" t="s">
        <v>2666</v>
      </c>
      <c r="F1063" t="s">
        <v>3042</v>
      </c>
      <c r="G1063" t="s">
        <v>2666</v>
      </c>
      <c r="H1063" t="s">
        <v>2054</v>
      </c>
      <c r="I1063" t="s">
        <v>2741</v>
      </c>
      <c r="J1063" t="s">
        <v>2054</v>
      </c>
      <c r="K1063" t="s">
        <v>2665</v>
      </c>
      <c r="L1063" t="s">
        <v>1136</v>
      </c>
      <c r="M1063" t="s">
        <v>2669</v>
      </c>
      <c r="N1063" t="s">
        <v>2665</v>
      </c>
      <c r="O1063" t="s">
        <v>2670</v>
      </c>
      <c r="P1063" t="s">
        <v>2671</v>
      </c>
      <c r="Q1063" t="s">
        <v>2672</v>
      </c>
      <c r="R1063" t="s">
        <v>2665</v>
      </c>
      <c r="S1063" t="s">
        <v>2671</v>
      </c>
      <c r="T1063" t="s">
        <v>2673</v>
      </c>
      <c r="U1063" t="s">
        <v>2665</v>
      </c>
      <c r="V1063" t="s">
        <v>2669</v>
      </c>
      <c r="W1063" t="s">
        <v>4899</v>
      </c>
      <c r="X1063" t="s">
        <v>2665</v>
      </c>
      <c r="Y1063" t="s">
        <v>2054</v>
      </c>
      <c r="Z1063" t="s">
        <v>1136</v>
      </c>
      <c r="AA1063" t="s">
        <v>2742</v>
      </c>
      <c r="AB1063" t="s">
        <v>2742</v>
      </c>
      <c r="AC1063" t="s">
        <v>2665</v>
      </c>
      <c r="AD1063" t="s">
        <v>2054</v>
      </c>
      <c r="AE1063" t="s">
        <v>4912</v>
      </c>
    </row>
    <row r="1064" spans="1:31" x14ac:dyDescent="0.25">
      <c r="A1064" t="s">
        <v>4913</v>
      </c>
      <c r="B1064" t="s">
        <v>4914</v>
      </c>
      <c r="C1064" t="s">
        <v>4915</v>
      </c>
      <c r="D1064" t="s">
        <v>4914</v>
      </c>
      <c r="E1064" t="s">
        <v>2666</v>
      </c>
      <c r="F1064" t="s">
        <v>3042</v>
      </c>
      <c r="G1064" t="s">
        <v>2666</v>
      </c>
      <c r="H1064" t="s">
        <v>2054</v>
      </c>
      <c r="I1064" t="s">
        <v>2741</v>
      </c>
      <c r="J1064" t="s">
        <v>2054</v>
      </c>
      <c r="K1064" t="s">
        <v>2665</v>
      </c>
      <c r="L1064" t="s">
        <v>1136</v>
      </c>
      <c r="M1064" t="s">
        <v>2669</v>
      </c>
      <c r="N1064" t="s">
        <v>2665</v>
      </c>
      <c r="O1064" t="s">
        <v>2670</v>
      </c>
      <c r="P1064" t="s">
        <v>2671</v>
      </c>
      <c r="Q1064" t="s">
        <v>2672</v>
      </c>
      <c r="R1064" t="s">
        <v>2665</v>
      </c>
      <c r="S1064" t="s">
        <v>2671</v>
      </c>
      <c r="T1064" t="s">
        <v>2673</v>
      </c>
      <c r="U1064" t="s">
        <v>2665</v>
      </c>
      <c r="V1064" t="s">
        <v>2669</v>
      </c>
      <c r="W1064" t="s">
        <v>4899</v>
      </c>
      <c r="X1064" t="s">
        <v>2665</v>
      </c>
      <c r="Y1064" t="s">
        <v>2054</v>
      </c>
      <c r="Z1064" t="s">
        <v>1136</v>
      </c>
      <c r="AA1064" t="s">
        <v>2742</v>
      </c>
      <c r="AB1064" t="s">
        <v>2742</v>
      </c>
      <c r="AC1064" t="s">
        <v>2665</v>
      </c>
      <c r="AD1064" t="s">
        <v>2054</v>
      </c>
      <c r="AE1064" t="s">
        <v>2718</v>
      </c>
    </row>
    <row r="1065" spans="1:31" x14ac:dyDescent="0.25">
      <c r="A1065" t="s">
        <v>4916</v>
      </c>
      <c r="B1065" t="s">
        <v>4917</v>
      </c>
      <c r="C1065" t="s">
        <v>4918</v>
      </c>
      <c r="D1065" t="s">
        <v>4917</v>
      </c>
      <c r="E1065" t="s">
        <v>2666</v>
      </c>
      <c r="F1065" t="s">
        <v>3042</v>
      </c>
      <c r="G1065" t="s">
        <v>2666</v>
      </c>
      <c r="H1065" t="s">
        <v>2054</v>
      </c>
      <c r="I1065" t="s">
        <v>2741</v>
      </c>
      <c r="J1065" t="s">
        <v>2054</v>
      </c>
      <c r="K1065" t="s">
        <v>2665</v>
      </c>
      <c r="L1065" t="s">
        <v>1136</v>
      </c>
      <c r="M1065" t="s">
        <v>2669</v>
      </c>
      <c r="N1065" t="s">
        <v>2665</v>
      </c>
      <c r="O1065" t="s">
        <v>2670</v>
      </c>
      <c r="P1065" t="s">
        <v>2671</v>
      </c>
      <c r="Q1065" t="s">
        <v>2672</v>
      </c>
      <c r="R1065" t="s">
        <v>2665</v>
      </c>
      <c r="S1065" t="s">
        <v>2671</v>
      </c>
      <c r="T1065" t="s">
        <v>2673</v>
      </c>
      <c r="U1065" t="s">
        <v>2665</v>
      </c>
      <c r="V1065" t="s">
        <v>2669</v>
      </c>
      <c r="W1065" t="s">
        <v>4899</v>
      </c>
      <c r="X1065" t="s">
        <v>2665</v>
      </c>
      <c r="Y1065" t="s">
        <v>2054</v>
      </c>
      <c r="Z1065" t="s">
        <v>1136</v>
      </c>
      <c r="AA1065" t="s">
        <v>2742</v>
      </c>
      <c r="AB1065" t="s">
        <v>2742</v>
      </c>
      <c r="AC1065" t="s">
        <v>2665</v>
      </c>
      <c r="AD1065" t="s">
        <v>2054</v>
      </c>
      <c r="AE1065" t="s">
        <v>2726</v>
      </c>
    </row>
    <row r="1066" spans="1:31" x14ac:dyDescent="0.25">
      <c r="A1066" t="s">
        <v>4919</v>
      </c>
      <c r="B1066" t="s">
        <v>4920</v>
      </c>
      <c r="C1066" t="s">
        <v>4921</v>
      </c>
      <c r="D1066" t="s">
        <v>4920</v>
      </c>
      <c r="E1066" t="s">
        <v>2666</v>
      </c>
      <c r="F1066" t="s">
        <v>3042</v>
      </c>
      <c r="G1066" t="s">
        <v>2666</v>
      </c>
      <c r="H1066" t="s">
        <v>2054</v>
      </c>
      <c r="I1066" t="s">
        <v>2741</v>
      </c>
      <c r="J1066" t="s">
        <v>2054</v>
      </c>
      <c r="K1066" t="s">
        <v>2665</v>
      </c>
      <c r="L1066" t="s">
        <v>1136</v>
      </c>
      <c r="M1066" t="s">
        <v>2669</v>
      </c>
      <c r="N1066" t="s">
        <v>2665</v>
      </c>
      <c r="O1066" t="s">
        <v>2670</v>
      </c>
      <c r="P1066" t="s">
        <v>2671</v>
      </c>
      <c r="Q1066" t="s">
        <v>2672</v>
      </c>
      <c r="R1066" t="s">
        <v>2665</v>
      </c>
      <c r="S1066" t="s">
        <v>2671</v>
      </c>
      <c r="T1066" t="s">
        <v>2673</v>
      </c>
      <c r="U1066" t="s">
        <v>2665</v>
      </c>
      <c r="V1066" t="s">
        <v>2669</v>
      </c>
      <c r="W1066" t="s">
        <v>4899</v>
      </c>
      <c r="X1066" t="s">
        <v>2665</v>
      </c>
      <c r="Y1066" t="s">
        <v>2054</v>
      </c>
      <c r="Z1066" t="s">
        <v>1136</v>
      </c>
      <c r="AA1066" t="s">
        <v>2742</v>
      </c>
      <c r="AB1066" t="s">
        <v>2742</v>
      </c>
      <c r="AC1066" t="s">
        <v>2665</v>
      </c>
      <c r="AD1066" t="s">
        <v>2054</v>
      </c>
      <c r="AE1066" t="s">
        <v>2726</v>
      </c>
    </row>
    <row r="1067" spans="1:31" x14ac:dyDescent="0.25">
      <c r="A1067" t="s">
        <v>4922</v>
      </c>
      <c r="B1067" t="s">
        <v>4923</v>
      </c>
      <c r="C1067" t="s">
        <v>4924</v>
      </c>
      <c r="D1067" t="s">
        <v>4923</v>
      </c>
      <c r="E1067" t="s">
        <v>2666</v>
      </c>
      <c r="F1067" t="s">
        <v>2971</v>
      </c>
      <c r="G1067" t="s">
        <v>2666</v>
      </c>
      <c r="H1067" t="s">
        <v>2054</v>
      </c>
      <c r="I1067" t="s">
        <v>2741</v>
      </c>
      <c r="J1067" t="s">
        <v>2054</v>
      </c>
      <c r="K1067" t="s">
        <v>2665</v>
      </c>
      <c r="L1067" t="s">
        <v>1136</v>
      </c>
      <c r="M1067" t="s">
        <v>2669</v>
      </c>
      <c r="N1067" t="s">
        <v>2665</v>
      </c>
      <c r="O1067" t="s">
        <v>2670</v>
      </c>
      <c r="P1067" t="s">
        <v>2671</v>
      </c>
      <c r="Q1067" t="s">
        <v>2672</v>
      </c>
      <c r="R1067" t="s">
        <v>2665</v>
      </c>
      <c r="S1067" t="s">
        <v>2671</v>
      </c>
      <c r="T1067" t="s">
        <v>2673</v>
      </c>
      <c r="U1067" t="s">
        <v>2665</v>
      </c>
      <c r="V1067" t="s">
        <v>2669</v>
      </c>
      <c r="W1067" t="s">
        <v>4899</v>
      </c>
      <c r="X1067" t="s">
        <v>2665</v>
      </c>
      <c r="Y1067" t="s">
        <v>2054</v>
      </c>
      <c r="Z1067" t="s">
        <v>1136</v>
      </c>
      <c r="AA1067" t="s">
        <v>2791</v>
      </c>
      <c r="AB1067" t="s">
        <v>2791</v>
      </c>
      <c r="AC1067" t="s">
        <v>2665</v>
      </c>
      <c r="AD1067" t="s">
        <v>2054</v>
      </c>
      <c r="AE1067" t="s">
        <v>2054</v>
      </c>
    </row>
    <row r="1068" spans="1:31" x14ac:dyDescent="0.25">
      <c r="A1068" t="s">
        <v>4925</v>
      </c>
      <c r="B1068" t="s">
        <v>4926</v>
      </c>
      <c r="C1068" t="s">
        <v>4927</v>
      </c>
      <c r="D1068" t="s">
        <v>4926</v>
      </c>
      <c r="E1068" t="s">
        <v>2666</v>
      </c>
      <c r="F1068" t="s">
        <v>2971</v>
      </c>
      <c r="G1068" t="s">
        <v>2666</v>
      </c>
      <c r="H1068" t="s">
        <v>2054</v>
      </c>
      <c r="I1068" t="s">
        <v>2741</v>
      </c>
      <c r="J1068" t="s">
        <v>2054</v>
      </c>
      <c r="K1068" t="s">
        <v>2665</v>
      </c>
      <c r="L1068" t="s">
        <v>1136</v>
      </c>
      <c r="M1068" t="s">
        <v>2669</v>
      </c>
      <c r="N1068" t="s">
        <v>2665</v>
      </c>
      <c r="O1068" t="s">
        <v>2670</v>
      </c>
      <c r="P1068" t="s">
        <v>2671</v>
      </c>
      <c r="Q1068" t="s">
        <v>2672</v>
      </c>
      <c r="R1068" t="s">
        <v>2665</v>
      </c>
      <c r="S1068" t="s">
        <v>2671</v>
      </c>
      <c r="T1068" t="s">
        <v>2673</v>
      </c>
      <c r="U1068" t="s">
        <v>2665</v>
      </c>
      <c r="V1068" t="s">
        <v>2669</v>
      </c>
      <c r="W1068" t="s">
        <v>4899</v>
      </c>
      <c r="X1068" t="s">
        <v>2665</v>
      </c>
      <c r="Y1068" t="s">
        <v>2054</v>
      </c>
      <c r="Z1068" t="s">
        <v>1136</v>
      </c>
      <c r="AA1068" t="s">
        <v>2791</v>
      </c>
      <c r="AB1068" t="s">
        <v>2791</v>
      </c>
      <c r="AC1068" t="s">
        <v>2665</v>
      </c>
      <c r="AD1068" t="s">
        <v>2054</v>
      </c>
      <c r="AE1068" t="s">
        <v>2054</v>
      </c>
    </row>
    <row r="1069" spans="1:31" x14ac:dyDescent="0.25">
      <c r="A1069" t="s">
        <v>4928</v>
      </c>
      <c r="B1069" t="s">
        <v>4929</v>
      </c>
      <c r="C1069" t="s">
        <v>4930</v>
      </c>
      <c r="D1069" t="s">
        <v>4929</v>
      </c>
      <c r="E1069" t="s">
        <v>2666</v>
      </c>
      <c r="F1069" t="s">
        <v>2971</v>
      </c>
      <c r="G1069" t="s">
        <v>2666</v>
      </c>
      <c r="H1069" t="s">
        <v>2054</v>
      </c>
      <c r="I1069" t="s">
        <v>2741</v>
      </c>
      <c r="J1069" t="s">
        <v>2054</v>
      </c>
      <c r="K1069" t="s">
        <v>2665</v>
      </c>
      <c r="L1069" t="s">
        <v>1136</v>
      </c>
      <c r="M1069" t="s">
        <v>2669</v>
      </c>
      <c r="N1069" t="s">
        <v>2665</v>
      </c>
      <c r="O1069" t="s">
        <v>2670</v>
      </c>
      <c r="P1069" t="s">
        <v>2671</v>
      </c>
      <c r="Q1069" t="s">
        <v>2672</v>
      </c>
      <c r="R1069" t="s">
        <v>2665</v>
      </c>
      <c r="S1069" t="s">
        <v>2671</v>
      </c>
      <c r="T1069" t="s">
        <v>2673</v>
      </c>
      <c r="U1069" t="s">
        <v>2665</v>
      </c>
      <c r="V1069" t="s">
        <v>2669</v>
      </c>
      <c r="W1069" t="s">
        <v>4899</v>
      </c>
      <c r="X1069" t="s">
        <v>2665</v>
      </c>
      <c r="Y1069" t="s">
        <v>2054</v>
      </c>
      <c r="Z1069" t="s">
        <v>1136</v>
      </c>
      <c r="AA1069" t="s">
        <v>2791</v>
      </c>
      <c r="AB1069" t="s">
        <v>2791</v>
      </c>
      <c r="AC1069" t="s">
        <v>2665</v>
      </c>
      <c r="AD1069" t="s">
        <v>2054</v>
      </c>
      <c r="AE1069" t="s">
        <v>2054</v>
      </c>
    </row>
    <row r="1070" spans="1:31" x14ac:dyDescent="0.25">
      <c r="A1070" t="s">
        <v>4931</v>
      </c>
      <c r="B1070" t="s">
        <v>4932</v>
      </c>
      <c r="C1070" t="s">
        <v>4933</v>
      </c>
      <c r="D1070" t="s">
        <v>4932</v>
      </c>
      <c r="E1070" t="s">
        <v>2666</v>
      </c>
      <c r="F1070" t="s">
        <v>2971</v>
      </c>
      <c r="G1070" t="s">
        <v>2666</v>
      </c>
      <c r="H1070" t="s">
        <v>2054</v>
      </c>
      <c r="I1070" t="s">
        <v>2741</v>
      </c>
      <c r="J1070" t="s">
        <v>2054</v>
      </c>
      <c r="K1070" t="s">
        <v>2665</v>
      </c>
      <c r="L1070" t="s">
        <v>1136</v>
      </c>
      <c r="M1070" t="s">
        <v>2669</v>
      </c>
      <c r="N1070" t="s">
        <v>2665</v>
      </c>
      <c r="O1070" t="s">
        <v>2670</v>
      </c>
      <c r="P1070" t="s">
        <v>2671</v>
      </c>
      <c r="Q1070" t="s">
        <v>2672</v>
      </c>
      <c r="R1070" t="s">
        <v>2665</v>
      </c>
      <c r="S1070" t="s">
        <v>2671</v>
      </c>
      <c r="T1070" t="s">
        <v>2673</v>
      </c>
      <c r="U1070" t="s">
        <v>2665</v>
      </c>
      <c r="V1070" t="s">
        <v>2669</v>
      </c>
      <c r="W1070" t="s">
        <v>4899</v>
      </c>
      <c r="X1070" t="s">
        <v>2665</v>
      </c>
      <c r="Y1070" t="s">
        <v>2054</v>
      </c>
      <c r="Z1070" t="s">
        <v>1136</v>
      </c>
      <c r="AA1070" t="s">
        <v>2791</v>
      </c>
      <c r="AB1070" t="s">
        <v>2791</v>
      </c>
      <c r="AC1070" t="s">
        <v>2665</v>
      </c>
      <c r="AD1070" t="s">
        <v>2054</v>
      </c>
      <c r="AE1070" t="s">
        <v>2054</v>
      </c>
    </row>
    <row r="1071" spans="1:31" x14ac:dyDescent="0.25">
      <c r="A1071" t="s">
        <v>4934</v>
      </c>
      <c r="B1071" t="s">
        <v>4935</v>
      </c>
      <c r="C1071" t="s">
        <v>4936</v>
      </c>
      <c r="D1071" t="s">
        <v>4935</v>
      </c>
      <c r="E1071" t="s">
        <v>2666</v>
      </c>
      <c r="F1071" t="s">
        <v>2971</v>
      </c>
      <c r="G1071" t="s">
        <v>2666</v>
      </c>
      <c r="H1071" t="s">
        <v>2054</v>
      </c>
      <c r="I1071" t="s">
        <v>2741</v>
      </c>
      <c r="J1071" t="s">
        <v>2054</v>
      </c>
      <c r="K1071" t="s">
        <v>2665</v>
      </c>
      <c r="L1071" t="s">
        <v>1136</v>
      </c>
      <c r="M1071" t="s">
        <v>2669</v>
      </c>
      <c r="N1071" t="s">
        <v>2665</v>
      </c>
      <c r="O1071" t="s">
        <v>2670</v>
      </c>
      <c r="P1071" t="s">
        <v>2671</v>
      </c>
      <c r="Q1071" t="s">
        <v>2672</v>
      </c>
      <c r="R1071" t="s">
        <v>2665</v>
      </c>
      <c r="S1071" t="s">
        <v>2671</v>
      </c>
      <c r="T1071" t="s">
        <v>2673</v>
      </c>
      <c r="U1071" t="s">
        <v>2665</v>
      </c>
      <c r="V1071" t="s">
        <v>2669</v>
      </c>
      <c r="W1071" t="s">
        <v>4899</v>
      </c>
      <c r="X1071" t="s">
        <v>2665</v>
      </c>
      <c r="Y1071" t="s">
        <v>2054</v>
      </c>
      <c r="Z1071" t="s">
        <v>1136</v>
      </c>
      <c r="AA1071" t="s">
        <v>2791</v>
      </c>
      <c r="AB1071" t="s">
        <v>2791</v>
      </c>
      <c r="AC1071" t="s">
        <v>2665</v>
      </c>
      <c r="AD1071" t="s">
        <v>2054</v>
      </c>
      <c r="AE1071" t="s">
        <v>2054</v>
      </c>
    </row>
    <row r="1072" spans="1:31" x14ac:dyDescent="0.25">
      <c r="A1072" t="s">
        <v>4937</v>
      </c>
      <c r="B1072" t="s">
        <v>4938</v>
      </c>
      <c r="C1072" t="s">
        <v>4939</v>
      </c>
      <c r="D1072" t="s">
        <v>4938</v>
      </c>
      <c r="E1072" t="s">
        <v>2666</v>
      </c>
      <c r="F1072" t="s">
        <v>2971</v>
      </c>
      <c r="G1072" t="s">
        <v>2666</v>
      </c>
      <c r="H1072" t="s">
        <v>2054</v>
      </c>
      <c r="I1072" t="s">
        <v>2741</v>
      </c>
      <c r="J1072" t="s">
        <v>2054</v>
      </c>
      <c r="K1072" t="s">
        <v>2665</v>
      </c>
      <c r="L1072" t="s">
        <v>1136</v>
      </c>
      <c r="M1072" t="s">
        <v>2669</v>
      </c>
      <c r="N1072" t="s">
        <v>2665</v>
      </c>
      <c r="O1072" t="s">
        <v>2670</v>
      </c>
      <c r="P1072" t="s">
        <v>2671</v>
      </c>
      <c r="Q1072" t="s">
        <v>2672</v>
      </c>
      <c r="R1072" t="s">
        <v>2665</v>
      </c>
      <c r="S1072" t="s">
        <v>2671</v>
      </c>
      <c r="T1072" t="s">
        <v>2673</v>
      </c>
      <c r="U1072" t="s">
        <v>2665</v>
      </c>
      <c r="V1072" t="s">
        <v>2669</v>
      </c>
      <c r="W1072" t="s">
        <v>4899</v>
      </c>
      <c r="X1072" t="s">
        <v>2665</v>
      </c>
      <c r="Y1072" t="s">
        <v>2054</v>
      </c>
      <c r="Z1072" t="s">
        <v>1136</v>
      </c>
      <c r="AA1072" t="s">
        <v>2791</v>
      </c>
      <c r="AB1072" t="s">
        <v>2791</v>
      </c>
      <c r="AC1072" t="s">
        <v>2665</v>
      </c>
      <c r="AD1072" t="s">
        <v>2054</v>
      </c>
      <c r="AE1072" t="s">
        <v>2054</v>
      </c>
    </row>
    <row r="1073" spans="1:31" x14ac:dyDescent="0.25">
      <c r="A1073" t="s">
        <v>4940</v>
      </c>
      <c r="B1073" t="s">
        <v>4941</v>
      </c>
      <c r="C1073" t="s">
        <v>4942</v>
      </c>
      <c r="D1073" t="s">
        <v>4941</v>
      </c>
      <c r="E1073" t="s">
        <v>2666</v>
      </c>
      <c r="F1073" t="s">
        <v>2971</v>
      </c>
      <c r="G1073" t="s">
        <v>2666</v>
      </c>
      <c r="H1073" t="s">
        <v>2054</v>
      </c>
      <c r="I1073" t="s">
        <v>2741</v>
      </c>
      <c r="J1073" t="s">
        <v>2054</v>
      </c>
      <c r="K1073" t="s">
        <v>2665</v>
      </c>
      <c r="L1073" t="s">
        <v>1136</v>
      </c>
      <c r="M1073" t="s">
        <v>2669</v>
      </c>
      <c r="N1073" t="s">
        <v>2665</v>
      </c>
      <c r="O1073" t="s">
        <v>2670</v>
      </c>
      <c r="P1073" t="s">
        <v>2671</v>
      </c>
      <c r="Q1073" t="s">
        <v>2672</v>
      </c>
      <c r="R1073" t="s">
        <v>2665</v>
      </c>
      <c r="S1073" t="s">
        <v>2671</v>
      </c>
      <c r="T1073" t="s">
        <v>2673</v>
      </c>
      <c r="U1073" t="s">
        <v>2665</v>
      </c>
      <c r="V1073" t="s">
        <v>2669</v>
      </c>
      <c r="W1073" t="s">
        <v>4899</v>
      </c>
      <c r="X1073" t="s">
        <v>2665</v>
      </c>
      <c r="Y1073" t="s">
        <v>2054</v>
      </c>
      <c r="Z1073" t="s">
        <v>1136</v>
      </c>
      <c r="AA1073" t="s">
        <v>2791</v>
      </c>
      <c r="AB1073" t="s">
        <v>2791</v>
      </c>
      <c r="AC1073" t="s">
        <v>2665</v>
      </c>
      <c r="AD1073" t="s">
        <v>2054</v>
      </c>
      <c r="AE1073" t="s">
        <v>2054</v>
      </c>
    </row>
    <row r="1074" spans="1:31" x14ac:dyDescent="0.25">
      <c r="A1074" t="s">
        <v>4943</v>
      </c>
      <c r="B1074" t="s">
        <v>4944</v>
      </c>
      <c r="C1074" t="s">
        <v>4945</v>
      </c>
      <c r="D1074" t="s">
        <v>4944</v>
      </c>
      <c r="E1074" t="s">
        <v>2666</v>
      </c>
      <c r="F1074" t="s">
        <v>3407</v>
      </c>
      <c r="G1074" t="s">
        <v>2666</v>
      </c>
      <c r="H1074" t="s">
        <v>2054</v>
      </c>
      <c r="I1074" t="s">
        <v>2778</v>
      </c>
      <c r="J1074" t="s">
        <v>2054</v>
      </c>
      <c r="K1074" t="s">
        <v>2665</v>
      </c>
      <c r="L1074" t="s">
        <v>1179</v>
      </c>
      <c r="M1074" t="s">
        <v>2669</v>
      </c>
      <c r="N1074" t="s">
        <v>2665</v>
      </c>
      <c r="O1074" t="s">
        <v>2670</v>
      </c>
      <c r="P1074" t="s">
        <v>2671</v>
      </c>
      <c r="Q1074" t="s">
        <v>2672</v>
      </c>
      <c r="R1074" t="s">
        <v>2665</v>
      </c>
      <c r="S1074" t="s">
        <v>2779</v>
      </c>
      <c r="T1074" t="s">
        <v>2780</v>
      </c>
      <c r="U1074" t="s">
        <v>2665</v>
      </c>
      <c r="V1074" t="s">
        <v>2669</v>
      </c>
      <c r="W1074" t="s">
        <v>4899</v>
      </c>
      <c r="X1074" t="s">
        <v>2665</v>
      </c>
      <c r="Y1074" t="s">
        <v>2054</v>
      </c>
      <c r="Z1074" t="s">
        <v>1179</v>
      </c>
      <c r="AA1074" t="s">
        <v>2783</v>
      </c>
      <c r="AB1074" t="s">
        <v>2783</v>
      </c>
      <c r="AC1074" t="s">
        <v>2665</v>
      </c>
      <c r="AD1074" t="s">
        <v>2054</v>
      </c>
      <c r="AE1074" t="s">
        <v>2054</v>
      </c>
    </row>
    <row r="1075" spans="1:31" x14ac:dyDescent="0.25">
      <c r="A1075" t="s">
        <v>4946</v>
      </c>
      <c r="B1075" t="s">
        <v>4947</v>
      </c>
      <c r="C1075" t="s">
        <v>4948</v>
      </c>
      <c r="D1075" t="s">
        <v>4947</v>
      </c>
      <c r="E1075" t="s">
        <v>2666</v>
      </c>
      <c r="F1075" t="s">
        <v>2705</v>
      </c>
      <c r="G1075" t="s">
        <v>2666</v>
      </c>
      <c r="H1075" t="s">
        <v>2054</v>
      </c>
      <c r="I1075" t="s">
        <v>2778</v>
      </c>
      <c r="J1075" t="s">
        <v>2054</v>
      </c>
      <c r="K1075" t="s">
        <v>2665</v>
      </c>
      <c r="L1075" t="s">
        <v>1179</v>
      </c>
      <c r="M1075" t="s">
        <v>2669</v>
      </c>
      <c r="N1075" t="s">
        <v>2665</v>
      </c>
      <c r="O1075" t="s">
        <v>2670</v>
      </c>
      <c r="P1075" t="s">
        <v>2671</v>
      </c>
      <c r="Q1075" t="s">
        <v>2672</v>
      </c>
      <c r="R1075" t="s">
        <v>2665</v>
      </c>
      <c r="S1075" t="s">
        <v>2779</v>
      </c>
      <c r="T1075" t="s">
        <v>2780</v>
      </c>
      <c r="U1075" t="s">
        <v>2665</v>
      </c>
      <c r="V1075" t="s">
        <v>2669</v>
      </c>
      <c r="W1075" t="s">
        <v>4899</v>
      </c>
      <c r="X1075" t="s">
        <v>2665</v>
      </c>
      <c r="Y1075" t="s">
        <v>2054</v>
      </c>
      <c r="Z1075" t="s">
        <v>1179</v>
      </c>
      <c r="AA1075" t="s">
        <v>2742</v>
      </c>
      <c r="AB1075" t="s">
        <v>2742</v>
      </c>
      <c r="AC1075" t="s">
        <v>2665</v>
      </c>
      <c r="AD1075" t="s">
        <v>2054</v>
      </c>
      <c r="AE1075" t="s">
        <v>2054</v>
      </c>
    </row>
    <row r="1076" spans="1:31" x14ac:dyDescent="0.25">
      <c r="A1076" t="s">
        <v>4949</v>
      </c>
      <c r="B1076" t="s">
        <v>4950</v>
      </c>
      <c r="C1076" t="s">
        <v>4951</v>
      </c>
      <c r="D1076" t="s">
        <v>4950</v>
      </c>
      <c r="E1076" t="s">
        <v>2666</v>
      </c>
      <c r="F1076" t="s">
        <v>3005</v>
      </c>
      <c r="G1076" t="s">
        <v>2666</v>
      </c>
      <c r="H1076" t="s">
        <v>2054</v>
      </c>
      <c r="I1076" t="s">
        <v>2741</v>
      </c>
      <c r="J1076" t="s">
        <v>2054</v>
      </c>
      <c r="K1076" t="s">
        <v>2665</v>
      </c>
      <c r="L1076" t="s">
        <v>1136</v>
      </c>
      <c r="M1076" t="s">
        <v>2898</v>
      </c>
      <c r="N1076" t="s">
        <v>2665</v>
      </c>
      <c r="O1076" t="s">
        <v>2984</v>
      </c>
      <c r="P1076" t="s">
        <v>3411</v>
      </c>
      <c r="Q1076" t="s">
        <v>3412</v>
      </c>
      <c r="R1076" t="s">
        <v>2665</v>
      </c>
      <c r="S1076" t="s">
        <v>2779</v>
      </c>
      <c r="T1076" t="s">
        <v>2780</v>
      </c>
      <c r="U1076" t="s">
        <v>2665</v>
      </c>
      <c r="V1076" t="s">
        <v>2985</v>
      </c>
      <c r="W1076" t="s">
        <v>2986</v>
      </c>
      <c r="X1076" t="s">
        <v>2665</v>
      </c>
      <c r="Y1076" t="s">
        <v>2054</v>
      </c>
      <c r="Z1076" t="s">
        <v>1136</v>
      </c>
      <c r="AA1076" t="s">
        <v>2693</v>
      </c>
      <c r="AB1076" t="s">
        <v>2693</v>
      </c>
      <c r="AC1076" t="s">
        <v>2665</v>
      </c>
      <c r="AD1076" t="s">
        <v>2054</v>
      </c>
      <c r="AE1076" t="s">
        <v>2726</v>
      </c>
    </row>
    <row r="1077" spans="1:31" x14ac:dyDescent="0.25">
      <c r="A1077" t="s">
        <v>4952</v>
      </c>
      <c r="B1077" t="s">
        <v>4953</v>
      </c>
      <c r="C1077" t="s">
        <v>4954</v>
      </c>
      <c r="D1077" t="s">
        <v>4953</v>
      </c>
      <c r="E1077" t="s">
        <v>2666</v>
      </c>
      <c r="F1077" t="s">
        <v>2667</v>
      </c>
      <c r="G1077" t="s">
        <v>2666</v>
      </c>
      <c r="H1077" t="s">
        <v>2054</v>
      </c>
      <c r="I1077" t="s">
        <v>2778</v>
      </c>
      <c r="J1077" t="s">
        <v>2054</v>
      </c>
      <c r="K1077" t="s">
        <v>2665</v>
      </c>
      <c r="L1077" t="s">
        <v>1179</v>
      </c>
      <c r="M1077" t="s">
        <v>2898</v>
      </c>
      <c r="N1077" t="s">
        <v>2665</v>
      </c>
      <c r="O1077" t="s">
        <v>2984</v>
      </c>
      <c r="P1077" t="s">
        <v>2898</v>
      </c>
      <c r="Q1077" t="s">
        <v>3617</v>
      </c>
      <c r="R1077" t="s">
        <v>2665</v>
      </c>
      <c r="S1077" t="s">
        <v>2779</v>
      </c>
      <c r="T1077" t="s">
        <v>2780</v>
      </c>
      <c r="U1077" t="s">
        <v>2665</v>
      </c>
      <c r="V1077" t="s">
        <v>3398</v>
      </c>
      <c r="W1077" t="s">
        <v>3399</v>
      </c>
      <c r="X1077" t="s">
        <v>2665</v>
      </c>
      <c r="Y1077" t="s">
        <v>2054</v>
      </c>
      <c r="Z1077" t="s">
        <v>1179</v>
      </c>
      <c r="AA1077" t="s">
        <v>2797</v>
      </c>
      <c r="AB1077" t="s">
        <v>2797</v>
      </c>
      <c r="AC1077" t="s">
        <v>2665</v>
      </c>
      <c r="AD1077" t="s">
        <v>2054</v>
      </c>
      <c r="AE1077" t="s">
        <v>2054</v>
      </c>
    </row>
    <row r="1078" spans="1:31" x14ac:dyDescent="0.25">
      <c r="A1078" t="s">
        <v>4955</v>
      </c>
      <c r="B1078" t="s">
        <v>4956</v>
      </c>
      <c r="C1078" t="s">
        <v>4957</v>
      </c>
      <c r="D1078" t="s">
        <v>4956</v>
      </c>
      <c r="E1078" t="s">
        <v>2666</v>
      </c>
      <c r="F1078" t="s">
        <v>4958</v>
      </c>
      <c r="G1078" t="s">
        <v>2666</v>
      </c>
      <c r="H1078" t="s">
        <v>2054</v>
      </c>
      <c r="I1078" t="s">
        <v>2778</v>
      </c>
      <c r="J1078" t="s">
        <v>2054</v>
      </c>
      <c r="K1078" t="s">
        <v>2665</v>
      </c>
      <c r="L1078" t="s">
        <v>1179</v>
      </c>
      <c r="M1078" t="s">
        <v>2898</v>
      </c>
      <c r="N1078" t="s">
        <v>2665</v>
      </c>
      <c r="O1078" t="s">
        <v>2984</v>
      </c>
      <c r="P1078" t="s">
        <v>2898</v>
      </c>
      <c r="Q1078" t="s">
        <v>3617</v>
      </c>
      <c r="R1078" t="s">
        <v>2665</v>
      </c>
      <c r="S1078" t="s">
        <v>2779</v>
      </c>
      <c r="T1078" t="s">
        <v>2780</v>
      </c>
      <c r="U1078" t="s">
        <v>2665</v>
      </c>
      <c r="V1078" t="s">
        <v>3398</v>
      </c>
      <c r="W1078" t="s">
        <v>3399</v>
      </c>
      <c r="X1078" t="s">
        <v>2665</v>
      </c>
      <c r="Y1078" t="s">
        <v>2054</v>
      </c>
      <c r="Z1078" t="s">
        <v>1179</v>
      </c>
      <c r="AA1078" t="s">
        <v>2763</v>
      </c>
      <c r="AB1078" t="s">
        <v>2763</v>
      </c>
      <c r="AC1078" t="s">
        <v>2665</v>
      </c>
      <c r="AD1078" t="s">
        <v>2054</v>
      </c>
      <c r="AE1078" t="s">
        <v>2054</v>
      </c>
    </row>
    <row r="1079" spans="1:31" x14ac:dyDescent="0.25">
      <c r="A1079" t="s">
        <v>4959</v>
      </c>
      <c r="B1079" t="s">
        <v>4960</v>
      </c>
      <c r="C1079" t="s">
        <v>4961</v>
      </c>
      <c r="D1079" t="s">
        <v>4960</v>
      </c>
      <c r="E1079" t="s">
        <v>2666</v>
      </c>
      <c r="F1079" t="s">
        <v>3593</v>
      </c>
      <c r="G1079" t="s">
        <v>2666</v>
      </c>
      <c r="H1079" t="s">
        <v>2054</v>
      </c>
      <c r="I1079" t="s">
        <v>2778</v>
      </c>
      <c r="J1079" t="s">
        <v>2054</v>
      </c>
      <c r="K1079" t="s">
        <v>2665</v>
      </c>
      <c r="L1079" t="s">
        <v>1179</v>
      </c>
      <c r="M1079" t="s">
        <v>2898</v>
      </c>
      <c r="N1079" t="s">
        <v>2665</v>
      </c>
      <c r="O1079" t="s">
        <v>2984</v>
      </c>
      <c r="P1079" t="s">
        <v>2898</v>
      </c>
      <c r="Q1079" t="s">
        <v>3617</v>
      </c>
      <c r="R1079" t="s">
        <v>2665</v>
      </c>
      <c r="S1079" t="s">
        <v>2779</v>
      </c>
      <c r="T1079" t="s">
        <v>2780</v>
      </c>
      <c r="U1079" t="s">
        <v>2665</v>
      </c>
      <c r="V1079" t="s">
        <v>3398</v>
      </c>
      <c r="W1079" t="s">
        <v>3399</v>
      </c>
      <c r="X1079" t="s">
        <v>2665</v>
      </c>
      <c r="Y1079" t="s">
        <v>2054</v>
      </c>
      <c r="Z1079" t="s">
        <v>1179</v>
      </c>
      <c r="AA1079" t="s">
        <v>4020</v>
      </c>
      <c r="AB1079" t="s">
        <v>4020</v>
      </c>
      <c r="AC1079" t="s">
        <v>2665</v>
      </c>
      <c r="AD1079" t="s">
        <v>2054</v>
      </c>
      <c r="AE1079" t="s">
        <v>2054</v>
      </c>
    </row>
    <row r="1080" spans="1:31" x14ac:dyDescent="0.25">
      <c r="A1080" t="s">
        <v>2591</v>
      </c>
      <c r="B1080" t="s">
        <v>2590</v>
      </c>
      <c r="C1080" t="s">
        <v>4962</v>
      </c>
      <c r="D1080" t="s">
        <v>4963</v>
      </c>
      <c r="E1080" t="s">
        <v>2666</v>
      </c>
      <c r="F1080" t="s">
        <v>4964</v>
      </c>
      <c r="G1080" t="s">
        <v>2666</v>
      </c>
      <c r="H1080" t="s">
        <v>2054</v>
      </c>
      <c r="I1080" t="s">
        <v>2741</v>
      </c>
      <c r="J1080" t="s">
        <v>2054</v>
      </c>
      <c r="K1080" t="s">
        <v>2665</v>
      </c>
      <c r="L1080" t="s">
        <v>1136</v>
      </c>
      <c r="M1080" t="s">
        <v>2898</v>
      </c>
      <c r="N1080" t="s">
        <v>2665</v>
      </c>
      <c r="O1080" t="s">
        <v>2984</v>
      </c>
      <c r="P1080" t="s">
        <v>2878</v>
      </c>
      <c r="Q1080" t="s">
        <v>3560</v>
      </c>
      <c r="R1080" t="s">
        <v>2665</v>
      </c>
      <c r="S1080" t="s">
        <v>2781</v>
      </c>
      <c r="T1080" t="s">
        <v>2922</v>
      </c>
      <c r="U1080" t="s">
        <v>2665</v>
      </c>
      <c r="V1080" t="s">
        <v>3552</v>
      </c>
      <c r="W1080" t="s">
        <v>3553</v>
      </c>
      <c r="X1080" t="s">
        <v>2665</v>
      </c>
      <c r="Y1080" t="s">
        <v>2054</v>
      </c>
      <c r="Z1080" t="s">
        <v>1136</v>
      </c>
      <c r="AA1080" t="s">
        <v>3382</v>
      </c>
      <c r="AB1080" t="s">
        <v>3382</v>
      </c>
      <c r="AC1080" t="s">
        <v>2665</v>
      </c>
      <c r="AD1080" t="s">
        <v>2054</v>
      </c>
      <c r="AE1080" t="s">
        <v>2054</v>
      </c>
    </row>
    <row r="1081" spans="1:31" x14ac:dyDescent="0.25">
      <c r="A1081" t="s">
        <v>2593</v>
      </c>
      <c r="B1081" t="s">
        <v>2592</v>
      </c>
      <c r="C1081" t="s">
        <v>4965</v>
      </c>
      <c r="D1081" t="s">
        <v>4966</v>
      </c>
      <c r="E1081" t="s">
        <v>2666</v>
      </c>
      <c r="F1081" t="s">
        <v>4667</v>
      </c>
      <c r="G1081" t="s">
        <v>2666</v>
      </c>
      <c r="H1081" t="s">
        <v>2054</v>
      </c>
      <c r="I1081" t="s">
        <v>2741</v>
      </c>
      <c r="J1081" t="s">
        <v>2054</v>
      </c>
      <c r="K1081" t="s">
        <v>2665</v>
      </c>
      <c r="L1081" t="s">
        <v>1136</v>
      </c>
      <c r="M1081" t="s">
        <v>2898</v>
      </c>
      <c r="N1081" t="s">
        <v>2665</v>
      </c>
      <c r="O1081" t="s">
        <v>2984</v>
      </c>
      <c r="P1081" t="s">
        <v>2878</v>
      </c>
      <c r="Q1081" t="s">
        <v>3560</v>
      </c>
      <c r="R1081" t="s">
        <v>2665</v>
      </c>
      <c r="S1081" t="s">
        <v>2781</v>
      </c>
      <c r="T1081" t="s">
        <v>2922</v>
      </c>
      <c r="U1081" t="s">
        <v>2665</v>
      </c>
      <c r="V1081" t="s">
        <v>3552</v>
      </c>
      <c r="W1081" t="s">
        <v>3553</v>
      </c>
      <c r="X1081" t="s">
        <v>2665</v>
      </c>
      <c r="Y1081" t="s">
        <v>2054</v>
      </c>
      <c r="Z1081" t="s">
        <v>1136</v>
      </c>
      <c r="AA1081" t="s">
        <v>3382</v>
      </c>
      <c r="AB1081" t="s">
        <v>3382</v>
      </c>
      <c r="AC1081" t="s">
        <v>2665</v>
      </c>
      <c r="AD1081" t="s">
        <v>2054</v>
      </c>
      <c r="AE1081" t="s">
        <v>2054</v>
      </c>
    </row>
    <row r="1082" spans="1:31" x14ac:dyDescent="0.25">
      <c r="A1082" t="s">
        <v>2595</v>
      </c>
      <c r="B1082" t="s">
        <v>2594</v>
      </c>
      <c r="C1082" t="s">
        <v>4967</v>
      </c>
      <c r="D1082" t="s">
        <v>4968</v>
      </c>
      <c r="E1082" t="s">
        <v>2666</v>
      </c>
      <c r="F1082" t="s">
        <v>2857</v>
      </c>
      <c r="G1082" t="s">
        <v>2666</v>
      </c>
      <c r="H1082" t="s">
        <v>2054</v>
      </c>
      <c r="I1082" t="s">
        <v>2741</v>
      </c>
      <c r="J1082" t="s">
        <v>2054</v>
      </c>
      <c r="K1082" t="s">
        <v>2665</v>
      </c>
      <c r="L1082" t="s">
        <v>1136</v>
      </c>
      <c r="M1082" t="s">
        <v>2898</v>
      </c>
      <c r="N1082" t="s">
        <v>2665</v>
      </c>
      <c r="O1082" t="s">
        <v>2984</v>
      </c>
      <c r="P1082" t="s">
        <v>2878</v>
      </c>
      <c r="Q1082" t="s">
        <v>3560</v>
      </c>
      <c r="R1082" t="s">
        <v>2665</v>
      </c>
      <c r="S1082" t="s">
        <v>2781</v>
      </c>
      <c r="T1082" t="s">
        <v>2922</v>
      </c>
      <c r="U1082" t="s">
        <v>2665</v>
      </c>
      <c r="V1082" t="s">
        <v>3711</v>
      </c>
      <c r="W1082" t="s">
        <v>3712</v>
      </c>
      <c r="X1082" t="s">
        <v>2665</v>
      </c>
      <c r="Y1082" t="s">
        <v>2054</v>
      </c>
      <c r="Z1082" t="s">
        <v>1136</v>
      </c>
      <c r="AA1082" t="s">
        <v>2791</v>
      </c>
      <c r="AB1082" t="s">
        <v>2791</v>
      </c>
      <c r="AC1082" t="s">
        <v>2665</v>
      </c>
      <c r="AD1082" t="s">
        <v>2054</v>
      </c>
      <c r="AE1082" t="s">
        <v>2054</v>
      </c>
    </row>
    <row r="1083" spans="1:31" x14ac:dyDescent="0.25">
      <c r="A1083" t="s">
        <v>2597</v>
      </c>
      <c r="B1083" t="s">
        <v>2596</v>
      </c>
      <c r="C1083" t="s">
        <v>4969</v>
      </c>
      <c r="D1083" t="s">
        <v>4970</v>
      </c>
      <c r="E1083" t="s">
        <v>2666</v>
      </c>
      <c r="F1083" t="s">
        <v>4971</v>
      </c>
      <c r="G1083" t="s">
        <v>2666</v>
      </c>
      <c r="H1083" t="s">
        <v>2054</v>
      </c>
      <c r="I1083" t="s">
        <v>2741</v>
      </c>
      <c r="J1083" t="s">
        <v>2054</v>
      </c>
      <c r="K1083" t="s">
        <v>2665</v>
      </c>
      <c r="L1083" t="s">
        <v>1136</v>
      </c>
      <c r="M1083" t="s">
        <v>2898</v>
      </c>
      <c r="N1083" t="s">
        <v>2665</v>
      </c>
      <c r="O1083" t="s">
        <v>2984</v>
      </c>
      <c r="P1083" t="s">
        <v>2878</v>
      </c>
      <c r="Q1083" t="s">
        <v>3560</v>
      </c>
      <c r="R1083" t="s">
        <v>2665</v>
      </c>
      <c r="S1083" t="s">
        <v>2781</v>
      </c>
      <c r="T1083" t="s">
        <v>2922</v>
      </c>
      <c r="U1083" t="s">
        <v>2665</v>
      </c>
      <c r="V1083" t="s">
        <v>3711</v>
      </c>
      <c r="W1083" t="s">
        <v>3712</v>
      </c>
      <c r="X1083" t="s">
        <v>2665</v>
      </c>
      <c r="Y1083" t="s">
        <v>2054</v>
      </c>
      <c r="Z1083" t="s">
        <v>1136</v>
      </c>
      <c r="AA1083" t="s">
        <v>2959</v>
      </c>
      <c r="AB1083" t="s">
        <v>2959</v>
      </c>
      <c r="AC1083" t="s">
        <v>2665</v>
      </c>
      <c r="AD1083" t="s">
        <v>2054</v>
      </c>
      <c r="AE1083" t="s">
        <v>2054</v>
      </c>
    </row>
    <row r="1084" spans="1:31" x14ac:dyDescent="0.25">
      <c r="A1084" t="s">
        <v>2599</v>
      </c>
      <c r="B1084" t="s">
        <v>2598</v>
      </c>
      <c r="C1084" t="s">
        <v>4972</v>
      </c>
      <c r="D1084" t="s">
        <v>4973</v>
      </c>
      <c r="E1084" t="s">
        <v>2666</v>
      </c>
      <c r="F1084" t="s">
        <v>4974</v>
      </c>
      <c r="G1084" t="s">
        <v>2666</v>
      </c>
      <c r="H1084" t="s">
        <v>2054</v>
      </c>
      <c r="I1084" t="s">
        <v>2741</v>
      </c>
      <c r="J1084" t="s">
        <v>2054</v>
      </c>
      <c r="K1084" t="s">
        <v>2665</v>
      </c>
      <c r="L1084" t="s">
        <v>1136</v>
      </c>
      <c r="M1084" t="s">
        <v>2898</v>
      </c>
      <c r="N1084" t="s">
        <v>2665</v>
      </c>
      <c r="O1084" t="s">
        <v>2984</v>
      </c>
      <c r="P1084" t="s">
        <v>2878</v>
      </c>
      <c r="Q1084" t="s">
        <v>3560</v>
      </c>
      <c r="R1084" t="s">
        <v>2665</v>
      </c>
      <c r="S1084" t="s">
        <v>2781</v>
      </c>
      <c r="T1084" t="s">
        <v>2922</v>
      </c>
      <c r="U1084" t="s">
        <v>2665</v>
      </c>
      <c r="V1084" t="s">
        <v>3711</v>
      </c>
      <c r="W1084" t="s">
        <v>3712</v>
      </c>
      <c r="X1084" t="s">
        <v>2665</v>
      </c>
      <c r="Y1084" t="s">
        <v>2054</v>
      </c>
      <c r="Z1084" t="s">
        <v>1136</v>
      </c>
      <c r="AA1084" t="s">
        <v>2791</v>
      </c>
      <c r="AB1084" t="s">
        <v>2791</v>
      </c>
      <c r="AC1084" t="s">
        <v>2665</v>
      </c>
      <c r="AD1084" t="s">
        <v>2054</v>
      </c>
      <c r="AE1084" t="s">
        <v>2054</v>
      </c>
    </row>
    <row r="1085" spans="1:31" x14ac:dyDescent="0.25">
      <c r="A1085" t="s">
        <v>2601</v>
      </c>
      <c r="B1085" t="s">
        <v>2600</v>
      </c>
      <c r="C1085" t="s">
        <v>4975</v>
      </c>
      <c r="D1085" t="s">
        <v>4976</v>
      </c>
      <c r="E1085" t="s">
        <v>2666</v>
      </c>
      <c r="F1085" t="s">
        <v>4977</v>
      </c>
      <c r="G1085" t="s">
        <v>2666</v>
      </c>
      <c r="H1085" t="s">
        <v>2054</v>
      </c>
      <c r="I1085" t="s">
        <v>2741</v>
      </c>
      <c r="J1085" t="s">
        <v>2054</v>
      </c>
      <c r="K1085" t="s">
        <v>2665</v>
      </c>
      <c r="L1085" t="s">
        <v>1136</v>
      </c>
      <c r="M1085" t="s">
        <v>2898</v>
      </c>
      <c r="N1085" t="s">
        <v>2665</v>
      </c>
      <c r="O1085" t="s">
        <v>2984</v>
      </c>
      <c r="P1085" t="s">
        <v>2878</v>
      </c>
      <c r="Q1085" t="s">
        <v>3560</v>
      </c>
      <c r="R1085" t="s">
        <v>2665</v>
      </c>
      <c r="S1085" t="s">
        <v>2781</v>
      </c>
      <c r="T1085" t="s">
        <v>2922</v>
      </c>
      <c r="U1085" t="s">
        <v>2665</v>
      </c>
      <c r="V1085" t="s">
        <v>3711</v>
      </c>
      <c r="W1085" t="s">
        <v>3712</v>
      </c>
      <c r="X1085" t="s">
        <v>2665</v>
      </c>
      <c r="Y1085" t="s">
        <v>2054</v>
      </c>
      <c r="Z1085" t="s">
        <v>1136</v>
      </c>
      <c r="AA1085" t="s">
        <v>2742</v>
      </c>
      <c r="AB1085" t="s">
        <v>2742</v>
      </c>
      <c r="AC1085" t="s">
        <v>2665</v>
      </c>
      <c r="AD1085" t="s">
        <v>2054</v>
      </c>
      <c r="AE1085" t="s">
        <v>2054</v>
      </c>
    </row>
    <row r="1086" spans="1:31" x14ac:dyDescent="0.25">
      <c r="A1086" t="s">
        <v>2603</v>
      </c>
      <c r="B1086" t="s">
        <v>2602</v>
      </c>
      <c r="C1086" t="s">
        <v>4978</v>
      </c>
      <c r="D1086" t="s">
        <v>4979</v>
      </c>
      <c r="E1086" t="s">
        <v>2666</v>
      </c>
      <c r="F1086" t="s">
        <v>4980</v>
      </c>
      <c r="G1086" t="s">
        <v>2666</v>
      </c>
      <c r="H1086" t="s">
        <v>2054</v>
      </c>
      <c r="I1086" t="s">
        <v>2741</v>
      </c>
      <c r="J1086" t="s">
        <v>2054</v>
      </c>
      <c r="K1086" t="s">
        <v>2665</v>
      </c>
      <c r="L1086" t="s">
        <v>1136</v>
      </c>
      <c r="M1086" t="s">
        <v>2898</v>
      </c>
      <c r="N1086" t="s">
        <v>2665</v>
      </c>
      <c r="O1086" t="s">
        <v>2984</v>
      </c>
      <c r="P1086" t="s">
        <v>3029</v>
      </c>
      <c r="Q1086" t="s">
        <v>3489</v>
      </c>
      <c r="R1086" t="s">
        <v>2665</v>
      </c>
      <c r="S1086" t="s">
        <v>2781</v>
      </c>
      <c r="T1086" t="s">
        <v>2922</v>
      </c>
      <c r="U1086" t="s">
        <v>2665</v>
      </c>
      <c r="V1086" t="s">
        <v>3834</v>
      </c>
      <c r="W1086" t="s">
        <v>3835</v>
      </c>
      <c r="X1086" t="s">
        <v>2665</v>
      </c>
      <c r="Y1086" t="s">
        <v>2054</v>
      </c>
      <c r="Z1086" t="s">
        <v>1136</v>
      </c>
      <c r="AA1086" t="s">
        <v>2783</v>
      </c>
      <c r="AB1086" t="s">
        <v>2783</v>
      </c>
      <c r="AC1086" t="s">
        <v>2665</v>
      </c>
      <c r="AD1086" t="s">
        <v>2054</v>
      </c>
      <c r="AE1086" t="s">
        <v>2054</v>
      </c>
    </row>
    <row r="1087" spans="1:31" x14ac:dyDescent="0.25">
      <c r="A1087" t="s">
        <v>2605</v>
      </c>
      <c r="B1087" t="s">
        <v>2604</v>
      </c>
      <c r="C1087" t="s">
        <v>4981</v>
      </c>
      <c r="D1087" t="s">
        <v>4982</v>
      </c>
      <c r="E1087" t="s">
        <v>2666</v>
      </c>
      <c r="F1087" t="s">
        <v>4983</v>
      </c>
      <c r="G1087" t="s">
        <v>2666</v>
      </c>
      <c r="H1087" t="s">
        <v>2054</v>
      </c>
      <c r="I1087" t="s">
        <v>2741</v>
      </c>
      <c r="J1087" t="s">
        <v>2054</v>
      </c>
      <c r="K1087" t="s">
        <v>2665</v>
      </c>
      <c r="L1087" t="s">
        <v>1136</v>
      </c>
      <c r="M1087" t="s">
        <v>2898</v>
      </c>
      <c r="N1087" t="s">
        <v>2665</v>
      </c>
      <c r="O1087" t="s">
        <v>2984</v>
      </c>
      <c r="P1087" t="s">
        <v>3029</v>
      </c>
      <c r="Q1087" t="s">
        <v>3489</v>
      </c>
      <c r="R1087" t="s">
        <v>2665</v>
      </c>
      <c r="S1087" t="s">
        <v>2781</v>
      </c>
      <c r="T1087" t="s">
        <v>2922</v>
      </c>
      <c r="U1087" t="s">
        <v>2665</v>
      </c>
      <c r="V1087" t="s">
        <v>3834</v>
      </c>
      <c r="W1087" t="s">
        <v>3835</v>
      </c>
      <c r="X1087" t="s">
        <v>2665</v>
      </c>
      <c r="Y1087" t="s">
        <v>2054</v>
      </c>
      <c r="Z1087" t="s">
        <v>1136</v>
      </c>
      <c r="AA1087" t="s">
        <v>2783</v>
      </c>
      <c r="AB1087" t="s">
        <v>2783</v>
      </c>
      <c r="AC1087" t="s">
        <v>2665</v>
      </c>
      <c r="AD1087" t="s">
        <v>2054</v>
      </c>
      <c r="AE1087" t="s">
        <v>2054</v>
      </c>
    </row>
    <row r="1088" spans="1:31" x14ac:dyDescent="0.25">
      <c r="A1088" t="s">
        <v>2607</v>
      </c>
      <c r="B1088" t="s">
        <v>2606</v>
      </c>
      <c r="C1088" t="s">
        <v>4984</v>
      </c>
      <c r="D1088" t="s">
        <v>4985</v>
      </c>
      <c r="E1088" t="s">
        <v>2666</v>
      </c>
      <c r="F1088" t="s">
        <v>2740</v>
      </c>
      <c r="G1088" t="s">
        <v>2666</v>
      </c>
      <c r="H1088" t="s">
        <v>2054</v>
      </c>
      <c r="I1088" t="s">
        <v>2741</v>
      </c>
      <c r="J1088" t="s">
        <v>2054</v>
      </c>
      <c r="K1088" t="s">
        <v>2665</v>
      </c>
      <c r="L1088" t="s">
        <v>1136</v>
      </c>
      <c r="M1088" t="s">
        <v>2898</v>
      </c>
      <c r="N1088" t="s">
        <v>2665</v>
      </c>
      <c r="O1088" t="s">
        <v>2984</v>
      </c>
      <c r="P1088" t="s">
        <v>3029</v>
      </c>
      <c r="Q1088" t="s">
        <v>3489</v>
      </c>
      <c r="R1088" t="s">
        <v>2665</v>
      </c>
      <c r="S1088" t="s">
        <v>2781</v>
      </c>
      <c r="T1088" t="s">
        <v>2922</v>
      </c>
      <c r="U1088" t="s">
        <v>2665</v>
      </c>
      <c r="V1088" t="s">
        <v>3834</v>
      </c>
      <c r="W1088" t="s">
        <v>3835</v>
      </c>
      <c r="X1088" t="s">
        <v>2665</v>
      </c>
      <c r="Y1088" t="s">
        <v>2054</v>
      </c>
      <c r="Z1088" t="s">
        <v>1136</v>
      </c>
      <c r="AA1088" t="s">
        <v>2783</v>
      </c>
      <c r="AB1088" t="s">
        <v>2783</v>
      </c>
      <c r="AC1088" t="s">
        <v>2665</v>
      </c>
      <c r="AD1088" t="s">
        <v>2054</v>
      </c>
      <c r="AE1088" t="s">
        <v>2054</v>
      </c>
    </row>
    <row r="1089" spans="1:31" x14ac:dyDescent="0.25">
      <c r="A1089" t="s">
        <v>2609</v>
      </c>
      <c r="B1089" t="s">
        <v>2608</v>
      </c>
      <c r="C1089" t="s">
        <v>4986</v>
      </c>
      <c r="D1089" t="s">
        <v>4987</v>
      </c>
      <c r="E1089" t="s">
        <v>2666</v>
      </c>
      <c r="F1089" t="s">
        <v>2854</v>
      </c>
      <c r="G1089" t="s">
        <v>2666</v>
      </c>
      <c r="H1089" t="s">
        <v>2054</v>
      </c>
      <c r="I1089" t="s">
        <v>2741</v>
      </c>
      <c r="J1089" t="s">
        <v>2054</v>
      </c>
      <c r="K1089" t="s">
        <v>2665</v>
      </c>
      <c r="L1089" t="s">
        <v>1136</v>
      </c>
      <c r="M1089" t="s">
        <v>2898</v>
      </c>
      <c r="N1089" t="s">
        <v>2665</v>
      </c>
      <c r="O1089" t="s">
        <v>2984</v>
      </c>
      <c r="P1089" t="s">
        <v>3029</v>
      </c>
      <c r="Q1089" t="s">
        <v>3489</v>
      </c>
      <c r="R1089" t="s">
        <v>2665</v>
      </c>
      <c r="S1089" t="s">
        <v>2781</v>
      </c>
      <c r="T1089" t="s">
        <v>2922</v>
      </c>
      <c r="U1089" t="s">
        <v>2665</v>
      </c>
      <c r="V1089" t="s">
        <v>3834</v>
      </c>
      <c r="W1089" t="s">
        <v>3835</v>
      </c>
      <c r="X1089" t="s">
        <v>2665</v>
      </c>
      <c r="Y1089" t="s">
        <v>2054</v>
      </c>
      <c r="Z1089" t="s">
        <v>1136</v>
      </c>
      <c r="AA1089" t="s">
        <v>2783</v>
      </c>
      <c r="AB1089" t="s">
        <v>2783</v>
      </c>
      <c r="AC1089" t="s">
        <v>2665</v>
      </c>
      <c r="AD1089" t="s">
        <v>2054</v>
      </c>
      <c r="AE1089" t="s">
        <v>2054</v>
      </c>
    </row>
    <row r="1090" spans="1:31" x14ac:dyDescent="0.25">
      <c r="A1090" t="s">
        <v>2611</v>
      </c>
      <c r="B1090" t="s">
        <v>2610</v>
      </c>
      <c r="C1090" t="s">
        <v>4988</v>
      </c>
      <c r="D1090" t="s">
        <v>4989</v>
      </c>
      <c r="E1090" t="s">
        <v>2666</v>
      </c>
      <c r="F1090" t="s">
        <v>2752</v>
      </c>
      <c r="G1090" t="s">
        <v>2666</v>
      </c>
      <c r="H1090" t="s">
        <v>2054</v>
      </c>
      <c r="I1090" t="s">
        <v>2741</v>
      </c>
      <c r="J1090" t="s">
        <v>2054</v>
      </c>
      <c r="K1090" t="s">
        <v>2665</v>
      </c>
      <c r="L1090" t="s">
        <v>1136</v>
      </c>
      <c r="M1090" t="s">
        <v>2827</v>
      </c>
      <c r="N1090" t="s">
        <v>2665</v>
      </c>
      <c r="O1090" t="s">
        <v>2828</v>
      </c>
      <c r="P1090" t="s">
        <v>2671</v>
      </c>
      <c r="Q1090" t="s">
        <v>2672</v>
      </c>
      <c r="R1090" t="s">
        <v>2665</v>
      </c>
      <c r="S1090" t="s">
        <v>2781</v>
      </c>
      <c r="T1090" t="s">
        <v>2922</v>
      </c>
      <c r="U1090" t="s">
        <v>2665</v>
      </c>
      <c r="V1090" t="s">
        <v>2923</v>
      </c>
      <c r="W1090" t="s">
        <v>2924</v>
      </c>
      <c r="X1090" t="s">
        <v>2665</v>
      </c>
      <c r="Y1090" t="s">
        <v>2054</v>
      </c>
      <c r="Z1090" t="s">
        <v>1136</v>
      </c>
      <c r="AA1090" t="s">
        <v>2959</v>
      </c>
      <c r="AB1090" t="s">
        <v>2959</v>
      </c>
      <c r="AC1090" t="s">
        <v>2665</v>
      </c>
      <c r="AD1090" t="s">
        <v>2054</v>
      </c>
      <c r="AE1090" t="s">
        <v>2054</v>
      </c>
    </row>
    <row r="1091" spans="1:31" x14ac:dyDescent="0.25">
      <c r="A1091" t="s">
        <v>2613</v>
      </c>
      <c r="B1091" t="s">
        <v>2612</v>
      </c>
      <c r="C1091" t="s">
        <v>4990</v>
      </c>
      <c r="D1091" t="s">
        <v>4991</v>
      </c>
      <c r="E1091" t="s">
        <v>2666</v>
      </c>
      <c r="F1091" t="s">
        <v>4992</v>
      </c>
      <c r="G1091" t="s">
        <v>2666</v>
      </c>
      <c r="H1091" t="s">
        <v>2054</v>
      </c>
      <c r="I1091" t="s">
        <v>2741</v>
      </c>
      <c r="J1091" t="s">
        <v>2054</v>
      </c>
      <c r="K1091" t="s">
        <v>2665</v>
      </c>
      <c r="L1091" t="s">
        <v>1136</v>
      </c>
      <c r="M1091" t="s">
        <v>2827</v>
      </c>
      <c r="N1091" t="s">
        <v>2665</v>
      </c>
      <c r="O1091" t="s">
        <v>2828</v>
      </c>
      <c r="P1091" t="s">
        <v>2671</v>
      </c>
      <c r="Q1091" t="s">
        <v>2672</v>
      </c>
      <c r="R1091" t="s">
        <v>2665</v>
      </c>
      <c r="S1091" t="s">
        <v>2781</v>
      </c>
      <c r="T1091" t="s">
        <v>2922</v>
      </c>
      <c r="U1091" t="s">
        <v>2665</v>
      </c>
      <c r="V1091" t="s">
        <v>2923</v>
      </c>
      <c r="W1091" t="s">
        <v>2924</v>
      </c>
      <c r="X1091" t="s">
        <v>2665</v>
      </c>
      <c r="Y1091" t="s">
        <v>2054</v>
      </c>
      <c r="Z1091" t="s">
        <v>1136</v>
      </c>
      <c r="AA1091" t="s">
        <v>2959</v>
      </c>
      <c r="AB1091" t="s">
        <v>2959</v>
      </c>
      <c r="AC1091" t="s">
        <v>2665</v>
      </c>
      <c r="AD1091" t="s">
        <v>2054</v>
      </c>
      <c r="AE1091" t="s">
        <v>2054</v>
      </c>
    </row>
    <row r="1092" spans="1:31" x14ac:dyDescent="0.25">
      <c r="A1092" t="s">
        <v>2615</v>
      </c>
      <c r="B1092" t="s">
        <v>2614</v>
      </c>
      <c r="C1092" t="s">
        <v>4993</v>
      </c>
      <c r="D1092" t="s">
        <v>4994</v>
      </c>
      <c r="E1092" t="s">
        <v>2666</v>
      </c>
      <c r="F1092" t="s">
        <v>4995</v>
      </c>
      <c r="G1092" t="s">
        <v>2666</v>
      </c>
      <c r="H1092" t="s">
        <v>2054</v>
      </c>
      <c r="I1092" t="s">
        <v>2741</v>
      </c>
      <c r="J1092" t="s">
        <v>2054</v>
      </c>
      <c r="K1092" t="s">
        <v>2665</v>
      </c>
      <c r="L1092" t="s">
        <v>1136</v>
      </c>
      <c r="M1092" t="s">
        <v>2827</v>
      </c>
      <c r="N1092" t="s">
        <v>2665</v>
      </c>
      <c r="O1092" t="s">
        <v>2828</v>
      </c>
      <c r="P1092" t="s">
        <v>2671</v>
      </c>
      <c r="Q1092" t="s">
        <v>2672</v>
      </c>
      <c r="R1092" t="s">
        <v>2665</v>
      </c>
      <c r="S1092" t="s">
        <v>2781</v>
      </c>
      <c r="T1092" t="s">
        <v>2922</v>
      </c>
      <c r="U1092" t="s">
        <v>2665</v>
      </c>
      <c r="V1092" t="s">
        <v>2923</v>
      </c>
      <c r="W1092" t="s">
        <v>2924</v>
      </c>
      <c r="X1092" t="s">
        <v>2665</v>
      </c>
      <c r="Y1092" t="s">
        <v>2054</v>
      </c>
      <c r="Z1092" t="s">
        <v>1136</v>
      </c>
      <c r="AA1092" t="s">
        <v>2797</v>
      </c>
      <c r="AB1092" t="s">
        <v>2797</v>
      </c>
      <c r="AC1092" t="s">
        <v>2665</v>
      </c>
      <c r="AD1092" t="s">
        <v>2054</v>
      </c>
      <c r="AE1092" t="s">
        <v>2054</v>
      </c>
    </row>
    <row r="1093" spans="1:31" x14ac:dyDescent="0.25">
      <c r="A1093" t="s">
        <v>2617</v>
      </c>
      <c r="B1093" t="s">
        <v>2616</v>
      </c>
      <c r="C1093" t="s">
        <v>4996</v>
      </c>
      <c r="D1093" t="s">
        <v>4997</v>
      </c>
      <c r="E1093" t="s">
        <v>2666</v>
      </c>
      <c r="F1093" t="s">
        <v>2758</v>
      </c>
      <c r="G1093" t="s">
        <v>2666</v>
      </c>
      <c r="H1093" t="s">
        <v>2054</v>
      </c>
      <c r="I1093" t="s">
        <v>2741</v>
      </c>
      <c r="J1093" t="s">
        <v>2054</v>
      </c>
      <c r="K1093" t="s">
        <v>2665</v>
      </c>
      <c r="L1093" t="s">
        <v>1136</v>
      </c>
      <c r="M1093" t="s">
        <v>2827</v>
      </c>
      <c r="N1093" t="s">
        <v>2665</v>
      </c>
      <c r="O1093" t="s">
        <v>2828</v>
      </c>
      <c r="P1093" t="s">
        <v>2671</v>
      </c>
      <c r="Q1093" t="s">
        <v>2672</v>
      </c>
      <c r="R1093" t="s">
        <v>2665</v>
      </c>
      <c r="S1093" t="s">
        <v>2781</v>
      </c>
      <c r="T1093" t="s">
        <v>2922</v>
      </c>
      <c r="U1093" t="s">
        <v>2665</v>
      </c>
      <c r="V1093" t="s">
        <v>2923</v>
      </c>
      <c r="W1093" t="s">
        <v>2924</v>
      </c>
      <c r="X1093" t="s">
        <v>2665</v>
      </c>
      <c r="Y1093" t="s">
        <v>2054</v>
      </c>
      <c r="Z1093" t="s">
        <v>1136</v>
      </c>
      <c r="AA1093" t="s">
        <v>2791</v>
      </c>
      <c r="AB1093" t="s">
        <v>2791</v>
      </c>
      <c r="AC1093" t="s">
        <v>2665</v>
      </c>
      <c r="AD1093" t="s">
        <v>2054</v>
      </c>
      <c r="AE1093" t="s">
        <v>2054</v>
      </c>
    </row>
    <row r="1094" spans="1:31" x14ac:dyDescent="0.25">
      <c r="A1094" t="s">
        <v>2619</v>
      </c>
      <c r="B1094" t="s">
        <v>2618</v>
      </c>
      <c r="C1094" t="s">
        <v>4998</v>
      </c>
      <c r="D1094" t="s">
        <v>4999</v>
      </c>
      <c r="E1094" t="s">
        <v>2666</v>
      </c>
      <c r="F1094" t="s">
        <v>2857</v>
      </c>
      <c r="G1094" t="s">
        <v>2666</v>
      </c>
      <c r="H1094" t="s">
        <v>2054</v>
      </c>
      <c r="I1094" t="s">
        <v>2741</v>
      </c>
      <c r="J1094" t="s">
        <v>2054</v>
      </c>
      <c r="K1094" t="s">
        <v>2665</v>
      </c>
      <c r="L1094" t="s">
        <v>1136</v>
      </c>
      <c r="M1094" t="s">
        <v>2827</v>
      </c>
      <c r="N1094" t="s">
        <v>2665</v>
      </c>
      <c r="O1094" t="s">
        <v>2828</v>
      </c>
      <c r="P1094" t="s">
        <v>2671</v>
      </c>
      <c r="Q1094" t="s">
        <v>2672</v>
      </c>
      <c r="R1094" t="s">
        <v>2665</v>
      </c>
      <c r="S1094" t="s">
        <v>2781</v>
      </c>
      <c r="T1094" t="s">
        <v>2922</v>
      </c>
      <c r="U1094" t="s">
        <v>2665</v>
      </c>
      <c r="V1094" t="s">
        <v>2923</v>
      </c>
      <c r="W1094" t="s">
        <v>2924</v>
      </c>
      <c r="X1094" t="s">
        <v>2665</v>
      </c>
      <c r="Y1094" t="s">
        <v>2054</v>
      </c>
      <c r="Z1094" t="s">
        <v>1136</v>
      </c>
      <c r="AA1094" t="s">
        <v>2791</v>
      </c>
      <c r="AB1094" t="s">
        <v>2791</v>
      </c>
      <c r="AC1094" t="s">
        <v>2665</v>
      </c>
      <c r="AD1094" t="s">
        <v>2054</v>
      </c>
      <c r="AE1094" t="s">
        <v>2054</v>
      </c>
    </row>
    <row r="1095" spans="1:31" x14ac:dyDescent="0.25">
      <c r="A1095" t="s">
        <v>2621</v>
      </c>
      <c r="B1095" t="s">
        <v>2620</v>
      </c>
      <c r="C1095" t="s">
        <v>5000</v>
      </c>
      <c r="D1095" t="s">
        <v>5001</v>
      </c>
      <c r="E1095" t="s">
        <v>2666</v>
      </c>
      <c r="F1095" t="s">
        <v>5002</v>
      </c>
      <c r="G1095" t="s">
        <v>2666</v>
      </c>
      <c r="H1095" t="s">
        <v>2054</v>
      </c>
      <c r="I1095" t="s">
        <v>2741</v>
      </c>
      <c r="J1095" t="s">
        <v>2054</v>
      </c>
      <c r="K1095" t="s">
        <v>2665</v>
      </c>
      <c r="L1095" t="s">
        <v>1136</v>
      </c>
      <c r="M1095" t="s">
        <v>2827</v>
      </c>
      <c r="N1095" t="s">
        <v>2665</v>
      </c>
      <c r="O1095" t="s">
        <v>2828</v>
      </c>
      <c r="P1095" t="s">
        <v>2671</v>
      </c>
      <c r="Q1095" t="s">
        <v>2672</v>
      </c>
      <c r="R1095" t="s">
        <v>2665</v>
      </c>
      <c r="S1095" t="s">
        <v>2781</v>
      </c>
      <c r="T1095" t="s">
        <v>2922</v>
      </c>
      <c r="U1095" t="s">
        <v>2665</v>
      </c>
      <c r="V1095" t="s">
        <v>2923</v>
      </c>
      <c r="W1095" t="s">
        <v>2924</v>
      </c>
      <c r="X1095" t="s">
        <v>2665</v>
      </c>
      <c r="Y1095" t="s">
        <v>2054</v>
      </c>
      <c r="Z1095" t="s">
        <v>1136</v>
      </c>
      <c r="AA1095" t="s">
        <v>2742</v>
      </c>
      <c r="AB1095" t="s">
        <v>2742</v>
      </c>
      <c r="AC1095" t="s">
        <v>2665</v>
      </c>
      <c r="AD1095" t="s">
        <v>2054</v>
      </c>
      <c r="AE1095" t="s">
        <v>2054</v>
      </c>
    </row>
    <row r="1096" spans="1:31" x14ac:dyDescent="0.25">
      <c r="A1096" t="s">
        <v>2623</v>
      </c>
      <c r="B1096" t="s">
        <v>2622</v>
      </c>
      <c r="C1096" t="s">
        <v>5003</v>
      </c>
      <c r="D1096" t="s">
        <v>5004</v>
      </c>
      <c r="E1096" t="s">
        <v>2666</v>
      </c>
      <c r="F1096" t="s">
        <v>5005</v>
      </c>
      <c r="G1096" t="s">
        <v>2666</v>
      </c>
      <c r="H1096" t="s">
        <v>2054</v>
      </c>
      <c r="I1096" t="s">
        <v>2741</v>
      </c>
      <c r="J1096" t="s">
        <v>2054</v>
      </c>
      <c r="K1096" t="s">
        <v>2665</v>
      </c>
      <c r="L1096" t="s">
        <v>1136</v>
      </c>
      <c r="M1096" t="s">
        <v>2827</v>
      </c>
      <c r="N1096" t="s">
        <v>2665</v>
      </c>
      <c r="O1096" t="s">
        <v>2828</v>
      </c>
      <c r="P1096" t="s">
        <v>2671</v>
      </c>
      <c r="Q1096" t="s">
        <v>2672</v>
      </c>
      <c r="R1096" t="s">
        <v>2665</v>
      </c>
      <c r="S1096" t="s">
        <v>2781</v>
      </c>
      <c r="T1096" t="s">
        <v>2922</v>
      </c>
      <c r="U1096" t="s">
        <v>2665</v>
      </c>
      <c r="V1096" t="s">
        <v>2923</v>
      </c>
      <c r="W1096" t="s">
        <v>2924</v>
      </c>
      <c r="X1096" t="s">
        <v>2665</v>
      </c>
      <c r="Y1096" t="s">
        <v>2054</v>
      </c>
      <c r="Z1096" t="s">
        <v>1136</v>
      </c>
      <c r="AA1096" t="s">
        <v>2742</v>
      </c>
      <c r="AB1096" t="s">
        <v>2742</v>
      </c>
      <c r="AC1096" t="s">
        <v>2665</v>
      </c>
      <c r="AD1096" t="s">
        <v>2054</v>
      </c>
      <c r="AE1096" t="s">
        <v>2054</v>
      </c>
    </row>
    <row r="1097" spans="1:31" x14ac:dyDescent="0.25">
      <c r="A1097" t="s">
        <v>2625</v>
      </c>
      <c r="B1097" t="s">
        <v>2624</v>
      </c>
      <c r="C1097" t="s">
        <v>5006</v>
      </c>
      <c r="D1097" t="s">
        <v>5007</v>
      </c>
      <c r="E1097" t="s">
        <v>2666</v>
      </c>
      <c r="F1097" t="s">
        <v>5008</v>
      </c>
      <c r="G1097" t="s">
        <v>2666</v>
      </c>
      <c r="H1097" t="s">
        <v>2054</v>
      </c>
      <c r="I1097" t="s">
        <v>2741</v>
      </c>
      <c r="J1097" t="s">
        <v>2054</v>
      </c>
      <c r="K1097" t="s">
        <v>2665</v>
      </c>
      <c r="L1097" t="s">
        <v>1136</v>
      </c>
      <c r="M1097" t="s">
        <v>2827</v>
      </c>
      <c r="N1097" t="s">
        <v>2665</v>
      </c>
      <c r="O1097" t="s">
        <v>2828</v>
      </c>
      <c r="P1097" t="s">
        <v>2671</v>
      </c>
      <c r="Q1097" t="s">
        <v>2672</v>
      </c>
      <c r="R1097" t="s">
        <v>2665</v>
      </c>
      <c r="S1097" t="s">
        <v>2781</v>
      </c>
      <c r="T1097" t="s">
        <v>2922</v>
      </c>
      <c r="U1097" t="s">
        <v>2665</v>
      </c>
      <c r="V1097" t="s">
        <v>2923</v>
      </c>
      <c r="W1097" t="s">
        <v>2924</v>
      </c>
      <c r="X1097" t="s">
        <v>2665</v>
      </c>
      <c r="Y1097" t="s">
        <v>2054</v>
      </c>
      <c r="Z1097" t="s">
        <v>1136</v>
      </c>
      <c r="AA1097" t="s">
        <v>2763</v>
      </c>
      <c r="AB1097" t="s">
        <v>2763</v>
      </c>
      <c r="AC1097" t="s">
        <v>2665</v>
      </c>
      <c r="AD1097" t="s">
        <v>2054</v>
      </c>
      <c r="AE1097" t="s">
        <v>2054</v>
      </c>
    </row>
    <row r="1098" spans="1:31" x14ac:dyDescent="0.25">
      <c r="A1098" t="s">
        <v>2627</v>
      </c>
      <c r="B1098" t="s">
        <v>2626</v>
      </c>
      <c r="C1098" t="s">
        <v>5009</v>
      </c>
      <c r="D1098" t="s">
        <v>5010</v>
      </c>
      <c r="E1098" t="s">
        <v>2666</v>
      </c>
      <c r="F1098" t="s">
        <v>3806</v>
      </c>
      <c r="G1098" t="s">
        <v>2666</v>
      </c>
      <c r="H1098" t="s">
        <v>2054</v>
      </c>
      <c r="I1098" t="s">
        <v>2741</v>
      </c>
      <c r="J1098" t="s">
        <v>2054</v>
      </c>
      <c r="K1098" t="s">
        <v>2665</v>
      </c>
      <c r="L1098" t="s">
        <v>1136</v>
      </c>
      <c r="M1098" t="s">
        <v>2827</v>
      </c>
      <c r="N1098" t="s">
        <v>2665</v>
      </c>
      <c r="O1098" t="s">
        <v>2828</v>
      </c>
      <c r="P1098" t="s">
        <v>2671</v>
      </c>
      <c r="Q1098" t="s">
        <v>2672</v>
      </c>
      <c r="R1098" t="s">
        <v>2665</v>
      </c>
      <c r="S1098" t="s">
        <v>2781</v>
      </c>
      <c r="T1098" t="s">
        <v>2922</v>
      </c>
      <c r="U1098" t="s">
        <v>2665</v>
      </c>
      <c r="V1098" t="s">
        <v>2923</v>
      </c>
      <c r="W1098" t="s">
        <v>2924</v>
      </c>
      <c r="X1098" t="s">
        <v>2665</v>
      </c>
      <c r="Y1098" t="s">
        <v>2054</v>
      </c>
      <c r="Z1098" t="s">
        <v>1136</v>
      </c>
      <c r="AA1098" t="s">
        <v>2850</v>
      </c>
      <c r="AB1098" t="s">
        <v>2850</v>
      </c>
      <c r="AC1098" t="s">
        <v>2665</v>
      </c>
      <c r="AD1098" t="s">
        <v>2054</v>
      </c>
      <c r="AE1098" t="s">
        <v>2054</v>
      </c>
    </row>
    <row r="1099" spans="1:31" x14ac:dyDescent="0.25">
      <c r="A1099" t="s">
        <v>2629</v>
      </c>
      <c r="B1099" t="s">
        <v>2628</v>
      </c>
      <c r="C1099" t="s">
        <v>5011</v>
      </c>
      <c r="D1099" t="s">
        <v>5012</v>
      </c>
      <c r="E1099" t="s">
        <v>2666</v>
      </c>
      <c r="F1099" t="s">
        <v>4980</v>
      </c>
      <c r="G1099" t="s">
        <v>2666</v>
      </c>
      <c r="H1099" t="s">
        <v>2054</v>
      </c>
      <c r="I1099" t="s">
        <v>2741</v>
      </c>
      <c r="J1099" t="s">
        <v>2054</v>
      </c>
      <c r="K1099" t="s">
        <v>2665</v>
      </c>
      <c r="L1099" t="s">
        <v>1136</v>
      </c>
      <c r="M1099" t="s">
        <v>2875</v>
      </c>
      <c r="N1099" t="s">
        <v>2665</v>
      </c>
      <c r="O1099" t="s">
        <v>2876</v>
      </c>
      <c r="P1099" t="s">
        <v>2898</v>
      </c>
      <c r="Q1099" t="s">
        <v>3617</v>
      </c>
      <c r="R1099" t="s">
        <v>2665</v>
      </c>
      <c r="S1099" t="s">
        <v>2781</v>
      </c>
      <c r="T1099" t="s">
        <v>2922</v>
      </c>
      <c r="U1099" t="s">
        <v>2665</v>
      </c>
      <c r="V1099" t="s">
        <v>3834</v>
      </c>
      <c r="W1099" t="s">
        <v>3835</v>
      </c>
      <c r="X1099" t="s">
        <v>2665</v>
      </c>
      <c r="Y1099" t="s">
        <v>2054</v>
      </c>
      <c r="Z1099" t="s">
        <v>1136</v>
      </c>
      <c r="AA1099" t="s">
        <v>2783</v>
      </c>
      <c r="AB1099" t="s">
        <v>2783</v>
      </c>
      <c r="AC1099" t="s">
        <v>2665</v>
      </c>
      <c r="AD1099" t="s">
        <v>2054</v>
      </c>
      <c r="AE1099" t="s">
        <v>2054</v>
      </c>
    </row>
    <row r="1100" spans="1:31" x14ac:dyDescent="0.25">
      <c r="A1100" t="s">
        <v>2631</v>
      </c>
      <c r="B1100" t="s">
        <v>2630</v>
      </c>
      <c r="C1100" t="s">
        <v>5013</v>
      </c>
      <c r="D1100" t="s">
        <v>5014</v>
      </c>
      <c r="E1100" t="s">
        <v>2666</v>
      </c>
      <c r="F1100" t="s">
        <v>5015</v>
      </c>
      <c r="G1100" t="s">
        <v>2666</v>
      </c>
      <c r="H1100" t="s">
        <v>2054</v>
      </c>
      <c r="I1100" t="s">
        <v>2741</v>
      </c>
      <c r="J1100" t="s">
        <v>2054</v>
      </c>
      <c r="K1100" t="s">
        <v>2665</v>
      </c>
      <c r="L1100" t="s">
        <v>1136</v>
      </c>
      <c r="M1100" t="s">
        <v>2875</v>
      </c>
      <c r="N1100" t="s">
        <v>2665</v>
      </c>
      <c r="O1100" t="s">
        <v>2876</v>
      </c>
      <c r="P1100" t="s">
        <v>2898</v>
      </c>
      <c r="Q1100" t="s">
        <v>3617</v>
      </c>
      <c r="R1100" t="s">
        <v>2665</v>
      </c>
      <c r="S1100" t="s">
        <v>2781</v>
      </c>
      <c r="T1100" t="s">
        <v>2922</v>
      </c>
      <c r="U1100" t="s">
        <v>2665</v>
      </c>
      <c r="V1100" t="s">
        <v>3834</v>
      </c>
      <c r="W1100" t="s">
        <v>3835</v>
      </c>
      <c r="X1100" t="s">
        <v>2665</v>
      </c>
      <c r="Y1100" t="s">
        <v>2054</v>
      </c>
      <c r="Z1100" t="s">
        <v>1136</v>
      </c>
      <c r="AA1100" t="s">
        <v>2783</v>
      </c>
      <c r="AB1100" t="s">
        <v>2783</v>
      </c>
      <c r="AC1100" t="s">
        <v>2665</v>
      </c>
      <c r="AD1100" t="s">
        <v>2054</v>
      </c>
      <c r="AE1100" t="s">
        <v>2054</v>
      </c>
    </row>
    <row r="1101" spans="1:31" x14ac:dyDescent="0.25">
      <c r="A1101" t="s">
        <v>2633</v>
      </c>
      <c r="B1101" t="s">
        <v>2632</v>
      </c>
      <c r="C1101" t="s">
        <v>5016</v>
      </c>
      <c r="D1101" t="s">
        <v>5017</v>
      </c>
      <c r="E1101" t="s">
        <v>2666</v>
      </c>
      <c r="F1101" t="s">
        <v>3591</v>
      </c>
      <c r="G1101" t="s">
        <v>2666</v>
      </c>
      <c r="H1101" t="s">
        <v>2054</v>
      </c>
      <c r="I1101" t="s">
        <v>2741</v>
      </c>
      <c r="J1101" t="s">
        <v>2054</v>
      </c>
      <c r="K1101" t="s">
        <v>2665</v>
      </c>
      <c r="L1101" t="s">
        <v>1136</v>
      </c>
      <c r="M1101" t="s">
        <v>2875</v>
      </c>
      <c r="N1101" t="s">
        <v>2665</v>
      </c>
      <c r="O1101" t="s">
        <v>2876</v>
      </c>
      <c r="P1101" t="s">
        <v>2898</v>
      </c>
      <c r="Q1101" t="s">
        <v>3617</v>
      </c>
      <c r="R1101" t="s">
        <v>2665</v>
      </c>
      <c r="S1101" t="s">
        <v>2781</v>
      </c>
      <c r="T1101" t="s">
        <v>2922</v>
      </c>
      <c r="U1101" t="s">
        <v>2665</v>
      </c>
      <c r="V1101" t="s">
        <v>3834</v>
      </c>
      <c r="W1101" t="s">
        <v>3835</v>
      </c>
      <c r="X1101" t="s">
        <v>2665</v>
      </c>
      <c r="Y1101" t="s">
        <v>2054</v>
      </c>
      <c r="Z1101" t="s">
        <v>1136</v>
      </c>
      <c r="AA1101" t="s">
        <v>2742</v>
      </c>
      <c r="AB1101" t="s">
        <v>2742</v>
      </c>
      <c r="AC1101" t="s">
        <v>2665</v>
      </c>
      <c r="AD1101" t="s">
        <v>2054</v>
      </c>
      <c r="AE1101" t="s">
        <v>2054</v>
      </c>
    </row>
    <row r="1102" spans="1:31" x14ac:dyDescent="0.25">
      <c r="A1102" t="s">
        <v>5018</v>
      </c>
      <c r="B1102" t="s">
        <v>5019</v>
      </c>
      <c r="C1102" t="s">
        <v>5020</v>
      </c>
      <c r="D1102" t="s">
        <v>5019</v>
      </c>
      <c r="E1102" t="s">
        <v>2666</v>
      </c>
      <c r="F1102" t="s">
        <v>2666</v>
      </c>
      <c r="G1102" t="s">
        <v>2666</v>
      </c>
      <c r="H1102" t="s">
        <v>2054</v>
      </c>
      <c r="I1102" t="s">
        <v>2723</v>
      </c>
      <c r="J1102" t="s">
        <v>2054</v>
      </c>
      <c r="K1102" t="s">
        <v>2665</v>
      </c>
      <c r="L1102" t="s">
        <v>1114</v>
      </c>
      <c r="M1102" t="s">
        <v>5021</v>
      </c>
      <c r="N1102" t="s">
        <v>2665</v>
      </c>
      <c r="O1102" t="s">
        <v>5022</v>
      </c>
      <c r="P1102" t="s">
        <v>3163</v>
      </c>
      <c r="Q1102" t="s">
        <v>4176</v>
      </c>
      <c r="R1102" t="s">
        <v>2665</v>
      </c>
      <c r="S1102" t="s">
        <v>2779</v>
      </c>
      <c r="T1102" t="s">
        <v>2780</v>
      </c>
      <c r="U1102" t="s">
        <v>2665</v>
      </c>
      <c r="V1102" t="s">
        <v>4192</v>
      </c>
      <c r="W1102" t="s">
        <v>4193</v>
      </c>
      <c r="X1102" t="s">
        <v>2665</v>
      </c>
      <c r="Y1102" t="s">
        <v>2054</v>
      </c>
      <c r="Z1102" t="s">
        <v>1114</v>
      </c>
      <c r="AA1102" t="s">
        <v>5021</v>
      </c>
      <c r="AB1102" t="s">
        <v>5023</v>
      </c>
      <c r="AC1102" t="s">
        <v>2665</v>
      </c>
      <c r="AD1102" t="s">
        <v>2054</v>
      </c>
      <c r="AE1102" t="s">
        <v>2054</v>
      </c>
    </row>
    <row r="1103" spans="1:31" x14ac:dyDescent="0.25">
      <c r="A1103" t="s">
        <v>777</v>
      </c>
      <c r="B1103" t="s">
        <v>1993</v>
      </c>
      <c r="C1103" t="s">
        <v>5024</v>
      </c>
      <c r="D1103" t="s">
        <v>774</v>
      </c>
      <c r="E1103" t="s">
        <v>2666</v>
      </c>
      <c r="F1103" t="s">
        <v>3880</v>
      </c>
      <c r="G1103" t="s">
        <v>2666</v>
      </c>
      <c r="H1103" t="s">
        <v>2054</v>
      </c>
      <c r="I1103" t="s">
        <v>2778</v>
      </c>
      <c r="J1103" t="s">
        <v>2054</v>
      </c>
      <c r="K1103" t="s">
        <v>2665</v>
      </c>
      <c r="L1103" t="s">
        <v>1179</v>
      </c>
      <c r="M1103" t="s">
        <v>2878</v>
      </c>
      <c r="N1103" t="s">
        <v>2665</v>
      </c>
      <c r="O1103" t="s">
        <v>3576</v>
      </c>
      <c r="P1103" t="s">
        <v>2898</v>
      </c>
      <c r="Q1103" t="s">
        <v>3617</v>
      </c>
      <c r="R1103" t="s">
        <v>2665</v>
      </c>
      <c r="S1103" t="s">
        <v>2781</v>
      </c>
      <c r="T1103" t="s">
        <v>2922</v>
      </c>
      <c r="U1103" t="s">
        <v>2665</v>
      </c>
      <c r="V1103" t="s">
        <v>3875</v>
      </c>
      <c r="W1103" t="s">
        <v>3876</v>
      </c>
      <c r="X1103" t="s">
        <v>2665</v>
      </c>
      <c r="Y1103" t="s">
        <v>2054</v>
      </c>
      <c r="Z1103" t="s">
        <v>1179</v>
      </c>
      <c r="AA1103" t="s">
        <v>2791</v>
      </c>
      <c r="AB1103" t="s">
        <v>2791</v>
      </c>
      <c r="AC1103" t="s">
        <v>2665</v>
      </c>
      <c r="AD1103" t="s">
        <v>2054</v>
      </c>
      <c r="AE1103" t="s">
        <v>2054</v>
      </c>
    </row>
    <row r="1104" spans="1:31" x14ac:dyDescent="0.25">
      <c r="A1104" t="s">
        <v>5025</v>
      </c>
      <c r="B1104" t="s">
        <v>5026</v>
      </c>
      <c r="C1104" t="s">
        <v>5027</v>
      </c>
      <c r="D1104" t="s">
        <v>5026</v>
      </c>
      <c r="E1104" t="s">
        <v>2666</v>
      </c>
      <c r="F1104" t="s">
        <v>2666</v>
      </c>
      <c r="G1104" t="s">
        <v>2054</v>
      </c>
      <c r="H1104" t="s">
        <v>2054</v>
      </c>
      <c r="I1104" t="s">
        <v>2723</v>
      </c>
      <c r="J1104" t="s">
        <v>2054</v>
      </c>
      <c r="K1104" t="s">
        <v>2665</v>
      </c>
      <c r="L1104" t="s">
        <v>1114</v>
      </c>
      <c r="M1104" t="s">
        <v>5021</v>
      </c>
      <c r="N1104" t="s">
        <v>2665</v>
      </c>
      <c r="O1104" t="s">
        <v>5022</v>
      </c>
      <c r="P1104" t="s">
        <v>3163</v>
      </c>
      <c r="Q1104" t="s">
        <v>4176</v>
      </c>
      <c r="R1104" t="s">
        <v>2665</v>
      </c>
      <c r="S1104" t="s">
        <v>2781</v>
      </c>
      <c r="T1104" t="s">
        <v>2922</v>
      </c>
      <c r="U1104" t="s">
        <v>2665</v>
      </c>
      <c r="V1104" t="s">
        <v>3721</v>
      </c>
      <c r="W1104" t="s">
        <v>3722</v>
      </c>
      <c r="X1104" t="s">
        <v>2665</v>
      </c>
      <c r="Y1104" t="s">
        <v>2054</v>
      </c>
      <c r="Z1104" t="s">
        <v>1114</v>
      </c>
      <c r="AA1104" t="s">
        <v>5021</v>
      </c>
      <c r="AB1104" t="s">
        <v>5023</v>
      </c>
      <c r="AC1104" t="s">
        <v>2665</v>
      </c>
      <c r="AD1104" t="s">
        <v>2054</v>
      </c>
      <c r="AE1104" t="s">
        <v>2054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E80C-CB7D-4134-B5D9-BC753CBB1D82}">
  <dimension ref="B1:U71"/>
  <sheetViews>
    <sheetView zoomScaleNormal="100" workbookViewId="0">
      <selection activeCell="H64" sqref="H64"/>
    </sheetView>
  </sheetViews>
  <sheetFormatPr baseColWidth="10" defaultRowHeight="15" x14ac:dyDescent="0.25"/>
  <cols>
    <col min="1" max="1" width="4" customWidth="1"/>
    <col min="2" max="2" width="18.7109375" style="1" customWidth="1"/>
    <col min="3" max="3" width="16.7109375" style="1" customWidth="1"/>
    <col min="4" max="4" width="4.140625" style="2" bestFit="1" customWidth="1"/>
    <col min="5" max="5" width="4.85546875" style="2" bestFit="1" customWidth="1"/>
    <col min="6" max="6" width="67.5703125" style="2" bestFit="1" customWidth="1"/>
    <col min="7" max="7" width="15.140625" style="2" bestFit="1" customWidth="1"/>
    <col min="8" max="8" width="13.5703125" style="66" bestFit="1" customWidth="1"/>
    <col min="9" max="9" width="5.28515625" customWidth="1"/>
    <col min="10" max="10" width="5.140625" customWidth="1"/>
    <col min="15" max="15" width="15.42578125" customWidth="1"/>
    <col min="16" max="16" width="8.42578125" customWidth="1"/>
    <col min="17" max="17" width="11.42578125" customWidth="1"/>
    <col min="18" max="18" width="16" customWidth="1"/>
    <col min="19" max="19" width="10.42578125" customWidth="1"/>
    <col min="20" max="20" width="10.28515625" customWidth="1"/>
    <col min="21" max="21" width="9.85546875" customWidth="1"/>
  </cols>
  <sheetData>
    <row r="1" spans="2:21" ht="11.25" customHeight="1" thickBot="1" x14ac:dyDescent="0.3"/>
    <row r="2" spans="2:21" ht="16.5" customHeight="1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21" ht="13.5" customHeight="1" thickBot="1" x14ac:dyDescent="0.3">
      <c r="B3" s="268" t="s">
        <v>464</v>
      </c>
      <c r="C3" s="269"/>
      <c r="D3" s="269"/>
      <c r="E3" s="269"/>
      <c r="F3" s="269"/>
      <c r="G3" s="269"/>
      <c r="H3" s="270"/>
    </row>
    <row r="4" spans="2:21" s="3" customFormat="1" ht="26.25" customHeight="1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5028</v>
      </c>
    </row>
    <row r="5" spans="2:21" s="78" customFormat="1" ht="16.5" thickBot="1" x14ac:dyDescent="0.3">
      <c r="B5" s="271" t="s">
        <v>2369</v>
      </c>
      <c r="C5" s="272"/>
      <c r="D5" s="272"/>
      <c r="E5" s="272"/>
      <c r="F5" s="272"/>
      <c r="G5" s="272"/>
      <c r="P5" s="74" t="s">
        <v>5159</v>
      </c>
      <c r="Q5" s="74" t="s">
        <v>5160</v>
      </c>
      <c r="R5" s="74" t="s">
        <v>5166</v>
      </c>
      <c r="S5" s="74" t="s">
        <v>5163</v>
      </c>
      <c r="T5" s="74" t="s">
        <v>5164</v>
      </c>
      <c r="U5" s="74" t="s">
        <v>5165</v>
      </c>
    </row>
    <row r="6" spans="2:21" x14ac:dyDescent="0.25">
      <c r="B6" s="53" t="s">
        <v>0</v>
      </c>
      <c r="C6" s="54"/>
      <c r="D6" s="54" t="s">
        <v>8</v>
      </c>
      <c r="E6" s="54">
        <v>1</v>
      </c>
      <c r="F6" s="54" t="s">
        <v>1</v>
      </c>
      <c r="G6" s="102" t="s">
        <v>197</v>
      </c>
      <c r="H6" s="228">
        <f>_xlfn.XLOOKUP(B6,lista!A:A,lista!C:C,0,0)</f>
        <v>72428</v>
      </c>
      <c r="J6" s="215"/>
      <c r="P6" s="64"/>
      <c r="Q6" s="64"/>
      <c r="R6" s="64"/>
      <c r="S6" s="64"/>
      <c r="T6" s="64"/>
      <c r="U6" s="64"/>
    </row>
    <row r="7" spans="2:21" x14ac:dyDescent="0.25">
      <c r="B7" s="55" t="s">
        <v>2</v>
      </c>
      <c r="C7" s="56"/>
      <c r="D7" s="56" t="s">
        <v>8</v>
      </c>
      <c r="E7" s="56">
        <v>1</v>
      </c>
      <c r="F7" s="56" t="s">
        <v>3</v>
      </c>
      <c r="G7" s="103" t="s">
        <v>197</v>
      </c>
      <c r="H7" s="229">
        <f>_xlfn.XLOOKUP(B7,lista!A:A,lista!C:C,0,0)</f>
        <v>72428</v>
      </c>
      <c r="J7" s="215"/>
      <c r="P7" s="64" t="s">
        <v>5161</v>
      </c>
      <c r="Q7" s="64" t="s">
        <v>5162</v>
      </c>
      <c r="R7" s="64" t="s">
        <v>5167</v>
      </c>
      <c r="S7" s="64">
        <v>2</v>
      </c>
      <c r="T7" s="64"/>
      <c r="U7" s="64"/>
    </row>
    <row r="8" spans="2:21" x14ac:dyDescent="0.25">
      <c r="B8" s="55" t="s">
        <v>4</v>
      </c>
      <c r="C8" s="56"/>
      <c r="D8" s="56" t="s">
        <v>8</v>
      </c>
      <c r="E8" s="56">
        <v>1</v>
      </c>
      <c r="F8" s="56" t="s">
        <v>5</v>
      </c>
      <c r="G8" s="103" t="s">
        <v>197</v>
      </c>
      <c r="H8" s="229">
        <f>_xlfn.XLOOKUP(B8,lista!A:A,lista!C:C,0,0)</f>
        <v>72428</v>
      </c>
      <c r="J8" s="215"/>
      <c r="P8" s="64" t="s">
        <v>5161</v>
      </c>
      <c r="Q8" s="64" t="s">
        <v>5162</v>
      </c>
      <c r="R8" s="64" t="s">
        <v>5168</v>
      </c>
      <c r="S8" s="64"/>
      <c r="T8" s="64"/>
      <c r="U8" s="64">
        <v>1</v>
      </c>
    </row>
    <row r="9" spans="2:21" x14ac:dyDescent="0.25">
      <c r="B9" s="55" t="s">
        <v>6</v>
      </c>
      <c r="C9" s="56"/>
      <c r="D9" s="56" t="s">
        <v>8</v>
      </c>
      <c r="E9" s="56">
        <v>1</v>
      </c>
      <c r="F9" s="56" t="s">
        <v>7</v>
      </c>
      <c r="G9" s="103" t="s">
        <v>197</v>
      </c>
      <c r="H9" s="229">
        <f>_xlfn.XLOOKUP(B9,lista!A:A,lista!C:C,0,0)</f>
        <v>72428</v>
      </c>
      <c r="J9" s="215"/>
      <c r="P9" s="64" t="s">
        <v>5161</v>
      </c>
      <c r="Q9" s="64" t="s">
        <v>5162</v>
      </c>
      <c r="R9" s="64" t="s">
        <v>5169</v>
      </c>
      <c r="S9" s="64">
        <v>1</v>
      </c>
      <c r="T9" s="64"/>
      <c r="U9" s="64"/>
    </row>
    <row r="10" spans="2:21" x14ac:dyDescent="0.25">
      <c r="B10" s="55" t="s">
        <v>10</v>
      </c>
      <c r="C10" s="56"/>
      <c r="D10" s="56" t="s">
        <v>9</v>
      </c>
      <c r="E10" s="56">
        <v>1</v>
      </c>
      <c r="F10" s="56" t="s">
        <v>198</v>
      </c>
      <c r="G10" s="103" t="s">
        <v>199</v>
      </c>
      <c r="H10" s="229">
        <f>_xlfn.XLOOKUP(B10,lista!A:A,lista!C:C,0,0)</f>
        <v>64589</v>
      </c>
      <c r="J10" s="215"/>
      <c r="P10" s="64" t="s">
        <v>5161</v>
      </c>
      <c r="Q10" s="64" t="s">
        <v>5162</v>
      </c>
      <c r="R10" s="64" t="s">
        <v>5170</v>
      </c>
      <c r="S10" s="64"/>
      <c r="T10" s="64">
        <v>1</v>
      </c>
      <c r="U10" s="64"/>
    </row>
    <row r="11" spans="2:21" x14ac:dyDescent="0.25">
      <c r="B11" s="55" t="s">
        <v>11</v>
      </c>
      <c r="C11" s="56"/>
      <c r="D11" s="56" t="s">
        <v>9</v>
      </c>
      <c r="E11" s="56">
        <v>1</v>
      </c>
      <c r="F11" s="56" t="s">
        <v>200</v>
      </c>
      <c r="G11" s="103" t="s">
        <v>199</v>
      </c>
      <c r="H11" s="229">
        <f>_xlfn.XLOOKUP(B11,lista!A:A,lista!C:C,0,0)</f>
        <v>64589</v>
      </c>
      <c r="J11" s="215"/>
      <c r="P11" s="64" t="s">
        <v>5161</v>
      </c>
      <c r="Q11" s="64" t="s">
        <v>5171</v>
      </c>
      <c r="R11" s="64" t="s">
        <v>5172</v>
      </c>
      <c r="S11" s="64"/>
      <c r="T11" s="64"/>
      <c r="U11" s="64">
        <v>1</v>
      </c>
    </row>
    <row r="12" spans="2:21" x14ac:dyDescent="0.25">
      <c r="B12" s="55" t="s">
        <v>12</v>
      </c>
      <c r="C12" s="56"/>
      <c r="D12" s="56" t="s">
        <v>9</v>
      </c>
      <c r="E12" s="56">
        <v>1</v>
      </c>
      <c r="F12" s="56" t="s">
        <v>201</v>
      </c>
      <c r="G12" s="103" t="s">
        <v>199</v>
      </c>
      <c r="H12" s="229">
        <f>_xlfn.XLOOKUP(B12,lista!A:A,lista!C:C,0,0)</f>
        <v>64589</v>
      </c>
      <c r="J12" s="215"/>
      <c r="P12" s="64" t="s">
        <v>5161</v>
      </c>
      <c r="Q12" s="64" t="s">
        <v>5173</v>
      </c>
      <c r="R12" s="64" t="s">
        <v>5174</v>
      </c>
      <c r="S12" s="64">
        <v>1</v>
      </c>
      <c r="T12" s="64"/>
      <c r="U12" s="64"/>
    </row>
    <row r="13" spans="2:21" x14ac:dyDescent="0.25">
      <c r="B13" s="55" t="s">
        <v>13</v>
      </c>
      <c r="C13" s="56"/>
      <c r="D13" s="56" t="s">
        <v>9</v>
      </c>
      <c r="E13" s="56">
        <v>1</v>
      </c>
      <c r="F13" s="56" t="s">
        <v>202</v>
      </c>
      <c r="G13" s="103" t="s">
        <v>199</v>
      </c>
      <c r="H13" s="229">
        <f>_xlfn.XLOOKUP(B13,lista!A:A,lista!C:C,0,0)</f>
        <v>64589</v>
      </c>
      <c r="J13" s="215"/>
      <c r="P13" s="64" t="s">
        <v>5161</v>
      </c>
      <c r="Q13" s="64" t="s">
        <v>5173</v>
      </c>
      <c r="R13" s="64" t="s">
        <v>5175</v>
      </c>
      <c r="S13" s="64"/>
      <c r="T13" s="64">
        <v>1</v>
      </c>
      <c r="U13" s="64"/>
    </row>
    <row r="14" spans="2:21" ht="15.75" thickBot="1" x14ac:dyDescent="0.3">
      <c r="B14" s="55" t="s">
        <v>14</v>
      </c>
      <c r="C14" s="56"/>
      <c r="D14" s="56" t="s">
        <v>9</v>
      </c>
      <c r="E14" s="56">
        <v>1</v>
      </c>
      <c r="F14" s="56" t="s">
        <v>203</v>
      </c>
      <c r="G14" s="103" t="s">
        <v>199</v>
      </c>
      <c r="H14" s="229">
        <f>_xlfn.XLOOKUP(B14,lista!A:A,lista!C:C,0,0)</f>
        <v>64589</v>
      </c>
      <c r="J14" s="215"/>
      <c r="P14" s="64" t="s">
        <v>5161</v>
      </c>
      <c r="Q14" s="64" t="s">
        <v>5173</v>
      </c>
      <c r="R14" s="64" t="s">
        <v>5176</v>
      </c>
      <c r="S14" s="64"/>
      <c r="T14" s="64"/>
      <c r="U14" s="64">
        <v>2</v>
      </c>
    </row>
    <row r="15" spans="2:21" ht="16.5" thickBot="1" x14ac:dyDescent="0.3">
      <c r="B15" s="271" t="s">
        <v>2366</v>
      </c>
      <c r="C15" s="272"/>
      <c r="D15" s="272"/>
      <c r="E15" s="272"/>
      <c r="F15" s="272"/>
      <c r="G15" s="272"/>
      <c r="H15" s="273"/>
      <c r="J15" s="215"/>
      <c r="P15" s="64"/>
      <c r="Q15" s="64"/>
      <c r="R15" s="64" t="s">
        <v>5177</v>
      </c>
      <c r="S15" s="64">
        <f>SUM(S7:S14)</f>
        <v>4</v>
      </c>
      <c r="T15" s="64">
        <f t="shared" ref="T15:U15" si="0">SUM(T7:T14)</f>
        <v>2</v>
      </c>
      <c r="U15" s="64">
        <f t="shared" si="0"/>
        <v>4</v>
      </c>
    </row>
    <row r="16" spans="2:21" x14ac:dyDescent="0.25">
      <c r="B16" s="55" t="s">
        <v>187</v>
      </c>
      <c r="C16" s="56"/>
      <c r="D16" s="56" t="s">
        <v>9</v>
      </c>
      <c r="E16" s="56">
        <v>1</v>
      </c>
      <c r="F16" s="56" t="s">
        <v>210</v>
      </c>
      <c r="G16" s="56" t="s">
        <v>211</v>
      </c>
      <c r="H16" s="230">
        <f>_xlfn.XLOOKUP(B16,lista!A:A,lista!C:C,0,0)</f>
        <v>12994</v>
      </c>
      <c r="J16" s="215"/>
    </row>
    <row r="17" spans="2:10" x14ac:dyDescent="0.25">
      <c r="B17" s="55" t="s">
        <v>188</v>
      </c>
      <c r="C17" s="56"/>
      <c r="D17" s="56" t="s">
        <v>9</v>
      </c>
      <c r="E17" s="56">
        <v>1</v>
      </c>
      <c r="F17" s="56" t="s">
        <v>212</v>
      </c>
      <c r="G17" s="56" t="s">
        <v>199</v>
      </c>
      <c r="H17" s="230">
        <f>_xlfn.XLOOKUP(B17,lista!A:A,lista!C:C,0,0)</f>
        <v>64439</v>
      </c>
      <c r="J17" s="215"/>
    </row>
    <row r="18" spans="2:10" x14ac:dyDescent="0.25">
      <c r="B18" s="55" t="s">
        <v>189</v>
      </c>
      <c r="C18" s="56"/>
      <c r="D18" s="56" t="s">
        <v>9</v>
      </c>
      <c r="E18" s="56">
        <v>1</v>
      </c>
      <c r="F18" s="56" t="s">
        <v>213</v>
      </c>
      <c r="G18" s="56" t="s">
        <v>214</v>
      </c>
      <c r="H18" s="230">
        <f>_xlfn.XLOOKUP(B18,lista!A:A,lista!C:C,0,0)</f>
        <v>64566</v>
      </c>
      <c r="J18" s="215"/>
    </row>
    <row r="19" spans="2:10" ht="15.75" thickBot="1" x14ac:dyDescent="0.3">
      <c r="B19" s="57" t="s">
        <v>190</v>
      </c>
      <c r="C19" s="58"/>
      <c r="D19" s="58" t="s">
        <v>9</v>
      </c>
      <c r="E19" s="58">
        <v>1</v>
      </c>
      <c r="F19" s="58" t="s">
        <v>215</v>
      </c>
      <c r="G19" s="58" t="s">
        <v>199</v>
      </c>
      <c r="H19" s="231">
        <f>_xlfn.XLOOKUP(B19,lista!A:A,lista!C:C,0,0)</f>
        <v>64276</v>
      </c>
      <c r="J19" s="215"/>
    </row>
    <row r="20" spans="2:10" ht="16.5" thickBot="1" x14ac:dyDescent="0.3">
      <c r="B20" s="271" t="s">
        <v>2367</v>
      </c>
      <c r="C20" s="272"/>
      <c r="D20" s="272"/>
      <c r="E20" s="272"/>
      <c r="F20" s="272"/>
      <c r="G20" s="272"/>
      <c r="H20" s="273"/>
      <c r="J20" s="215"/>
    </row>
    <row r="21" spans="2:10" x14ac:dyDescent="0.25">
      <c r="B21" s="53" t="s">
        <v>182</v>
      </c>
      <c r="C21" s="54"/>
      <c r="D21" s="54" t="s">
        <v>9</v>
      </c>
      <c r="E21" s="54">
        <v>1</v>
      </c>
      <c r="F21" s="54" t="s">
        <v>205</v>
      </c>
      <c r="G21" s="54" t="s">
        <v>199</v>
      </c>
      <c r="H21" s="232">
        <f>_xlfn.XLOOKUP(B21,lista!A:A,lista!C:C,0,0)</f>
        <v>125496</v>
      </c>
      <c r="J21" s="215"/>
    </row>
    <row r="22" spans="2:10" x14ac:dyDescent="0.25">
      <c r="B22" s="55" t="s">
        <v>183</v>
      </c>
      <c r="C22" s="56"/>
      <c r="D22" s="56" t="s">
        <v>9</v>
      </c>
      <c r="E22" s="56">
        <v>1</v>
      </c>
      <c r="F22" s="56" t="s">
        <v>206</v>
      </c>
      <c r="G22" s="56" t="s">
        <v>199</v>
      </c>
      <c r="H22" s="230">
        <f>_xlfn.XLOOKUP(B22,lista!A:A,lista!C:C,0,0)</f>
        <v>125185</v>
      </c>
      <c r="J22" s="215"/>
    </row>
    <row r="23" spans="2:10" x14ac:dyDescent="0.25">
      <c r="B23" s="55" t="s">
        <v>184</v>
      </c>
      <c r="C23" s="56"/>
      <c r="D23" s="56" t="s">
        <v>9</v>
      </c>
      <c r="E23" s="56">
        <v>1</v>
      </c>
      <c r="F23" s="56" t="s">
        <v>207</v>
      </c>
      <c r="G23" s="56" t="s">
        <v>199</v>
      </c>
      <c r="H23" s="230">
        <f>_xlfn.XLOOKUP(B23,lista!A:A,lista!C:C,0,0)</f>
        <v>126192</v>
      </c>
      <c r="J23" s="215"/>
    </row>
    <row r="24" spans="2:10" x14ac:dyDescent="0.25">
      <c r="B24" s="55" t="s">
        <v>185</v>
      </c>
      <c r="C24" s="56"/>
      <c r="D24" s="56" t="s">
        <v>9</v>
      </c>
      <c r="E24" s="56">
        <v>1</v>
      </c>
      <c r="F24" s="56" t="s">
        <v>208</v>
      </c>
      <c r="G24" s="56" t="s">
        <v>199</v>
      </c>
      <c r="H24" s="230">
        <f>_xlfn.XLOOKUP(B24,lista!A:A,lista!C:C,0,0)</f>
        <v>126192</v>
      </c>
      <c r="J24" s="215"/>
    </row>
    <row r="25" spans="2:10" ht="15.75" thickBot="1" x14ac:dyDescent="0.3">
      <c r="B25" s="55" t="s">
        <v>186</v>
      </c>
      <c r="C25" s="56"/>
      <c r="D25" s="56" t="s">
        <v>9</v>
      </c>
      <c r="E25" s="56">
        <v>1</v>
      </c>
      <c r="F25" s="56" t="s">
        <v>209</v>
      </c>
      <c r="G25" s="56" t="s">
        <v>199</v>
      </c>
      <c r="H25" s="230">
        <f>_xlfn.XLOOKUP(B25,lista!A:A,lista!C:C,0,0)</f>
        <v>125844</v>
      </c>
      <c r="J25" s="215"/>
    </row>
    <row r="26" spans="2:10" ht="16.5" thickBot="1" x14ac:dyDescent="0.3">
      <c r="B26" s="271" t="s">
        <v>2368</v>
      </c>
      <c r="C26" s="272"/>
      <c r="D26" s="272"/>
      <c r="E26" s="272"/>
      <c r="F26" s="272"/>
      <c r="G26" s="272"/>
      <c r="H26" s="273"/>
      <c r="J26" s="215"/>
    </row>
    <row r="27" spans="2:10" x14ac:dyDescent="0.25">
      <c r="B27" s="14" t="s">
        <v>1010</v>
      </c>
      <c r="C27" s="15" t="s">
        <v>1011</v>
      </c>
      <c r="D27" s="16" t="s">
        <v>373</v>
      </c>
      <c r="E27" s="16">
        <v>200</v>
      </c>
      <c r="F27" s="16" t="s">
        <v>2346</v>
      </c>
      <c r="G27" s="119" t="s">
        <v>961</v>
      </c>
      <c r="H27" s="224">
        <f>_xlfn.XLOOKUP(B27,lista!A:A,lista!C:C,0,0)</f>
        <v>47151</v>
      </c>
      <c r="J27" s="215"/>
    </row>
    <row r="28" spans="2:10" x14ac:dyDescent="0.25">
      <c r="B28" s="14" t="s">
        <v>1022</v>
      </c>
      <c r="C28" s="15" t="str">
        <f>_xlfn.XLOOKUP('Papeles-Cartulina'!B28,amb!B:B,amb!D:D,0,0)</f>
        <v>RPN02026102XC</v>
      </c>
      <c r="D28" s="16" t="str">
        <f>_xlfn.XLOOKUP('Papeles-Cartulina'!B28,amb!B:B,amb!L:L,0,0)</f>
        <v>PAQ</v>
      </c>
      <c r="E28" s="16" t="str">
        <f>_xlfn.XLOOKUP(B28,amb!B:B,amb!AA:AA,0,0)</f>
        <v>200</v>
      </c>
      <c r="F28" s="16" t="str">
        <f>_xlfn.XLOOKUP(B28,amb!B:B,amb!A:A,0,0)</f>
        <v>CAJA PARA ALIMENTOS DARNEL NATURAL 26 Oz MOCA PAQX50 CAJ X200UNID</v>
      </c>
      <c r="G28" s="119" t="s">
        <v>961</v>
      </c>
      <c r="H28" s="224">
        <f>_xlfn.XLOOKUP(B28,lista!A:A,lista!C:C,0,0)</f>
        <v>43116</v>
      </c>
      <c r="J28" s="215"/>
    </row>
    <row r="29" spans="2:10" x14ac:dyDescent="0.25">
      <c r="B29" s="14" t="s">
        <v>1012</v>
      </c>
      <c r="C29" s="15" t="str">
        <f>_xlfn.XLOOKUP('Papeles-Cartulina'!B29,amb!B:B,amb!D:D,0,0)</f>
        <v>RPN02045101XC</v>
      </c>
      <c r="D29" s="16" t="str">
        <f>_xlfn.XLOOKUP('Papeles-Cartulina'!B29,amb!B:B,amb!L:L,0,0)</f>
        <v>PAQ</v>
      </c>
      <c r="E29" s="16" t="str">
        <f>_xlfn.XLOOKUP(B29,amb!B:B,amb!AA:AA,0,0)</f>
        <v>200</v>
      </c>
      <c r="F29" s="16" t="str">
        <f>_xlfn.XLOOKUP(B29,amb!B:B,amb!A:A,0,0)</f>
        <v>CAJA PARA ALIMENTOS DARNEL NATURAL 45 Oz BLANCO PQX50 CJX200</v>
      </c>
      <c r="G29" s="119" t="s">
        <v>961</v>
      </c>
      <c r="H29" s="224">
        <f>_xlfn.XLOOKUP(B29,lista!A:A,lista!C:C,0,0)</f>
        <v>68591</v>
      </c>
      <c r="J29" s="215"/>
    </row>
    <row r="30" spans="2:10" x14ac:dyDescent="0.25">
      <c r="B30" s="14" t="s">
        <v>1998</v>
      </c>
      <c r="C30" s="15" t="str">
        <f>_xlfn.XLOOKUP('Papeles-Cartulina'!B30,amb!B:B,amb!D:D,0,0)</f>
        <v>RPN02045102XTE</v>
      </c>
      <c r="D30" s="16" t="str">
        <f>_xlfn.XLOOKUP('Papeles-Cartulina'!B30,amb!B:B,amb!L:L,0,0)</f>
        <v>PAQ</v>
      </c>
      <c r="E30" s="16" t="str">
        <f>_xlfn.XLOOKUP(B30,amb!B:B,amb!AA:AA,0,0)</f>
        <v>200</v>
      </c>
      <c r="F30" s="16" t="str">
        <f>_xlfn.XLOOKUP(B30,amb!B:B,amb!A:A,0,0)</f>
        <v>CAJA ALIMENTOS SAFETYPLUS DARNEL NATURALS 45 Oz MOCA PQX50 CAJX200</v>
      </c>
      <c r="G30" s="119" t="s">
        <v>961</v>
      </c>
      <c r="H30" s="224">
        <f>_xlfn.XLOOKUP(B30,lista!A:A,lista!C:C,0,0)</f>
        <v>67623</v>
      </c>
      <c r="J30" s="215"/>
    </row>
    <row r="31" spans="2:10" x14ac:dyDescent="0.25">
      <c r="B31" s="14" t="s">
        <v>2000</v>
      </c>
      <c r="C31" s="15" t="str">
        <f>_xlfn.XLOOKUP('Papeles-Cartulina'!B31,amb!B:B,amb!D:D,0,0)</f>
        <v>RPN02049101XC</v>
      </c>
      <c r="D31" s="16" t="str">
        <f>_xlfn.XLOOKUP('Papeles-Cartulina'!B31,amb!B:B,amb!L:L,0,0)</f>
        <v>PAQ</v>
      </c>
      <c r="E31" s="16" t="str">
        <f>_xlfn.XLOOKUP(B31,amb!B:B,amb!AA:AA,0,0)</f>
        <v>200</v>
      </c>
      <c r="F31" s="16" t="str">
        <f>_xlfn.XLOOKUP(B31,amb!B:B,amb!A:A,0,0)</f>
        <v>CAJA PARA ALIMENTOS DARNEL NATURALS 49 Oz BLANCO PQX50 CAJX200</v>
      </c>
      <c r="G31" s="119" t="s">
        <v>961</v>
      </c>
      <c r="H31" s="224">
        <f>_xlfn.XLOOKUP(B31,lista!A:A,lista!C:C,0,0)</f>
        <v>73442</v>
      </c>
      <c r="J31" s="215"/>
    </row>
    <row r="32" spans="2:10" x14ac:dyDescent="0.25">
      <c r="B32" s="14" t="s">
        <v>1026</v>
      </c>
      <c r="C32" s="15" t="str">
        <f>_xlfn.XLOOKUP('Papeles-Cartulina'!B32,amb!B:B,amb!D:D,0,0)</f>
        <v>RPN02049102XC</v>
      </c>
      <c r="D32" s="16" t="str">
        <f>_xlfn.XLOOKUP('Papeles-Cartulina'!B32,amb!B:B,amb!L:L,0,0)</f>
        <v>PAQ</v>
      </c>
      <c r="E32" s="16" t="str">
        <f>_xlfn.XLOOKUP(B32,amb!B:B,amb!AA:AA,0,0)</f>
        <v>200</v>
      </c>
      <c r="F32" s="16" t="str">
        <f>_xlfn.XLOOKUP(B32,amb!B:B,amb!A:A,0,0)</f>
        <v>CAJA PARA ALIMENTOS DARNEL NATURAL 49 Oz MOCA PQX50 CJX200</v>
      </c>
      <c r="G32" s="119" t="s">
        <v>961</v>
      </c>
      <c r="H32" s="224">
        <f>_xlfn.XLOOKUP(B32,lista!A:A,lista!C:C,0,0)</f>
        <v>67949</v>
      </c>
      <c r="J32" s="215"/>
    </row>
    <row r="33" spans="2:10" x14ac:dyDescent="0.25">
      <c r="B33" s="14" t="s">
        <v>1014</v>
      </c>
      <c r="C33" s="15" t="str">
        <f>_xlfn.XLOOKUP('Papeles-Cartulina'!B33,amb!B:B,amb!D:D,0,0)</f>
        <v>RPN02066101XC</v>
      </c>
      <c r="D33" s="16" t="str">
        <f>_xlfn.XLOOKUP('Papeles-Cartulina'!B33,amb!B:B,amb!L:L,0,0)</f>
        <v>PAQ</v>
      </c>
      <c r="E33" s="16" t="str">
        <f>_xlfn.XLOOKUP(B33,amb!B:B,amb!AA:AA,0,0)</f>
        <v>200</v>
      </c>
      <c r="F33" s="16" t="str">
        <f>_xlfn.XLOOKUP(B33,amb!B:B,amb!A:A,0,0)</f>
        <v>CAJA PARA ALIMENTOS DARNEL NATURAL 66 Oz BLANCO PQX50 CJX200</v>
      </c>
      <c r="G33" s="119" t="s">
        <v>961</v>
      </c>
      <c r="H33" s="224">
        <f>_xlfn.XLOOKUP(B33,lista!A:A,lista!C:C,0,0)</f>
        <v>80488</v>
      </c>
      <c r="J33" s="215"/>
    </row>
    <row r="34" spans="2:10" x14ac:dyDescent="0.25">
      <c r="B34" s="14" t="s">
        <v>1028</v>
      </c>
      <c r="C34" s="15" t="str">
        <f>_xlfn.XLOOKUP('Papeles-Cartulina'!B34,amb!B:B,amb!D:D,0,0)</f>
        <v>RPN02066102XC</v>
      </c>
      <c r="D34" s="16" t="str">
        <f>_xlfn.XLOOKUP('Papeles-Cartulina'!B34,amb!B:B,amb!L:L,0,0)</f>
        <v>PAQ</v>
      </c>
      <c r="E34" s="16" t="str">
        <f>_xlfn.XLOOKUP(B34,amb!B:B,amb!AA:AA,0,0)</f>
        <v>200</v>
      </c>
      <c r="F34" s="16" t="str">
        <f>_xlfn.XLOOKUP(B34,amb!B:B,amb!A:A,0,0)</f>
        <v>CAJA PARA ALIMENTOS DARNEL NATURAL 66 Oz MOCA PQX50 CJX200</v>
      </c>
      <c r="G34" s="119" t="s">
        <v>961</v>
      </c>
      <c r="H34" s="224">
        <f>_xlfn.XLOOKUP(B34,lista!A:A,lista!C:C,0,0)</f>
        <v>74222</v>
      </c>
      <c r="J34" s="215"/>
    </row>
    <row r="35" spans="2:10" x14ac:dyDescent="0.25">
      <c r="B35" s="14" t="s">
        <v>2002</v>
      </c>
      <c r="C35" s="15" t="str">
        <f>_xlfn.XLOOKUP('Papeles-Cartulina'!B35,amb!B:B,amb!D:D,0,0)</f>
        <v>RPN0207201X</v>
      </c>
      <c r="D35" s="16" t="str">
        <f>_xlfn.XLOOKUP('Papeles-Cartulina'!B35,amb!B:B,amb!L:L,0,0)</f>
        <v>PAQ</v>
      </c>
      <c r="E35" s="16" t="str">
        <f>_xlfn.XLOOKUP(B35,amb!B:B,amb!AA:AA,0,0)</f>
        <v>100</v>
      </c>
      <c r="F35" s="16" t="str">
        <f>_xlfn.XLOOKUP(B35,amb!B:B,amb!A:A,0,0)</f>
        <v>CAJA PARA ALIMENTOS DARNEL NATURALS 72 Oz BLANCO BLX100</v>
      </c>
      <c r="G35" s="119" t="s">
        <v>961</v>
      </c>
      <c r="H35" s="224">
        <f>_xlfn.XLOOKUP(B35,lista!A:A,lista!C:C,0,0)</f>
        <v>50051</v>
      </c>
      <c r="J35" s="215"/>
    </row>
    <row r="36" spans="2:10" x14ac:dyDescent="0.25">
      <c r="B36" s="14" t="s">
        <v>2004</v>
      </c>
      <c r="C36" s="15" t="str">
        <f>_xlfn.XLOOKUP('Papeles-Cartulina'!B36,amb!B:B,amb!D:D,0,0)</f>
        <v>RPN0207202X</v>
      </c>
      <c r="D36" s="16" t="str">
        <f>_xlfn.XLOOKUP('Papeles-Cartulina'!B36,amb!B:B,amb!L:L,0,0)</f>
        <v>PAQ</v>
      </c>
      <c r="E36" s="16" t="str">
        <f>_xlfn.XLOOKUP(B36,amb!B:B,amb!AA:AA,0,0)</f>
        <v>100</v>
      </c>
      <c r="F36" s="16" t="str">
        <f>_xlfn.XLOOKUP(B36,amb!B:B,amb!A:A,0,0)</f>
        <v>CAJA PARA ALIMENTOS DARNEL NATURALS 72 Oz MOCA BLX100</v>
      </c>
      <c r="G36" s="119" t="s">
        <v>961</v>
      </c>
      <c r="H36" s="224">
        <f>_xlfn.XLOOKUP(B36,lista!A:A,lista!C:C,0,0)</f>
        <v>50375</v>
      </c>
      <c r="J36" s="215"/>
    </row>
    <row r="37" spans="2:10" x14ac:dyDescent="0.25">
      <c r="B37" s="14" t="s">
        <v>1994</v>
      </c>
      <c r="C37" s="15" t="str">
        <f>_xlfn.XLOOKUP('Papeles-Cartulina'!B37,amb!B:B,amb!D:D,0,0)</f>
        <v>RPN02011501X</v>
      </c>
      <c r="D37" s="16" t="str">
        <f>_xlfn.XLOOKUP('Papeles-Cartulina'!B37,amb!B:B,amb!L:L,0,0)</f>
        <v>PAQ</v>
      </c>
      <c r="E37" s="16" t="str">
        <f>_xlfn.XLOOKUP(B37,amb!B:B,amb!AA:AA,0,0)</f>
        <v>100</v>
      </c>
      <c r="F37" s="16" t="str">
        <f>_xlfn.XLOOKUP(B37,amb!B:B,amb!A:A,0,0)</f>
        <v>CAJA PARA ALIMENTOS DARNEL NATURALS 115 Oz BLANCO BLX100 UNID</v>
      </c>
      <c r="G37" s="119" t="s">
        <v>961</v>
      </c>
      <c r="H37" s="224">
        <v>43095</v>
      </c>
      <c r="J37" s="215"/>
    </row>
    <row r="38" spans="2:10" ht="15.75" thickBot="1" x14ac:dyDescent="0.3">
      <c r="B38" s="14" t="s">
        <v>1996</v>
      </c>
      <c r="C38" s="15" t="s">
        <v>1997</v>
      </c>
      <c r="D38" s="16" t="s">
        <v>373</v>
      </c>
      <c r="E38" s="16">
        <v>100</v>
      </c>
      <c r="F38" s="16" t="s">
        <v>2285</v>
      </c>
      <c r="G38" s="119" t="s">
        <v>961</v>
      </c>
      <c r="H38" s="224">
        <v>43428</v>
      </c>
      <c r="J38" s="215"/>
    </row>
    <row r="39" spans="2:10" ht="16.5" thickBot="1" x14ac:dyDescent="0.3">
      <c r="B39" s="274" t="s">
        <v>2409</v>
      </c>
      <c r="C39" s="275"/>
      <c r="D39" s="275"/>
      <c r="E39" s="275"/>
      <c r="F39" s="275"/>
      <c r="G39" s="275"/>
      <c r="H39" s="276"/>
      <c r="J39" s="215"/>
    </row>
    <row r="40" spans="2:10" x14ac:dyDescent="0.25">
      <c r="B40" s="11" t="s">
        <v>1016</v>
      </c>
      <c r="C40" s="12" t="str">
        <f>_xlfn.XLOOKUP('Papeles-Cartulina'!B40,amb!B:B,amb!D:D,0,0)</f>
        <v>RPN02P08201X</v>
      </c>
      <c r="D40" s="13" t="str">
        <f>_xlfn.XLOOKUP('Papeles-Cartulina'!B40,amb!B:B,amb!L:L,0,0)</f>
        <v>PAQ</v>
      </c>
      <c r="E40" s="13" t="str">
        <f>_xlfn.XLOOKUP(B40,amb!B:B,amb!AA:AA,0,0)</f>
        <v>600</v>
      </c>
      <c r="F40" s="13" t="str">
        <f>_xlfn.XLOOKUP(B40,amb!B:B,amb!A:A,0,0)</f>
        <v>CAJA PEQUEÑA PARA PAPAS FRITAS DARNEL NATURAL BLANCA PQX100 CJX600</v>
      </c>
      <c r="G40" s="138" t="s">
        <v>961</v>
      </c>
      <c r="H40" s="226">
        <f>_xlfn.XLOOKUP(B40,lista!A:A,lista!C:C,0,0)</f>
        <v>33056</v>
      </c>
      <c r="J40" s="215"/>
    </row>
    <row r="41" spans="2:10" x14ac:dyDescent="0.25">
      <c r="B41" s="14" t="s">
        <v>1018</v>
      </c>
      <c r="C41" s="15" t="str">
        <f>_xlfn.XLOOKUP('Papeles-Cartulina'!B41,amb!B:B,amb!D:D,0,0)</f>
        <v>RPN02P08701X</v>
      </c>
      <c r="D41" s="16" t="str">
        <f>_xlfn.XLOOKUP('Papeles-Cartulina'!B41,amb!B:B,amb!L:L,0,0)</f>
        <v>PAQ</v>
      </c>
      <c r="E41" s="16" t="str">
        <f>_xlfn.XLOOKUP(B41,amb!B:B,amb!AA:AA,0,0)</f>
        <v>600</v>
      </c>
      <c r="F41" s="16" t="str">
        <f>_xlfn.XLOOKUP(B41,amb!B:B,amb!A:A,0,0)</f>
        <v>CAJA MEDIANA PARA PAPAS FRITAS DARNEL NATURAL BLANCO PQX100 CJX600</v>
      </c>
      <c r="G41" s="119" t="s">
        <v>961</v>
      </c>
      <c r="H41" s="224">
        <f>_xlfn.XLOOKUP(B41,lista!A:A,lista!C:C,0,0)</f>
        <v>60322</v>
      </c>
      <c r="J41" s="215"/>
    </row>
    <row r="42" spans="2:10" x14ac:dyDescent="0.25">
      <c r="B42" s="14" t="s">
        <v>1020</v>
      </c>
      <c r="C42" s="15" t="str">
        <f>_xlfn.XLOOKUP('Papeles-Cartulina'!B42,amb!B:B,amb!D:D,0,0)</f>
        <v>RPN02P12801X</v>
      </c>
      <c r="D42" s="16" t="str">
        <f>_xlfn.XLOOKUP('Papeles-Cartulina'!B42,amb!B:B,amb!L:L,0,0)</f>
        <v>PAQ</v>
      </c>
      <c r="E42" s="16" t="str">
        <f>_xlfn.XLOOKUP(B42,amb!B:B,amb!AA:AA,0,0)</f>
        <v>600</v>
      </c>
      <c r="F42" s="16" t="str">
        <f>_xlfn.XLOOKUP(B42,amb!B:B,amb!A:A,0,0)</f>
        <v>CAJA GRANDE PARA PAPAS FRITAS DARNEL NATURAL BLANCO PQX100 CJX600</v>
      </c>
      <c r="G42" s="119" t="s">
        <v>961</v>
      </c>
      <c r="H42" s="224">
        <f>_xlfn.XLOOKUP(B42,lista!A:A,lista!C:C,0,0)</f>
        <v>81948</v>
      </c>
      <c r="J42" s="215"/>
    </row>
    <row r="43" spans="2:10" x14ac:dyDescent="0.25">
      <c r="B43" s="14" t="s">
        <v>1030</v>
      </c>
      <c r="C43" s="15" t="str">
        <f>_xlfn.XLOOKUP('Papeles-Cartulina'!B43,amb!B:B,amb!D:D,0,0)</f>
        <v>RPN02P08202X</v>
      </c>
      <c r="D43" s="16" t="str">
        <f>_xlfn.XLOOKUP('Papeles-Cartulina'!B43,amb!B:B,amb!L:L,0,0)</f>
        <v>PAQ</v>
      </c>
      <c r="E43" s="16" t="str">
        <f>_xlfn.XLOOKUP(B43,amb!B:B,amb!AA:AA,0,0)</f>
        <v>600</v>
      </c>
      <c r="F43" s="16" t="str">
        <f>_xlfn.XLOOKUP(B43,amb!B:B,amb!A:A,0,0)</f>
        <v>CAJA PEQUEÑA PARA PAPAS FRITAS DARNEL NATURAL MOCA PQX100 CJX600</v>
      </c>
      <c r="G43" s="119" t="s">
        <v>961</v>
      </c>
      <c r="H43" s="224">
        <f>_xlfn.XLOOKUP(B43,lista!A:A,lista!C:C,0,0)</f>
        <v>29445</v>
      </c>
      <c r="J43" s="215"/>
    </row>
    <row r="44" spans="2:10" ht="15.75" thickBot="1" x14ac:dyDescent="0.3">
      <c r="B44" s="19" t="s">
        <v>465</v>
      </c>
      <c r="C44" s="20" t="str">
        <f>_xlfn.XLOOKUP('Papeles-Cartulina'!B44,amb!B:B,amb!D:D,0,0)</f>
        <v>0018ESP00004</v>
      </c>
      <c r="D44" s="21" t="str">
        <f>_xlfn.XLOOKUP('Papeles-Cartulina'!B44,amb!B:B,amb!L:L,0,0)</f>
        <v>PAQ</v>
      </c>
      <c r="E44" s="21" t="str">
        <f>_xlfn.XLOOKUP(B44,amb!B:B,amb!AA:AA,0,0)</f>
        <v>1000</v>
      </c>
      <c r="F44" s="21" t="str">
        <f>_xlfn.XLOOKUP(B44,amb!B:B,amb!A:A,0,0)</f>
        <v>ESTUCHES PAPAS FRITAS KRAFT X 1000</v>
      </c>
      <c r="G44" s="21" t="s">
        <v>418</v>
      </c>
      <c r="H44" s="227">
        <f>_xlfn.XLOOKUP(B44,lista!A:A,lista!C:C,0,0)</f>
        <v>97504</v>
      </c>
      <c r="J44" s="215"/>
    </row>
    <row r="45" spans="2:10" ht="16.5" thickBot="1" x14ac:dyDescent="0.3">
      <c r="B45" s="277" t="s">
        <v>2410</v>
      </c>
      <c r="C45" s="278"/>
      <c r="D45" s="278"/>
      <c r="E45" s="278"/>
      <c r="F45" s="278"/>
      <c r="G45" s="278"/>
      <c r="H45" s="279"/>
      <c r="J45" s="215"/>
    </row>
    <row r="46" spans="2:10" x14ac:dyDescent="0.25">
      <c r="B46" s="14" t="s">
        <v>1035</v>
      </c>
      <c r="C46" s="15" t="s">
        <v>1036</v>
      </c>
      <c r="D46" s="16" t="s">
        <v>373</v>
      </c>
      <c r="E46" s="16">
        <v>200</v>
      </c>
      <c r="F46" s="16" t="s">
        <v>2352</v>
      </c>
      <c r="G46" s="119" t="s">
        <v>961</v>
      </c>
      <c r="H46" s="224">
        <f>_xlfn.XLOOKUP(B46,lista!A:A,lista!C:C,0,0)</f>
        <v>45268</v>
      </c>
      <c r="J46" s="215"/>
    </row>
    <row r="47" spans="2:10" x14ac:dyDescent="0.25">
      <c r="B47" s="14" t="s">
        <v>1024</v>
      </c>
      <c r="C47" s="15" t="s">
        <v>1025</v>
      </c>
      <c r="D47" s="16" t="s">
        <v>373</v>
      </c>
      <c r="E47" s="16">
        <v>200</v>
      </c>
      <c r="F47" s="16" t="s">
        <v>2347</v>
      </c>
      <c r="G47" s="119" t="s">
        <v>961</v>
      </c>
      <c r="H47" s="224">
        <f>_xlfn.XLOOKUP(B47,lista!A:A,lista!C:C,0,0)</f>
        <v>62476</v>
      </c>
      <c r="J47" s="215"/>
    </row>
    <row r="48" spans="2:10" x14ac:dyDescent="0.25">
      <c r="B48" s="14" t="s">
        <v>1031</v>
      </c>
      <c r="C48" s="15" t="s">
        <v>1032</v>
      </c>
      <c r="D48" s="16" t="s">
        <v>373</v>
      </c>
      <c r="E48" s="16">
        <v>200</v>
      </c>
      <c r="F48" s="16" t="s">
        <v>2353</v>
      </c>
      <c r="G48" s="119" t="s">
        <v>961</v>
      </c>
      <c r="H48" s="224">
        <f>_xlfn.XLOOKUP(B48,lista!A:A,lista!C:C,0,0)</f>
        <v>72723</v>
      </c>
      <c r="J48" s="215"/>
    </row>
    <row r="49" spans="2:10" ht="15.75" thickBot="1" x14ac:dyDescent="0.3">
      <c r="B49" s="14" t="s">
        <v>1033</v>
      </c>
      <c r="C49" s="15" t="s">
        <v>1034</v>
      </c>
      <c r="D49" s="16" t="s">
        <v>373</v>
      </c>
      <c r="E49" s="16">
        <v>200</v>
      </c>
      <c r="F49" s="16" t="s">
        <v>2348</v>
      </c>
      <c r="G49" s="119" t="s">
        <v>961</v>
      </c>
      <c r="H49" s="224">
        <f>_xlfn.XLOOKUP(B49,lista!A:A,lista!C:C,0,0)</f>
        <v>79883</v>
      </c>
      <c r="J49" s="215"/>
    </row>
    <row r="50" spans="2:10" ht="16.5" thickBot="1" x14ac:dyDescent="0.3">
      <c r="B50" s="271" t="s">
        <v>2411</v>
      </c>
      <c r="C50" s="272"/>
      <c r="D50" s="272"/>
      <c r="E50" s="272"/>
      <c r="F50" s="272"/>
      <c r="G50" s="272"/>
      <c r="H50" s="273"/>
      <c r="J50" s="215"/>
    </row>
    <row r="51" spans="2:10" x14ac:dyDescent="0.25">
      <c r="B51" s="14" t="s">
        <v>1037</v>
      </c>
      <c r="C51" s="15" t="s">
        <v>1038</v>
      </c>
      <c r="D51" s="16" t="s">
        <v>373</v>
      </c>
      <c r="E51" s="16">
        <v>300</v>
      </c>
      <c r="F51" s="16" t="s">
        <v>2349</v>
      </c>
      <c r="G51" s="119" t="s">
        <v>961</v>
      </c>
      <c r="H51" s="224">
        <f>_xlfn.XLOOKUP(B51,lista!A:A,lista!C:C,0,0)</f>
        <v>44059</v>
      </c>
      <c r="J51" s="215"/>
    </row>
    <row r="52" spans="2:10" x14ac:dyDescent="0.25">
      <c r="B52" s="14" t="s">
        <v>1039</v>
      </c>
      <c r="C52" s="15" t="s">
        <v>1040</v>
      </c>
      <c r="D52" s="16" t="s">
        <v>373</v>
      </c>
      <c r="E52" s="16">
        <v>300</v>
      </c>
      <c r="F52" s="16" t="s">
        <v>2350</v>
      </c>
      <c r="G52" s="119" t="s">
        <v>961</v>
      </c>
      <c r="H52" s="224">
        <f>_xlfn.XLOOKUP(B52,lista!A:A,lista!C:C,0,0)</f>
        <v>45245</v>
      </c>
      <c r="J52" s="215"/>
    </row>
    <row r="53" spans="2:10" ht="15.75" thickBot="1" x14ac:dyDescent="0.3">
      <c r="B53" s="19" t="s">
        <v>1041</v>
      </c>
      <c r="C53" s="20" t="s">
        <v>1042</v>
      </c>
      <c r="D53" s="21" t="s">
        <v>373</v>
      </c>
      <c r="E53" s="21">
        <v>400</v>
      </c>
      <c r="F53" s="21" t="s">
        <v>2351</v>
      </c>
      <c r="G53" s="120" t="s">
        <v>961</v>
      </c>
      <c r="H53" s="227">
        <f>_xlfn.XLOOKUP(B53,lista!A:A,lista!C:C,0,0)</f>
        <v>55794</v>
      </c>
      <c r="J53" s="215"/>
    </row>
    <row r="54" spans="2:10" ht="16.5" thickBot="1" x14ac:dyDescent="0.3">
      <c r="B54" s="271" t="s">
        <v>2408</v>
      </c>
      <c r="C54" s="272"/>
      <c r="D54" s="272"/>
      <c r="E54" s="272"/>
      <c r="F54" s="272"/>
      <c r="G54" s="272"/>
      <c r="H54" s="273"/>
      <c r="J54" s="215"/>
    </row>
    <row r="55" spans="2:10" ht="15.75" thickBot="1" x14ac:dyDescent="0.3">
      <c r="B55" s="19" t="s">
        <v>485</v>
      </c>
      <c r="C55" s="20"/>
      <c r="D55" s="21" t="s">
        <v>373</v>
      </c>
      <c r="E55" s="21">
        <v>400</v>
      </c>
      <c r="F55" s="21" t="s">
        <v>486</v>
      </c>
      <c r="G55" s="21"/>
      <c r="H55" s="227">
        <f>_xlfn.XLOOKUP(B55,lista!A:A,lista!C:C,0,0)</f>
        <v>54611</v>
      </c>
      <c r="J55" s="215"/>
    </row>
    <row r="56" spans="2:10" ht="13.5" customHeight="1" thickBot="1" x14ac:dyDescent="0.3">
      <c r="B56" s="271" t="s">
        <v>2370</v>
      </c>
      <c r="C56" s="272"/>
      <c r="D56" s="272"/>
      <c r="E56" s="272"/>
      <c r="F56" s="272"/>
      <c r="G56" s="272"/>
      <c r="H56" s="273"/>
      <c r="J56" s="215"/>
    </row>
    <row r="57" spans="2:10" ht="15.75" thickBot="1" x14ac:dyDescent="0.3">
      <c r="B57" s="128" t="s">
        <v>15</v>
      </c>
      <c r="C57" s="129"/>
      <c r="D57" s="129" t="s">
        <v>9</v>
      </c>
      <c r="E57" s="129">
        <v>1</v>
      </c>
      <c r="F57" s="129" t="s">
        <v>204</v>
      </c>
      <c r="G57" s="130" t="s">
        <v>199</v>
      </c>
      <c r="H57" s="233">
        <f>_xlfn.XLOOKUP(B57,lista!A:A,lista!C:C,0,0)</f>
        <v>26092</v>
      </c>
      <c r="J57" s="215"/>
    </row>
    <row r="58" spans="2:10" ht="15.75" thickBot="1" x14ac:dyDescent="0.3">
      <c r="B58" s="268" t="s">
        <v>831</v>
      </c>
      <c r="C58" s="269"/>
      <c r="D58" s="269"/>
      <c r="E58" s="269"/>
      <c r="F58" s="269"/>
      <c r="G58" s="269"/>
      <c r="H58" s="270"/>
      <c r="J58" s="215"/>
    </row>
    <row r="59" spans="2:10" ht="12.75" customHeight="1" x14ac:dyDescent="0.25">
      <c r="B59" s="23" t="s">
        <v>463</v>
      </c>
      <c r="C59" s="25"/>
      <c r="D59" s="25" t="s">
        <v>373</v>
      </c>
      <c r="E59" s="25">
        <v>600</v>
      </c>
      <c r="F59" s="25" t="s">
        <v>480</v>
      </c>
      <c r="G59" s="25" t="s">
        <v>2341</v>
      </c>
      <c r="H59" s="223">
        <f>_xlfn.XLOOKUP(B59,lista!A:A,lista!C:C,0,0)</f>
        <v>37544</v>
      </c>
      <c r="J59" s="215"/>
    </row>
    <row r="60" spans="2:10" x14ac:dyDescent="0.25">
      <c r="B60" s="14" t="s">
        <v>474</v>
      </c>
      <c r="C60" s="15"/>
      <c r="D60" s="16" t="s">
        <v>373</v>
      </c>
      <c r="E60" s="16">
        <v>400</v>
      </c>
      <c r="F60" s="16" t="s">
        <v>478</v>
      </c>
      <c r="G60" s="16" t="s">
        <v>2342</v>
      </c>
      <c r="H60" s="224">
        <v>33673</v>
      </c>
      <c r="J60" s="215"/>
    </row>
    <row r="61" spans="2:10" x14ac:dyDescent="0.25">
      <c r="B61" s="14" t="s">
        <v>482</v>
      </c>
      <c r="C61" s="15"/>
      <c r="D61" s="16" t="s">
        <v>373</v>
      </c>
      <c r="E61" s="16">
        <v>400</v>
      </c>
      <c r="F61" s="16" t="s">
        <v>477</v>
      </c>
      <c r="G61" s="16" t="s">
        <v>2342</v>
      </c>
      <c r="H61" s="224">
        <v>39055</v>
      </c>
      <c r="J61" s="215"/>
    </row>
    <row r="62" spans="2:10" x14ac:dyDescent="0.25">
      <c r="B62" s="14" t="s">
        <v>483</v>
      </c>
      <c r="C62" s="15"/>
      <c r="D62" s="16" t="s">
        <v>373</v>
      </c>
      <c r="E62" s="16">
        <v>400</v>
      </c>
      <c r="F62" s="16" t="s">
        <v>475</v>
      </c>
      <c r="G62" s="16" t="s">
        <v>2342</v>
      </c>
      <c r="H62" s="224">
        <v>49140</v>
      </c>
      <c r="J62" s="215"/>
    </row>
    <row r="63" spans="2:10" x14ac:dyDescent="0.25">
      <c r="B63" s="26" t="s">
        <v>484</v>
      </c>
      <c r="C63" s="17"/>
      <c r="D63" s="18" t="s">
        <v>373</v>
      </c>
      <c r="E63" s="18">
        <v>200</v>
      </c>
      <c r="F63" s="18" t="s">
        <v>476</v>
      </c>
      <c r="G63" s="18" t="s">
        <v>2343</v>
      </c>
      <c r="H63" s="224">
        <v>30348</v>
      </c>
      <c r="J63" s="215"/>
    </row>
    <row r="64" spans="2:10" x14ac:dyDescent="0.25">
      <c r="B64" s="26" t="s">
        <v>469</v>
      </c>
      <c r="C64" s="17"/>
      <c r="D64" s="18" t="s">
        <v>373</v>
      </c>
      <c r="E64" s="18">
        <v>200</v>
      </c>
      <c r="F64" s="18" t="s">
        <v>479</v>
      </c>
      <c r="G64" s="18" t="s">
        <v>2343</v>
      </c>
      <c r="H64" s="224">
        <f>_xlfn.XLOOKUP(B64,lista!A:A,lista!C:C,0,0)</f>
        <v>28301</v>
      </c>
      <c r="J64" s="215"/>
    </row>
    <row r="65" spans="2:10" ht="15.75" thickBot="1" x14ac:dyDescent="0.3">
      <c r="B65" s="26" t="s">
        <v>470</v>
      </c>
      <c r="C65" s="17"/>
      <c r="D65" s="18" t="s">
        <v>373</v>
      </c>
      <c r="E65" s="18">
        <v>200</v>
      </c>
      <c r="F65" s="18" t="s">
        <v>481</v>
      </c>
      <c r="G65" s="18" t="s">
        <v>2343</v>
      </c>
      <c r="H65" s="225">
        <f>_xlfn.XLOOKUP(B65,lista!A:A,lista!C:C,0,0)</f>
        <v>34372</v>
      </c>
      <c r="J65" s="215"/>
    </row>
    <row r="66" spans="2:10" ht="14.25" customHeight="1" thickBot="1" x14ac:dyDescent="0.3">
      <c r="B66" s="268" t="s">
        <v>413</v>
      </c>
      <c r="C66" s="269"/>
      <c r="D66" s="269"/>
      <c r="E66" s="269"/>
      <c r="F66" s="269"/>
      <c r="G66" s="269"/>
      <c r="H66" s="270"/>
      <c r="J66" s="215"/>
    </row>
    <row r="67" spans="2:10" x14ac:dyDescent="0.25">
      <c r="B67" s="11" t="s">
        <v>17</v>
      </c>
      <c r="C67" s="12"/>
      <c r="D67" s="13" t="s">
        <v>16</v>
      </c>
      <c r="E67" s="13">
        <v>250</v>
      </c>
      <c r="F67" s="13" t="s">
        <v>2412</v>
      </c>
      <c r="G67" s="13" t="s">
        <v>2344</v>
      </c>
      <c r="H67" s="226">
        <f>_xlfn.XLOOKUP(B67,lista!A:A,lista!C:C,0,0)</f>
        <v>21515</v>
      </c>
      <c r="J67" s="215"/>
    </row>
    <row r="68" spans="2:10" x14ac:dyDescent="0.25">
      <c r="B68" s="14" t="s">
        <v>18</v>
      </c>
      <c r="C68" s="15"/>
      <c r="D68" s="16" t="s">
        <v>16</v>
      </c>
      <c r="E68" s="16">
        <v>250</v>
      </c>
      <c r="F68" s="16" t="s">
        <v>2413</v>
      </c>
      <c r="G68" s="16" t="s">
        <v>2345</v>
      </c>
      <c r="H68" s="224">
        <f>_xlfn.XLOOKUP(B68,lista!A:A,lista!C:C,0,0)</f>
        <v>26260</v>
      </c>
      <c r="J68" s="215"/>
    </row>
    <row r="69" spans="2:10" ht="15.75" thickBot="1" x14ac:dyDescent="0.3">
      <c r="B69" s="19" t="s">
        <v>20</v>
      </c>
      <c r="C69" s="20"/>
      <c r="D69" s="21" t="s">
        <v>16</v>
      </c>
      <c r="E69" s="21">
        <v>500</v>
      </c>
      <c r="F69" s="21" t="s">
        <v>424</v>
      </c>
      <c r="G69" s="21" t="s">
        <v>414</v>
      </c>
      <c r="H69" s="227">
        <f>_xlfn.XLOOKUP(B69,lista!A:A,lista!C:C,0,0)</f>
        <v>21216</v>
      </c>
      <c r="J69" s="215"/>
    </row>
    <row r="70" spans="2:10" x14ac:dyDescent="0.25">
      <c r="B70" s="27" t="s">
        <v>419</v>
      </c>
      <c r="C70" s="28"/>
      <c r="D70" s="29"/>
      <c r="E70" s="29"/>
      <c r="F70" s="29"/>
      <c r="G70" s="29"/>
      <c r="H70" s="70" t="s">
        <v>488</v>
      </c>
    </row>
    <row r="71" spans="2:10" x14ac:dyDescent="0.25">
      <c r="B71" s="28"/>
      <c r="C71" s="28"/>
      <c r="D71" s="29"/>
      <c r="E71" s="29"/>
      <c r="F71" s="29"/>
      <c r="G71" s="29"/>
      <c r="H71" s="70"/>
    </row>
  </sheetData>
  <mergeCells count="13">
    <mergeCell ref="B2:H2"/>
    <mergeCell ref="B3:H3"/>
    <mergeCell ref="B58:H58"/>
    <mergeCell ref="B66:H66"/>
    <mergeCell ref="B5:G5"/>
    <mergeCell ref="B15:H15"/>
    <mergeCell ref="B20:H20"/>
    <mergeCell ref="B26:H26"/>
    <mergeCell ref="B56:H56"/>
    <mergeCell ref="B54:H54"/>
    <mergeCell ref="B39:H39"/>
    <mergeCell ref="B45:H45"/>
    <mergeCell ref="B50:H50"/>
  </mergeCells>
  <phoneticPr fontId="10" type="noConversion"/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1224-9C3E-4508-AD22-FCC81B713B95}">
  <dimension ref="A1:T1011"/>
  <sheetViews>
    <sheetView workbookViewId="0">
      <selection activeCell="A10" sqref="A10"/>
    </sheetView>
  </sheetViews>
  <sheetFormatPr baseColWidth="10" defaultColWidth="8.7109375" defaultRowHeight="15" x14ac:dyDescent="0.25"/>
  <cols>
    <col min="1" max="1" width="17.140625" bestFit="1" customWidth="1" collapsed="1"/>
    <col min="2" max="2" width="17.140625" customWidth="1"/>
    <col min="3" max="3" width="70.5703125" bestFit="1" customWidth="1" collapsed="1"/>
    <col min="4" max="4" width="5" bestFit="1" customWidth="1" collapsed="1"/>
    <col min="5" max="5" width="16.85546875" customWidth="1" collapsed="1"/>
    <col min="6" max="6" width="21" bestFit="1" customWidth="1" collapsed="1"/>
    <col min="7" max="7" width="13.42578125" bestFit="1" customWidth="1" collapsed="1"/>
    <col min="8" max="8" width="18.42578125" bestFit="1" customWidth="1" collapsed="1"/>
    <col min="9" max="9" width="23.140625" bestFit="1" customWidth="1" collapsed="1"/>
    <col min="10" max="10" width="39.140625" bestFit="1" customWidth="1" collapsed="1"/>
    <col min="11" max="11" width="14.42578125" bestFit="1" customWidth="1" collapsed="1"/>
    <col min="12" max="12" width="19.5703125" bestFit="1" customWidth="1" collapsed="1"/>
    <col min="13" max="13" width="22.7109375" bestFit="1" customWidth="1" collapsed="1"/>
    <col min="14" max="14" width="27.28515625" bestFit="1" customWidth="1" collapsed="1"/>
    <col min="15" max="15" width="28.140625" bestFit="1" customWidth="1" collapsed="1"/>
    <col min="16" max="16" width="14.5703125" bestFit="1" customWidth="1" collapsed="1"/>
    <col min="17" max="17" width="12.42578125" bestFit="1" customWidth="1" collapsed="1"/>
    <col min="18" max="18" width="20.85546875" bestFit="1" customWidth="1" collapsed="1"/>
    <col min="19" max="19" width="8" customWidth="1" collapsed="1"/>
  </cols>
  <sheetData>
    <row r="1" spans="1:20" x14ac:dyDescent="0.25">
      <c r="A1" t="s">
        <v>2015</v>
      </c>
    </row>
    <row r="3" spans="1:20" x14ac:dyDescent="0.25">
      <c r="A3" t="s">
        <v>2016</v>
      </c>
      <c r="B3" t="s">
        <v>2017</v>
      </c>
      <c r="C3" t="s">
        <v>1060</v>
      </c>
      <c r="D3" t="s">
        <v>2018</v>
      </c>
      <c r="E3" t="s">
        <v>2023</v>
      </c>
      <c r="F3" t="s">
        <v>2019</v>
      </c>
      <c r="G3" t="s">
        <v>2020</v>
      </c>
      <c r="H3" t="s">
        <v>2021</v>
      </c>
      <c r="I3" t="s">
        <v>2022</v>
      </c>
      <c r="J3" t="s">
        <v>2023</v>
      </c>
      <c r="K3" t="s">
        <v>2024</v>
      </c>
      <c r="L3" t="s">
        <v>2025</v>
      </c>
      <c r="M3" t="s">
        <v>2026</v>
      </c>
      <c r="N3" t="s">
        <v>2027</v>
      </c>
      <c r="O3" t="s">
        <v>2028</v>
      </c>
      <c r="P3" t="s">
        <v>2029</v>
      </c>
      <c r="Q3" t="s">
        <v>2030</v>
      </c>
      <c r="R3" t="s">
        <v>2031</v>
      </c>
      <c r="S3" t="s">
        <v>2032</v>
      </c>
      <c r="T3" t="s">
        <v>2033</v>
      </c>
    </row>
    <row r="4" spans="1:20" x14ac:dyDescent="0.25">
      <c r="A4" s="98" t="s">
        <v>1061</v>
      </c>
      <c r="B4" s="98" t="s">
        <v>1062</v>
      </c>
      <c r="C4" s="98" t="s">
        <v>1063</v>
      </c>
      <c r="D4" s="98" t="s">
        <v>2034</v>
      </c>
      <c r="E4" s="101">
        <v>27785</v>
      </c>
      <c r="F4" s="101">
        <v>219512</v>
      </c>
      <c r="G4" s="98">
        <v>0</v>
      </c>
      <c r="H4" s="101">
        <v>45897</v>
      </c>
      <c r="I4" s="98" t="s">
        <v>2035</v>
      </c>
      <c r="J4" s="98">
        <v>27785</v>
      </c>
      <c r="K4" s="101" t="s">
        <v>2035</v>
      </c>
      <c r="L4" s="98">
        <v>25727</v>
      </c>
      <c r="M4" s="98">
        <v>2058</v>
      </c>
      <c r="N4" s="98">
        <v>8</v>
      </c>
      <c r="O4" s="98" t="s">
        <v>2036</v>
      </c>
      <c r="P4" s="98" t="s">
        <v>2037</v>
      </c>
      <c r="Q4" s="98" t="s">
        <v>2038</v>
      </c>
      <c r="R4" s="98" t="s">
        <v>2039</v>
      </c>
      <c r="S4" t="s">
        <v>2040</v>
      </c>
      <c r="T4" t="s">
        <v>2041</v>
      </c>
    </row>
    <row r="5" spans="1:20" x14ac:dyDescent="0.25">
      <c r="A5" s="98" t="s">
        <v>1064</v>
      </c>
      <c r="B5" s="98" t="s">
        <v>1065</v>
      </c>
      <c r="C5" s="98" t="s">
        <v>1063</v>
      </c>
      <c r="D5" s="98" t="s">
        <v>2034</v>
      </c>
      <c r="E5" s="101">
        <v>27785</v>
      </c>
      <c r="F5" s="101">
        <v>219512</v>
      </c>
      <c r="G5" s="98">
        <v>0</v>
      </c>
      <c r="H5" s="101">
        <v>45897</v>
      </c>
      <c r="I5" s="98" t="s">
        <v>2035</v>
      </c>
      <c r="J5" s="98">
        <v>27785</v>
      </c>
      <c r="K5" s="101" t="s">
        <v>2035</v>
      </c>
      <c r="L5" s="98">
        <v>25727</v>
      </c>
      <c r="M5" s="98">
        <v>2058</v>
      </c>
      <c r="N5" s="98">
        <v>8</v>
      </c>
      <c r="O5" s="98" t="s">
        <v>2036</v>
      </c>
      <c r="P5" s="98" t="s">
        <v>2037</v>
      </c>
      <c r="Q5" s="98" t="s">
        <v>2038</v>
      </c>
      <c r="R5" s="98" t="s">
        <v>2039</v>
      </c>
      <c r="S5" t="s">
        <v>2040</v>
      </c>
      <c r="T5" t="s">
        <v>2041</v>
      </c>
    </row>
    <row r="6" spans="1:20" x14ac:dyDescent="0.25">
      <c r="A6" s="98" t="s">
        <v>1066</v>
      </c>
      <c r="B6" s="98" t="s">
        <v>1067</v>
      </c>
      <c r="C6" s="98" t="s">
        <v>1063</v>
      </c>
      <c r="D6" s="98" t="s">
        <v>2034</v>
      </c>
      <c r="E6" s="101">
        <v>27785</v>
      </c>
      <c r="F6" s="101">
        <v>219512</v>
      </c>
      <c r="G6" s="98">
        <v>0</v>
      </c>
      <c r="H6" s="101">
        <v>45897</v>
      </c>
      <c r="I6" s="98" t="s">
        <v>2035</v>
      </c>
      <c r="J6" s="98">
        <v>27785</v>
      </c>
      <c r="K6" s="101" t="s">
        <v>2035</v>
      </c>
      <c r="L6" s="98">
        <v>25727</v>
      </c>
      <c r="M6" s="98">
        <v>2058</v>
      </c>
      <c r="N6" s="98">
        <v>8</v>
      </c>
      <c r="O6" s="98" t="s">
        <v>2036</v>
      </c>
      <c r="P6" s="98" t="s">
        <v>2037</v>
      </c>
      <c r="Q6" s="98" t="s">
        <v>2038</v>
      </c>
      <c r="R6" s="98" t="s">
        <v>2039</v>
      </c>
      <c r="S6" t="s">
        <v>2040</v>
      </c>
      <c r="T6" t="s">
        <v>2041</v>
      </c>
    </row>
    <row r="7" spans="1:20" x14ac:dyDescent="0.25">
      <c r="A7" s="98" t="s">
        <v>1068</v>
      </c>
      <c r="B7" s="98" t="s">
        <v>1069</v>
      </c>
      <c r="C7" s="98" t="s">
        <v>1063</v>
      </c>
      <c r="D7" s="98" t="s">
        <v>2034</v>
      </c>
      <c r="E7" s="101">
        <v>27785</v>
      </c>
      <c r="F7" s="101">
        <v>219512</v>
      </c>
      <c r="G7" s="98">
        <v>0</v>
      </c>
      <c r="H7" s="101">
        <v>45897</v>
      </c>
      <c r="I7" s="98" t="s">
        <v>2035</v>
      </c>
      <c r="J7" s="98">
        <v>27785</v>
      </c>
      <c r="K7" s="101" t="s">
        <v>2035</v>
      </c>
      <c r="L7" s="98">
        <v>25727</v>
      </c>
      <c r="M7" s="98">
        <v>2058</v>
      </c>
      <c r="N7" s="98">
        <v>8</v>
      </c>
      <c r="O7" s="98" t="s">
        <v>2036</v>
      </c>
      <c r="P7" s="98" t="s">
        <v>2037</v>
      </c>
      <c r="Q7" s="98" t="s">
        <v>2038</v>
      </c>
      <c r="R7" s="98" t="s">
        <v>2039</v>
      </c>
      <c r="S7" t="s">
        <v>2040</v>
      </c>
      <c r="T7" t="s">
        <v>2041</v>
      </c>
    </row>
    <row r="8" spans="1:20" x14ac:dyDescent="0.25">
      <c r="A8" s="98" t="s">
        <v>1070</v>
      </c>
      <c r="B8" s="98" t="s">
        <v>1071</v>
      </c>
      <c r="C8" s="98" t="s">
        <v>1063</v>
      </c>
      <c r="D8" s="98" t="s">
        <v>2034</v>
      </c>
      <c r="E8" s="101">
        <v>27785</v>
      </c>
      <c r="F8" s="101">
        <v>219512</v>
      </c>
      <c r="G8" s="98">
        <v>0</v>
      </c>
      <c r="H8" s="101">
        <v>45897</v>
      </c>
      <c r="I8" s="98" t="s">
        <v>2035</v>
      </c>
      <c r="J8" s="98">
        <v>27785</v>
      </c>
      <c r="K8" s="101" t="s">
        <v>2035</v>
      </c>
      <c r="L8" s="98">
        <v>25727</v>
      </c>
      <c r="M8" s="98">
        <v>2058</v>
      </c>
      <c r="N8" s="98">
        <v>8</v>
      </c>
      <c r="O8" s="98" t="s">
        <v>2036</v>
      </c>
      <c r="P8" s="98" t="s">
        <v>2037</v>
      </c>
      <c r="Q8" s="98" t="s">
        <v>2038</v>
      </c>
      <c r="R8" s="98" t="s">
        <v>2039</v>
      </c>
      <c r="S8" t="s">
        <v>2040</v>
      </c>
      <c r="T8" t="s">
        <v>2041</v>
      </c>
    </row>
    <row r="9" spans="1:20" x14ac:dyDescent="0.25">
      <c r="A9" s="98" t="s">
        <v>1072</v>
      </c>
      <c r="B9" s="98" t="s">
        <v>1073</v>
      </c>
      <c r="C9" s="98" t="s">
        <v>1063</v>
      </c>
      <c r="D9" s="98" t="s">
        <v>2034</v>
      </c>
      <c r="E9" s="101">
        <v>27785</v>
      </c>
      <c r="F9" s="101">
        <v>219512</v>
      </c>
      <c r="G9" s="98">
        <v>0</v>
      </c>
      <c r="H9" s="101">
        <v>45897</v>
      </c>
      <c r="I9" s="98" t="s">
        <v>2035</v>
      </c>
      <c r="J9" s="98">
        <v>27785</v>
      </c>
      <c r="K9" s="101" t="s">
        <v>2035</v>
      </c>
      <c r="L9" s="98">
        <v>25727</v>
      </c>
      <c r="M9" s="98">
        <v>2058</v>
      </c>
      <c r="N9" s="98">
        <v>8</v>
      </c>
      <c r="O9" s="98" t="s">
        <v>2036</v>
      </c>
      <c r="P9" s="98" t="s">
        <v>2037</v>
      </c>
      <c r="Q9" s="98" t="s">
        <v>2038</v>
      </c>
      <c r="R9" s="98" t="s">
        <v>2039</v>
      </c>
      <c r="S9" t="s">
        <v>2040</v>
      </c>
      <c r="T9" t="s">
        <v>2041</v>
      </c>
    </row>
    <row r="10" spans="1:20" x14ac:dyDescent="0.25">
      <c r="A10" s="98" t="s">
        <v>1074</v>
      </c>
      <c r="B10" s="98" t="s">
        <v>1075</v>
      </c>
      <c r="C10" s="98" t="s">
        <v>1063</v>
      </c>
      <c r="D10" s="98" t="s">
        <v>2034</v>
      </c>
      <c r="E10" s="101">
        <v>27785</v>
      </c>
      <c r="F10" s="101">
        <v>219512</v>
      </c>
      <c r="G10" s="98">
        <v>0</v>
      </c>
      <c r="H10" s="101">
        <v>45897</v>
      </c>
      <c r="I10" s="98" t="s">
        <v>2035</v>
      </c>
      <c r="J10" s="98">
        <v>27785</v>
      </c>
      <c r="K10" s="101" t="s">
        <v>2035</v>
      </c>
      <c r="L10" s="98">
        <v>25727</v>
      </c>
      <c r="M10" s="98">
        <v>2058</v>
      </c>
      <c r="N10" s="98">
        <v>8</v>
      </c>
      <c r="O10" s="98" t="s">
        <v>2036</v>
      </c>
      <c r="P10" s="98" t="s">
        <v>2037</v>
      </c>
      <c r="Q10" s="98" t="s">
        <v>2038</v>
      </c>
      <c r="R10" s="98" t="s">
        <v>2039</v>
      </c>
      <c r="S10" t="s">
        <v>2040</v>
      </c>
      <c r="T10" t="s">
        <v>2041</v>
      </c>
    </row>
    <row r="11" spans="1:20" x14ac:dyDescent="0.25">
      <c r="A11" s="98" t="s">
        <v>1076</v>
      </c>
      <c r="B11" s="98" t="s">
        <v>1077</v>
      </c>
      <c r="C11" s="98" t="s">
        <v>1063</v>
      </c>
      <c r="D11" s="98" t="s">
        <v>2034</v>
      </c>
      <c r="E11" s="101">
        <v>27785</v>
      </c>
      <c r="F11" s="101">
        <v>219512</v>
      </c>
      <c r="G11" s="98">
        <v>0</v>
      </c>
      <c r="H11" s="101">
        <v>45897</v>
      </c>
      <c r="I11" s="98" t="s">
        <v>2035</v>
      </c>
      <c r="J11" s="98">
        <v>27785</v>
      </c>
      <c r="K11" s="101" t="s">
        <v>2035</v>
      </c>
      <c r="L11" s="98">
        <v>25727</v>
      </c>
      <c r="M11" s="98">
        <v>2058</v>
      </c>
      <c r="N11" s="98">
        <v>8</v>
      </c>
      <c r="O11" s="98" t="s">
        <v>2036</v>
      </c>
      <c r="P11" s="98" t="s">
        <v>2037</v>
      </c>
      <c r="Q11" s="98" t="s">
        <v>2038</v>
      </c>
      <c r="R11" s="98" t="s">
        <v>2039</v>
      </c>
      <c r="S11" t="s">
        <v>2040</v>
      </c>
      <c r="T11" t="s">
        <v>2041</v>
      </c>
    </row>
    <row r="12" spans="1:20" x14ac:dyDescent="0.25">
      <c r="A12" s="98" t="s">
        <v>1078</v>
      </c>
      <c r="B12" s="98" t="s">
        <v>1079</v>
      </c>
      <c r="C12" s="98" t="s">
        <v>1063</v>
      </c>
      <c r="D12" s="98" t="s">
        <v>2034</v>
      </c>
      <c r="E12" s="101">
        <v>27785</v>
      </c>
      <c r="F12" s="101">
        <v>219512</v>
      </c>
      <c r="G12" s="98">
        <v>0</v>
      </c>
      <c r="H12" s="101">
        <v>45897</v>
      </c>
      <c r="I12" s="98" t="s">
        <v>2035</v>
      </c>
      <c r="J12" s="98">
        <v>27785</v>
      </c>
      <c r="K12" s="101" t="s">
        <v>2035</v>
      </c>
      <c r="L12" s="98">
        <v>25727</v>
      </c>
      <c r="M12" s="98">
        <v>2058</v>
      </c>
      <c r="N12" s="98">
        <v>8</v>
      </c>
      <c r="O12" s="98" t="s">
        <v>2036</v>
      </c>
      <c r="P12" s="98" t="s">
        <v>2037</v>
      </c>
      <c r="Q12" s="98" t="s">
        <v>2038</v>
      </c>
      <c r="R12" s="98" t="s">
        <v>2039</v>
      </c>
      <c r="S12" t="s">
        <v>2040</v>
      </c>
      <c r="T12" t="s">
        <v>2041</v>
      </c>
    </row>
    <row r="13" spans="1:20" x14ac:dyDescent="0.25">
      <c r="A13" s="98" t="s">
        <v>1080</v>
      </c>
      <c r="B13" s="98" t="s">
        <v>1081</v>
      </c>
      <c r="C13" s="98" t="s">
        <v>1063</v>
      </c>
      <c r="D13" s="98" t="s">
        <v>2034</v>
      </c>
      <c r="E13" s="101">
        <v>27785</v>
      </c>
      <c r="F13" s="101">
        <v>219512</v>
      </c>
      <c r="G13" s="98">
        <v>0</v>
      </c>
      <c r="H13" s="101">
        <v>45897</v>
      </c>
      <c r="I13" s="98" t="s">
        <v>2035</v>
      </c>
      <c r="J13" s="98">
        <v>27785</v>
      </c>
      <c r="K13" s="101" t="s">
        <v>2035</v>
      </c>
      <c r="L13" s="98">
        <v>25727</v>
      </c>
      <c r="M13" s="98">
        <v>2058</v>
      </c>
      <c r="N13" s="98">
        <v>8</v>
      </c>
      <c r="O13" s="98" t="s">
        <v>2036</v>
      </c>
      <c r="P13" s="98" t="s">
        <v>2037</v>
      </c>
      <c r="Q13" s="98" t="s">
        <v>2038</v>
      </c>
      <c r="R13" s="98" t="s">
        <v>2039</v>
      </c>
      <c r="S13" t="s">
        <v>2040</v>
      </c>
      <c r="T13" t="s">
        <v>2041</v>
      </c>
    </row>
    <row r="14" spans="1:20" x14ac:dyDescent="0.25">
      <c r="A14" s="98" t="s">
        <v>1082</v>
      </c>
      <c r="B14" s="98" t="s">
        <v>1083</v>
      </c>
      <c r="C14" s="98" t="s">
        <v>1063</v>
      </c>
      <c r="D14" s="98" t="s">
        <v>2034</v>
      </c>
      <c r="E14" s="101">
        <v>27785</v>
      </c>
      <c r="F14" s="101">
        <v>219512</v>
      </c>
      <c r="G14" s="98">
        <v>0</v>
      </c>
      <c r="H14" s="101">
        <v>45897</v>
      </c>
      <c r="I14" s="98" t="s">
        <v>2035</v>
      </c>
      <c r="J14" s="98">
        <v>27785</v>
      </c>
      <c r="K14" s="101" t="s">
        <v>2035</v>
      </c>
      <c r="L14" s="98">
        <v>25727</v>
      </c>
      <c r="M14" s="98">
        <v>2058</v>
      </c>
      <c r="N14" s="98">
        <v>8</v>
      </c>
      <c r="O14" s="98" t="s">
        <v>2036</v>
      </c>
      <c r="P14" s="98" t="s">
        <v>2037</v>
      </c>
      <c r="Q14" s="98" t="s">
        <v>2038</v>
      </c>
      <c r="R14" s="98" t="s">
        <v>2039</v>
      </c>
      <c r="S14" t="s">
        <v>2040</v>
      </c>
      <c r="T14" t="s">
        <v>2041</v>
      </c>
    </row>
    <row r="15" spans="1:20" x14ac:dyDescent="0.25">
      <c r="A15" s="98" t="s">
        <v>1084</v>
      </c>
      <c r="B15" s="98" t="s">
        <v>1085</v>
      </c>
      <c r="C15" s="98" t="s">
        <v>1063</v>
      </c>
      <c r="D15" s="98" t="s">
        <v>2034</v>
      </c>
      <c r="E15" s="101">
        <v>27785</v>
      </c>
      <c r="F15" s="101">
        <v>219512</v>
      </c>
      <c r="G15" s="98">
        <v>0</v>
      </c>
      <c r="H15" s="101">
        <v>45897</v>
      </c>
      <c r="I15" s="98" t="s">
        <v>2035</v>
      </c>
      <c r="J15" s="98">
        <v>27785</v>
      </c>
      <c r="K15" s="101" t="s">
        <v>2035</v>
      </c>
      <c r="L15" s="98">
        <v>25727</v>
      </c>
      <c r="M15" s="98">
        <v>2058</v>
      </c>
      <c r="N15" s="98">
        <v>8</v>
      </c>
      <c r="O15" s="98" t="s">
        <v>2036</v>
      </c>
      <c r="P15" s="98" t="s">
        <v>2037</v>
      </c>
      <c r="Q15" s="98" t="s">
        <v>2038</v>
      </c>
      <c r="R15" s="98" t="s">
        <v>2039</v>
      </c>
      <c r="S15" t="s">
        <v>2040</v>
      </c>
      <c r="T15" t="s">
        <v>2041</v>
      </c>
    </row>
    <row r="16" spans="1:20" x14ac:dyDescent="0.25">
      <c r="A16" s="98" t="s">
        <v>1086</v>
      </c>
      <c r="B16" s="98" t="s">
        <v>1087</v>
      </c>
      <c r="C16" s="98" t="s">
        <v>1063</v>
      </c>
      <c r="D16" s="98" t="s">
        <v>2034</v>
      </c>
      <c r="E16" s="101">
        <v>46898</v>
      </c>
      <c r="F16" s="101">
        <v>219512</v>
      </c>
      <c r="G16" s="98">
        <v>0</v>
      </c>
      <c r="H16" s="101">
        <v>45817</v>
      </c>
      <c r="I16" s="98" t="s">
        <v>2035</v>
      </c>
      <c r="J16" s="98">
        <v>46898</v>
      </c>
      <c r="K16" s="101" t="s">
        <v>2035</v>
      </c>
      <c r="L16" s="98">
        <v>53293</v>
      </c>
      <c r="M16" s="98">
        <v>-6395</v>
      </c>
      <c r="N16" s="98">
        <v>-12</v>
      </c>
      <c r="O16" s="98" t="s">
        <v>2036</v>
      </c>
      <c r="P16" s="98" t="s">
        <v>2037</v>
      </c>
      <c r="Q16" s="98" t="s">
        <v>2038</v>
      </c>
      <c r="R16" s="98" t="s">
        <v>2039</v>
      </c>
      <c r="S16" t="s">
        <v>2040</v>
      </c>
      <c r="T16" t="s">
        <v>2042</v>
      </c>
    </row>
    <row r="17" spans="1:20" x14ac:dyDescent="0.25">
      <c r="A17" s="98" t="s">
        <v>1088</v>
      </c>
      <c r="B17" s="98" t="s">
        <v>1089</v>
      </c>
      <c r="C17" s="98" t="s">
        <v>1063</v>
      </c>
      <c r="D17" s="98" t="s">
        <v>2034</v>
      </c>
      <c r="E17" s="101">
        <v>46898</v>
      </c>
      <c r="F17" s="101">
        <v>219512</v>
      </c>
      <c r="G17" s="98">
        <v>0</v>
      </c>
      <c r="H17" s="101">
        <v>45817</v>
      </c>
      <c r="I17" s="98" t="s">
        <v>2035</v>
      </c>
      <c r="J17" s="98">
        <v>46898</v>
      </c>
      <c r="K17" s="101" t="s">
        <v>2035</v>
      </c>
      <c r="L17" s="98">
        <v>53293</v>
      </c>
      <c r="M17" s="98">
        <v>-6395</v>
      </c>
      <c r="N17" s="98">
        <v>-12</v>
      </c>
      <c r="O17" s="98" t="s">
        <v>2036</v>
      </c>
      <c r="P17" s="98" t="s">
        <v>2037</v>
      </c>
      <c r="Q17" s="98" t="s">
        <v>2038</v>
      </c>
      <c r="R17" s="98" t="s">
        <v>2039</v>
      </c>
      <c r="S17" t="s">
        <v>2040</v>
      </c>
      <c r="T17" t="s">
        <v>2042</v>
      </c>
    </row>
    <row r="18" spans="1:20" x14ac:dyDescent="0.25">
      <c r="A18" s="98" t="s">
        <v>1090</v>
      </c>
      <c r="B18" s="98" t="s">
        <v>1091</v>
      </c>
      <c r="C18" s="98" t="s">
        <v>1063</v>
      </c>
      <c r="D18" s="98" t="s">
        <v>2034</v>
      </c>
      <c r="E18" s="101">
        <v>46898</v>
      </c>
      <c r="F18" s="101">
        <v>219512</v>
      </c>
      <c r="G18" s="98">
        <v>0</v>
      </c>
      <c r="H18" s="101">
        <v>45817</v>
      </c>
      <c r="I18" s="98" t="s">
        <v>2035</v>
      </c>
      <c r="J18" s="98">
        <v>46898</v>
      </c>
      <c r="K18" s="101" t="s">
        <v>2035</v>
      </c>
      <c r="L18" s="98">
        <v>53293</v>
      </c>
      <c r="M18" s="98">
        <v>-6395</v>
      </c>
      <c r="N18" s="98">
        <v>-12</v>
      </c>
      <c r="O18" s="98" t="s">
        <v>2036</v>
      </c>
      <c r="P18" s="98" t="s">
        <v>2037</v>
      </c>
      <c r="Q18" s="98" t="s">
        <v>2038</v>
      </c>
      <c r="R18" s="98" t="s">
        <v>2039</v>
      </c>
      <c r="S18" t="s">
        <v>2040</v>
      </c>
      <c r="T18" t="s">
        <v>2042</v>
      </c>
    </row>
    <row r="19" spans="1:20" x14ac:dyDescent="0.25">
      <c r="A19" s="98" t="s">
        <v>1092</v>
      </c>
      <c r="B19" s="98" t="s">
        <v>1093</v>
      </c>
      <c r="C19" s="98" t="s">
        <v>1063</v>
      </c>
      <c r="D19" s="98" t="s">
        <v>2034</v>
      </c>
      <c r="E19" s="101">
        <v>46898</v>
      </c>
      <c r="F19" s="101">
        <v>219512</v>
      </c>
      <c r="G19" s="98">
        <v>0</v>
      </c>
      <c r="H19" s="101">
        <v>45817</v>
      </c>
      <c r="I19" s="98" t="s">
        <v>2035</v>
      </c>
      <c r="J19" s="98">
        <v>46898</v>
      </c>
      <c r="K19" s="101" t="s">
        <v>2035</v>
      </c>
      <c r="L19" s="98">
        <v>53293</v>
      </c>
      <c r="M19" s="98">
        <v>-6395</v>
      </c>
      <c r="N19" s="98">
        <v>-12</v>
      </c>
      <c r="O19" s="98" t="s">
        <v>2036</v>
      </c>
      <c r="P19" s="98" t="s">
        <v>2037</v>
      </c>
      <c r="Q19" s="98" t="s">
        <v>2038</v>
      </c>
      <c r="R19" s="98" t="s">
        <v>2039</v>
      </c>
      <c r="S19" t="s">
        <v>2040</v>
      </c>
      <c r="T19" t="s">
        <v>2042</v>
      </c>
    </row>
    <row r="20" spans="1:20" x14ac:dyDescent="0.25">
      <c r="A20" s="98" t="s">
        <v>1094</v>
      </c>
      <c r="B20" s="98" t="s">
        <v>1095</v>
      </c>
      <c r="C20" s="98" t="s">
        <v>1063</v>
      </c>
      <c r="D20" s="98" t="s">
        <v>2034</v>
      </c>
      <c r="E20" s="101">
        <v>46898</v>
      </c>
      <c r="F20" s="101">
        <v>219512</v>
      </c>
      <c r="G20" s="98">
        <v>0</v>
      </c>
      <c r="H20" s="101">
        <v>45817</v>
      </c>
      <c r="I20" s="98" t="s">
        <v>2035</v>
      </c>
      <c r="J20" s="98">
        <v>46898</v>
      </c>
      <c r="K20" s="101" t="s">
        <v>2035</v>
      </c>
      <c r="L20" s="98">
        <v>53293</v>
      </c>
      <c r="M20" s="98">
        <v>-6395</v>
      </c>
      <c r="N20" s="98">
        <v>-12</v>
      </c>
      <c r="O20" s="98" t="s">
        <v>2036</v>
      </c>
      <c r="P20" s="98" t="s">
        <v>2037</v>
      </c>
      <c r="Q20" s="98" t="s">
        <v>2038</v>
      </c>
      <c r="R20" s="98" t="s">
        <v>2039</v>
      </c>
      <c r="S20" t="s">
        <v>2040</v>
      </c>
      <c r="T20" t="s">
        <v>2042</v>
      </c>
    </row>
    <row r="21" spans="1:20" x14ac:dyDescent="0.25">
      <c r="A21" s="98" t="s">
        <v>1096</v>
      </c>
      <c r="B21" s="98" t="s">
        <v>1097</v>
      </c>
      <c r="C21" s="98" t="s">
        <v>1063</v>
      </c>
      <c r="D21" s="98" t="s">
        <v>2034</v>
      </c>
      <c r="E21" s="101">
        <v>46898</v>
      </c>
      <c r="F21" s="101">
        <v>219512</v>
      </c>
      <c r="G21" s="98">
        <v>0</v>
      </c>
      <c r="H21" s="101">
        <v>45817</v>
      </c>
      <c r="I21" s="98" t="s">
        <v>2035</v>
      </c>
      <c r="J21" s="98">
        <v>46898</v>
      </c>
      <c r="K21" s="101" t="s">
        <v>2035</v>
      </c>
      <c r="L21" s="98">
        <v>53293</v>
      </c>
      <c r="M21" s="98">
        <v>-6395</v>
      </c>
      <c r="N21" s="98">
        <v>-12</v>
      </c>
      <c r="O21" s="98" t="s">
        <v>2036</v>
      </c>
      <c r="P21" s="98" t="s">
        <v>2037</v>
      </c>
      <c r="Q21" s="98" t="s">
        <v>2038</v>
      </c>
      <c r="R21" s="98" t="s">
        <v>2039</v>
      </c>
      <c r="S21" t="s">
        <v>2040</v>
      </c>
      <c r="T21" t="s">
        <v>2042</v>
      </c>
    </row>
    <row r="22" spans="1:20" x14ac:dyDescent="0.25">
      <c r="A22" s="98" t="s">
        <v>1098</v>
      </c>
      <c r="B22" s="98" t="s">
        <v>1099</v>
      </c>
      <c r="C22" s="98" t="s">
        <v>1063</v>
      </c>
      <c r="D22" s="98" t="s">
        <v>2034</v>
      </c>
      <c r="E22" s="101">
        <v>46898</v>
      </c>
      <c r="F22" s="101">
        <v>219512</v>
      </c>
      <c r="G22" s="98">
        <v>0</v>
      </c>
      <c r="H22" s="101">
        <v>45817</v>
      </c>
      <c r="I22" s="98" t="s">
        <v>2035</v>
      </c>
      <c r="J22" s="98">
        <v>46898</v>
      </c>
      <c r="K22" s="101" t="s">
        <v>2035</v>
      </c>
      <c r="L22" s="98">
        <v>53293</v>
      </c>
      <c r="M22" s="98">
        <v>-6395</v>
      </c>
      <c r="N22" s="98">
        <v>-12</v>
      </c>
      <c r="O22" s="98" t="s">
        <v>2036</v>
      </c>
      <c r="P22" s="98" t="s">
        <v>2037</v>
      </c>
      <c r="Q22" s="98" t="s">
        <v>2038</v>
      </c>
      <c r="R22" s="98" t="s">
        <v>2039</v>
      </c>
      <c r="S22" t="s">
        <v>2040</v>
      </c>
      <c r="T22" t="s">
        <v>2042</v>
      </c>
    </row>
    <row r="23" spans="1:20" x14ac:dyDescent="0.25">
      <c r="A23" s="98" t="s">
        <v>1100</v>
      </c>
      <c r="B23" s="98" t="s">
        <v>1101</v>
      </c>
      <c r="C23" s="98" t="s">
        <v>1063</v>
      </c>
      <c r="D23" s="98" t="s">
        <v>2034</v>
      </c>
      <c r="E23" s="101">
        <v>70370</v>
      </c>
      <c r="F23" s="101">
        <v>219512</v>
      </c>
      <c r="G23" s="98">
        <v>0</v>
      </c>
      <c r="H23" s="101">
        <v>45919</v>
      </c>
      <c r="I23" s="98" t="s">
        <v>2035</v>
      </c>
      <c r="J23" s="98">
        <v>70370</v>
      </c>
      <c r="K23" s="101" t="s">
        <v>2035</v>
      </c>
      <c r="L23" s="98">
        <v>62830</v>
      </c>
      <c r="M23" s="98">
        <v>7540</v>
      </c>
      <c r="N23" s="98">
        <v>12</v>
      </c>
      <c r="O23" s="98" t="s">
        <v>2036</v>
      </c>
      <c r="P23" s="98" t="s">
        <v>2037</v>
      </c>
      <c r="Q23" s="98" t="s">
        <v>2038</v>
      </c>
      <c r="R23" s="98" t="s">
        <v>2039</v>
      </c>
      <c r="S23" t="s">
        <v>2040</v>
      </c>
      <c r="T23" t="s">
        <v>2043</v>
      </c>
    </row>
    <row r="24" spans="1:20" x14ac:dyDescent="0.25">
      <c r="A24" s="98" t="s">
        <v>0</v>
      </c>
      <c r="B24" s="98" t="s">
        <v>1</v>
      </c>
      <c r="C24" s="98" t="s">
        <v>1063</v>
      </c>
      <c r="D24" s="98" t="s">
        <v>2034</v>
      </c>
      <c r="E24" s="101">
        <v>70370</v>
      </c>
      <c r="F24" s="101">
        <v>219512</v>
      </c>
      <c r="G24" s="98">
        <v>0</v>
      </c>
      <c r="H24" s="101">
        <v>45919</v>
      </c>
      <c r="I24" s="98" t="s">
        <v>2035</v>
      </c>
      <c r="J24" s="98">
        <v>70370</v>
      </c>
      <c r="K24" s="101" t="s">
        <v>2035</v>
      </c>
      <c r="L24" s="98">
        <v>62830</v>
      </c>
      <c r="M24" s="98">
        <v>7540</v>
      </c>
      <c r="N24" s="98">
        <v>12</v>
      </c>
      <c r="O24" s="98" t="s">
        <v>2036</v>
      </c>
      <c r="P24" s="98" t="s">
        <v>2037</v>
      </c>
      <c r="Q24" s="98" t="s">
        <v>2038</v>
      </c>
      <c r="R24" s="98" t="s">
        <v>2039</v>
      </c>
      <c r="S24" t="s">
        <v>2040</v>
      </c>
      <c r="T24" t="s">
        <v>2043</v>
      </c>
    </row>
    <row r="25" spans="1:20" x14ac:dyDescent="0.25">
      <c r="A25" s="98" t="s">
        <v>2</v>
      </c>
      <c r="B25" s="98" t="s">
        <v>3</v>
      </c>
      <c r="C25" s="98" t="s">
        <v>1063</v>
      </c>
      <c r="D25" s="98" t="s">
        <v>2034</v>
      </c>
      <c r="E25" s="101">
        <v>70370</v>
      </c>
      <c r="F25" s="101">
        <v>219512</v>
      </c>
      <c r="G25" s="98">
        <v>0</v>
      </c>
      <c r="H25" s="101">
        <v>45919</v>
      </c>
      <c r="I25" s="98" t="s">
        <v>2035</v>
      </c>
      <c r="J25" s="98">
        <v>70370</v>
      </c>
      <c r="K25" s="101" t="s">
        <v>2035</v>
      </c>
      <c r="L25" s="98">
        <v>62830</v>
      </c>
      <c r="M25" s="98">
        <v>7540</v>
      </c>
      <c r="N25" s="98">
        <v>12</v>
      </c>
      <c r="O25" s="98" t="s">
        <v>2036</v>
      </c>
      <c r="P25" s="98" t="s">
        <v>2037</v>
      </c>
      <c r="Q25" s="98" t="s">
        <v>2038</v>
      </c>
      <c r="R25" s="98" t="s">
        <v>2039</v>
      </c>
      <c r="S25" t="s">
        <v>2040</v>
      </c>
      <c r="T25" t="s">
        <v>2043</v>
      </c>
    </row>
    <row r="26" spans="1:20" x14ac:dyDescent="0.25">
      <c r="A26" s="98" t="s">
        <v>4</v>
      </c>
      <c r="B26" s="98" t="s">
        <v>5</v>
      </c>
      <c r="C26" s="98" t="s">
        <v>1063</v>
      </c>
      <c r="D26" s="98" t="s">
        <v>2034</v>
      </c>
      <c r="E26" s="101">
        <v>70370</v>
      </c>
      <c r="F26" s="101">
        <v>219512</v>
      </c>
      <c r="G26" s="98">
        <v>0</v>
      </c>
      <c r="H26" s="101">
        <v>45919</v>
      </c>
      <c r="I26" s="98" t="s">
        <v>2035</v>
      </c>
      <c r="J26" s="98">
        <v>70370</v>
      </c>
      <c r="K26" s="101" t="s">
        <v>2035</v>
      </c>
      <c r="L26" s="98">
        <v>62830</v>
      </c>
      <c r="M26" s="98">
        <v>7540</v>
      </c>
      <c r="N26" s="98">
        <v>12</v>
      </c>
      <c r="O26" s="98" t="s">
        <v>2036</v>
      </c>
      <c r="P26" s="98" t="s">
        <v>2037</v>
      </c>
      <c r="Q26" s="98" t="s">
        <v>2038</v>
      </c>
      <c r="R26" s="98" t="s">
        <v>2039</v>
      </c>
      <c r="S26" t="s">
        <v>2040</v>
      </c>
      <c r="T26" t="s">
        <v>2043</v>
      </c>
    </row>
    <row r="27" spans="1:20" x14ac:dyDescent="0.25">
      <c r="A27" s="98" t="s">
        <v>6</v>
      </c>
      <c r="B27" s="98" t="s">
        <v>7</v>
      </c>
      <c r="C27" s="98" t="s">
        <v>1063</v>
      </c>
      <c r="D27" s="98" t="s">
        <v>2034</v>
      </c>
      <c r="E27" s="101">
        <v>70370</v>
      </c>
      <c r="F27" s="101">
        <v>219512</v>
      </c>
      <c r="G27" s="98">
        <v>0</v>
      </c>
      <c r="H27" s="101">
        <v>45919</v>
      </c>
      <c r="I27" s="98" t="s">
        <v>2035</v>
      </c>
      <c r="J27" s="98">
        <v>70370</v>
      </c>
      <c r="K27" s="101" t="s">
        <v>2035</v>
      </c>
      <c r="L27" s="98">
        <v>62830</v>
      </c>
      <c r="M27" s="98">
        <v>7540</v>
      </c>
      <c r="N27" s="98">
        <v>12</v>
      </c>
      <c r="O27" s="98" t="s">
        <v>2036</v>
      </c>
      <c r="P27" s="98" t="s">
        <v>2037</v>
      </c>
      <c r="Q27" s="98" t="s">
        <v>2038</v>
      </c>
      <c r="R27" s="98" t="s">
        <v>2039</v>
      </c>
      <c r="S27" t="s">
        <v>2040</v>
      </c>
      <c r="T27" t="s">
        <v>2043</v>
      </c>
    </row>
    <row r="28" spans="1:20" x14ac:dyDescent="0.25">
      <c r="A28" s="98" t="s">
        <v>1102</v>
      </c>
      <c r="B28" s="98" t="s">
        <v>1103</v>
      </c>
      <c r="C28" s="98" t="s">
        <v>1104</v>
      </c>
      <c r="D28" s="98" t="s">
        <v>2034</v>
      </c>
      <c r="E28" s="101">
        <v>4937</v>
      </c>
      <c r="F28" s="101">
        <v>219512</v>
      </c>
      <c r="G28" s="98">
        <v>0</v>
      </c>
      <c r="H28" s="101">
        <v>45762</v>
      </c>
      <c r="I28" s="98" t="s">
        <v>2035</v>
      </c>
      <c r="J28" s="98">
        <v>4937</v>
      </c>
      <c r="K28" s="101" t="s">
        <v>2035</v>
      </c>
      <c r="L28" s="98">
        <v>4488</v>
      </c>
      <c r="M28" s="98">
        <v>449</v>
      </c>
      <c r="N28" s="98">
        <v>10</v>
      </c>
      <c r="O28" s="98" t="s">
        <v>2036</v>
      </c>
      <c r="P28" s="98" t="s">
        <v>2037</v>
      </c>
      <c r="Q28" s="98" t="s">
        <v>2038</v>
      </c>
      <c r="R28" s="98" t="s">
        <v>2039</v>
      </c>
      <c r="S28" t="s">
        <v>2040</v>
      </c>
      <c r="T28" t="s">
        <v>2044</v>
      </c>
    </row>
    <row r="29" spans="1:20" x14ac:dyDescent="0.25">
      <c r="A29" s="98" t="s">
        <v>1105</v>
      </c>
      <c r="B29" s="98" t="s">
        <v>1106</v>
      </c>
      <c r="C29" s="98" t="s">
        <v>1104</v>
      </c>
      <c r="D29" s="98" t="s">
        <v>2034</v>
      </c>
      <c r="E29" s="101">
        <v>4937</v>
      </c>
      <c r="F29" s="101">
        <v>219512</v>
      </c>
      <c r="G29" s="98">
        <v>0</v>
      </c>
      <c r="H29" s="101">
        <v>45762</v>
      </c>
      <c r="I29" s="98" t="s">
        <v>2035</v>
      </c>
      <c r="J29" s="98">
        <v>4937</v>
      </c>
      <c r="K29" s="101" t="s">
        <v>2035</v>
      </c>
      <c r="L29" s="98">
        <v>4488</v>
      </c>
      <c r="M29" s="98">
        <v>449</v>
      </c>
      <c r="N29" s="98">
        <v>10</v>
      </c>
      <c r="O29" s="98" t="s">
        <v>2036</v>
      </c>
      <c r="P29" s="98" t="s">
        <v>2037</v>
      </c>
      <c r="Q29" s="98" t="s">
        <v>2038</v>
      </c>
      <c r="R29" s="98" t="s">
        <v>2039</v>
      </c>
      <c r="S29" t="s">
        <v>2040</v>
      </c>
      <c r="T29" t="s">
        <v>2044</v>
      </c>
    </row>
    <row r="30" spans="1:20" x14ac:dyDescent="0.25">
      <c r="A30" s="98" t="s">
        <v>1107</v>
      </c>
      <c r="B30" s="98" t="s">
        <v>1108</v>
      </c>
      <c r="C30" s="98" t="s">
        <v>1104</v>
      </c>
      <c r="D30" s="98" t="s">
        <v>2034</v>
      </c>
      <c r="E30" s="101">
        <v>1150</v>
      </c>
      <c r="F30" s="101">
        <v>219512</v>
      </c>
      <c r="G30" s="98">
        <v>0</v>
      </c>
      <c r="H30" s="101">
        <v>45791</v>
      </c>
      <c r="I30" s="98" t="s">
        <v>2035</v>
      </c>
      <c r="J30" s="98">
        <v>1150</v>
      </c>
      <c r="K30" s="101" t="s">
        <v>2035</v>
      </c>
      <c r="L30" s="98">
        <v>2118</v>
      </c>
      <c r="M30" s="98">
        <v>-968</v>
      </c>
      <c r="N30" s="98">
        <v>-45.7</v>
      </c>
      <c r="O30" s="98" t="s">
        <v>2036</v>
      </c>
      <c r="P30" s="98" t="s">
        <v>2037</v>
      </c>
      <c r="Q30" s="98" t="s">
        <v>2038</v>
      </c>
      <c r="R30" s="98" t="s">
        <v>2039</v>
      </c>
      <c r="S30" t="s">
        <v>2040</v>
      </c>
      <c r="T30" t="s">
        <v>2044</v>
      </c>
    </row>
    <row r="31" spans="1:20" x14ac:dyDescent="0.25">
      <c r="A31" s="98" t="s">
        <v>1109</v>
      </c>
      <c r="B31" s="98" t="s">
        <v>1110</v>
      </c>
      <c r="C31" s="98" t="s">
        <v>1104</v>
      </c>
      <c r="D31" s="98" t="s">
        <v>2034</v>
      </c>
      <c r="E31" s="101">
        <v>2118</v>
      </c>
      <c r="F31" s="101">
        <v>219512</v>
      </c>
      <c r="G31" s="98">
        <v>0</v>
      </c>
      <c r="H31" s="101">
        <v>45766</v>
      </c>
      <c r="I31" s="98" t="s">
        <v>2035</v>
      </c>
      <c r="J31" s="98">
        <v>2118</v>
      </c>
      <c r="K31" s="101" t="s">
        <v>2035</v>
      </c>
      <c r="L31" s="98">
        <v>2330</v>
      </c>
      <c r="M31" s="98">
        <v>-212</v>
      </c>
      <c r="N31" s="98">
        <v>-9.1</v>
      </c>
      <c r="O31" s="98" t="s">
        <v>2036</v>
      </c>
      <c r="P31" s="98" t="s">
        <v>2037</v>
      </c>
      <c r="Q31" s="98" t="s">
        <v>2038</v>
      </c>
      <c r="R31" s="98" t="s">
        <v>2039</v>
      </c>
      <c r="S31" t="s">
        <v>2040</v>
      </c>
      <c r="T31" t="s">
        <v>2044</v>
      </c>
    </row>
    <row r="32" spans="1:20" x14ac:dyDescent="0.25">
      <c r="A32" s="98" t="s">
        <v>1111</v>
      </c>
      <c r="B32" s="98" t="s">
        <v>1112</v>
      </c>
      <c r="C32" s="98" t="s">
        <v>1063</v>
      </c>
      <c r="D32" s="98" t="s">
        <v>2034</v>
      </c>
      <c r="E32" s="101">
        <v>59301</v>
      </c>
      <c r="F32" s="101">
        <v>219512</v>
      </c>
      <c r="G32" s="98">
        <v>0</v>
      </c>
      <c r="H32" s="101">
        <v>45766</v>
      </c>
      <c r="I32" s="98" t="s">
        <v>2035</v>
      </c>
      <c r="J32" s="98">
        <v>59301</v>
      </c>
      <c r="K32" s="101" t="s">
        <v>2035</v>
      </c>
      <c r="L32" s="98">
        <v>65231</v>
      </c>
      <c r="M32" s="98">
        <v>-5930</v>
      </c>
      <c r="N32" s="98">
        <v>-9.09</v>
      </c>
      <c r="O32" s="98" t="s">
        <v>2036</v>
      </c>
      <c r="P32" s="98" t="s">
        <v>2037</v>
      </c>
      <c r="Q32" s="98" t="s">
        <v>2038</v>
      </c>
      <c r="R32" s="98" t="s">
        <v>2045</v>
      </c>
      <c r="S32" t="s">
        <v>2040</v>
      </c>
      <c r="T32" t="s">
        <v>2043</v>
      </c>
    </row>
    <row r="33" spans="1:20" x14ac:dyDescent="0.25">
      <c r="A33" s="98" t="s">
        <v>10</v>
      </c>
      <c r="B33" s="98" t="s">
        <v>198</v>
      </c>
      <c r="C33" s="98" t="s">
        <v>1063</v>
      </c>
      <c r="D33" s="98" t="s">
        <v>2034</v>
      </c>
      <c r="E33" s="101">
        <v>65231</v>
      </c>
      <c r="F33" s="101">
        <v>219512</v>
      </c>
      <c r="G33" s="98">
        <v>0</v>
      </c>
      <c r="H33" s="101">
        <v>45880</v>
      </c>
      <c r="I33" s="98" t="s">
        <v>2035</v>
      </c>
      <c r="J33" s="98">
        <v>65231</v>
      </c>
      <c r="K33" s="101" t="s">
        <v>2035</v>
      </c>
      <c r="L33" s="98">
        <v>59301</v>
      </c>
      <c r="M33" s="98">
        <v>5930</v>
      </c>
      <c r="N33" s="98">
        <v>10</v>
      </c>
      <c r="O33" s="98" t="s">
        <v>2036</v>
      </c>
      <c r="P33" s="98" t="s">
        <v>2037</v>
      </c>
      <c r="Q33" s="98" t="s">
        <v>2038</v>
      </c>
      <c r="R33" s="98" t="s">
        <v>2045</v>
      </c>
      <c r="S33" t="s">
        <v>2040</v>
      </c>
      <c r="T33" t="s">
        <v>2043</v>
      </c>
    </row>
    <row r="34" spans="1:20" x14ac:dyDescent="0.25">
      <c r="A34" s="98" t="s">
        <v>11</v>
      </c>
      <c r="B34" s="98" t="s">
        <v>200</v>
      </c>
      <c r="C34" s="98" t="s">
        <v>1063</v>
      </c>
      <c r="D34" s="98" t="s">
        <v>2034</v>
      </c>
      <c r="E34" s="101">
        <v>65231</v>
      </c>
      <c r="F34" s="101">
        <v>219512</v>
      </c>
      <c r="G34" s="98">
        <v>0</v>
      </c>
      <c r="H34" s="101">
        <v>45880</v>
      </c>
      <c r="I34" s="98" t="s">
        <v>2035</v>
      </c>
      <c r="J34" s="98">
        <v>65231</v>
      </c>
      <c r="K34" s="101" t="s">
        <v>2035</v>
      </c>
      <c r="L34" s="98">
        <v>59301</v>
      </c>
      <c r="M34" s="98">
        <v>5930</v>
      </c>
      <c r="N34" s="98">
        <v>10</v>
      </c>
      <c r="O34" s="98" t="s">
        <v>2036</v>
      </c>
      <c r="P34" s="98" t="s">
        <v>2037</v>
      </c>
      <c r="Q34" s="98" t="s">
        <v>2038</v>
      </c>
      <c r="R34" s="98" t="s">
        <v>2045</v>
      </c>
      <c r="S34" t="s">
        <v>2040</v>
      </c>
      <c r="T34" t="s">
        <v>2043</v>
      </c>
    </row>
    <row r="35" spans="1:20" x14ac:dyDescent="0.25">
      <c r="A35" s="98" t="s">
        <v>12</v>
      </c>
      <c r="B35" s="98" t="s">
        <v>1113</v>
      </c>
      <c r="C35" s="98" t="s">
        <v>1063</v>
      </c>
      <c r="D35" s="98" t="s">
        <v>2034</v>
      </c>
      <c r="E35" s="101">
        <v>65231</v>
      </c>
      <c r="F35" s="101">
        <v>219512</v>
      </c>
      <c r="G35" s="98">
        <v>0</v>
      </c>
      <c r="H35" s="101">
        <v>45880</v>
      </c>
      <c r="I35" s="98" t="s">
        <v>2035</v>
      </c>
      <c r="J35" s="98">
        <v>65231</v>
      </c>
      <c r="K35" s="101" t="s">
        <v>2035</v>
      </c>
      <c r="L35" s="98">
        <v>59301</v>
      </c>
      <c r="M35" s="98">
        <v>5930</v>
      </c>
      <c r="N35" s="98">
        <v>10</v>
      </c>
      <c r="O35" s="98" t="s">
        <v>2036</v>
      </c>
      <c r="P35" s="98" t="s">
        <v>2037</v>
      </c>
      <c r="Q35" s="98" t="s">
        <v>2038</v>
      </c>
      <c r="R35" s="98" t="s">
        <v>2039</v>
      </c>
      <c r="S35" t="s">
        <v>2040</v>
      </c>
      <c r="T35" t="s">
        <v>2043</v>
      </c>
    </row>
    <row r="36" spans="1:20" x14ac:dyDescent="0.25">
      <c r="A36" s="98" t="s">
        <v>13</v>
      </c>
      <c r="B36" s="98" t="s">
        <v>202</v>
      </c>
      <c r="C36" s="98" t="s">
        <v>1114</v>
      </c>
      <c r="D36" s="98" t="s">
        <v>2034</v>
      </c>
      <c r="E36" s="101">
        <v>65231</v>
      </c>
      <c r="F36" s="101">
        <v>219512</v>
      </c>
      <c r="G36" s="98">
        <v>0</v>
      </c>
      <c r="H36" s="101">
        <v>45880</v>
      </c>
      <c r="I36" s="98" t="s">
        <v>2035</v>
      </c>
      <c r="J36" s="98">
        <v>65231</v>
      </c>
      <c r="K36" s="101" t="s">
        <v>2035</v>
      </c>
      <c r="L36" s="98">
        <v>59301</v>
      </c>
      <c r="M36" s="98">
        <v>5930</v>
      </c>
      <c r="N36" s="98">
        <v>10</v>
      </c>
      <c r="O36" s="98" t="s">
        <v>2036</v>
      </c>
      <c r="P36" s="98" t="s">
        <v>2037</v>
      </c>
      <c r="Q36" s="98" t="s">
        <v>2038</v>
      </c>
      <c r="R36" s="98" t="s">
        <v>2045</v>
      </c>
      <c r="S36" t="s">
        <v>2040</v>
      </c>
      <c r="T36" t="s">
        <v>2043</v>
      </c>
    </row>
    <row r="37" spans="1:20" x14ac:dyDescent="0.25">
      <c r="A37" s="98" t="s">
        <v>14</v>
      </c>
      <c r="B37" s="98" t="s">
        <v>203</v>
      </c>
      <c r="C37" s="98" t="s">
        <v>1063</v>
      </c>
      <c r="D37" s="98" t="s">
        <v>2034</v>
      </c>
      <c r="E37" s="101">
        <v>65231</v>
      </c>
      <c r="F37" s="101">
        <v>219512</v>
      </c>
      <c r="G37" s="98">
        <v>0</v>
      </c>
      <c r="H37" s="101">
        <v>45880</v>
      </c>
      <c r="I37" s="98" t="s">
        <v>2035</v>
      </c>
      <c r="J37" s="98">
        <v>65231</v>
      </c>
      <c r="K37" s="101" t="s">
        <v>2035</v>
      </c>
      <c r="L37" s="98">
        <v>59301</v>
      </c>
      <c r="M37" s="98">
        <v>5930</v>
      </c>
      <c r="N37" s="98">
        <v>10</v>
      </c>
      <c r="O37" s="98" t="s">
        <v>2036</v>
      </c>
      <c r="P37" s="98" t="s">
        <v>2037</v>
      </c>
      <c r="Q37" s="98" t="s">
        <v>2038</v>
      </c>
      <c r="R37" s="98" t="s">
        <v>2039</v>
      </c>
      <c r="S37" t="s">
        <v>2040</v>
      </c>
      <c r="T37" t="s">
        <v>2043</v>
      </c>
    </row>
    <row r="38" spans="1:20" x14ac:dyDescent="0.25">
      <c r="A38" s="98" t="s">
        <v>15</v>
      </c>
      <c r="B38" s="98" t="s">
        <v>1115</v>
      </c>
      <c r="C38" s="98" t="s">
        <v>1063</v>
      </c>
      <c r="D38" s="98" t="s">
        <v>2034</v>
      </c>
      <c r="E38" s="101">
        <v>28927</v>
      </c>
      <c r="F38" s="101">
        <v>219512</v>
      </c>
      <c r="G38" s="98">
        <v>0</v>
      </c>
      <c r="H38" s="101">
        <v>45766</v>
      </c>
      <c r="I38" s="98" t="s">
        <v>2035</v>
      </c>
      <c r="J38" s="98">
        <v>28927</v>
      </c>
      <c r="K38" s="101" t="s">
        <v>2035</v>
      </c>
      <c r="L38" s="98">
        <v>31820</v>
      </c>
      <c r="M38" s="98">
        <v>-2893</v>
      </c>
      <c r="N38" s="98">
        <v>-9.09</v>
      </c>
      <c r="O38" s="98" t="s">
        <v>2036</v>
      </c>
      <c r="P38" s="98" t="s">
        <v>2037</v>
      </c>
      <c r="Q38" s="98" t="s">
        <v>2038</v>
      </c>
      <c r="R38" s="98" t="s">
        <v>2039</v>
      </c>
      <c r="S38" t="s">
        <v>2040</v>
      </c>
      <c r="T38" t="s">
        <v>2043</v>
      </c>
    </row>
    <row r="39" spans="1:20" x14ac:dyDescent="0.25">
      <c r="A39" s="98" t="s">
        <v>1116</v>
      </c>
      <c r="B39" s="98" t="s">
        <v>1117</v>
      </c>
      <c r="C39" s="98" t="s">
        <v>1104</v>
      </c>
      <c r="D39" s="98" t="s">
        <v>2034</v>
      </c>
      <c r="E39" s="101">
        <v>2335</v>
      </c>
      <c r="F39" s="101">
        <v>219512</v>
      </c>
      <c r="G39" s="98">
        <v>0</v>
      </c>
      <c r="H39" s="101">
        <v>45897</v>
      </c>
      <c r="I39" s="98" t="s">
        <v>2035</v>
      </c>
      <c r="J39" s="98">
        <v>2335</v>
      </c>
      <c r="K39" s="101" t="s">
        <v>2035</v>
      </c>
      <c r="L39" s="98">
        <v>2182</v>
      </c>
      <c r="M39" s="98">
        <v>153</v>
      </c>
      <c r="N39" s="98">
        <v>7.01</v>
      </c>
      <c r="O39" s="98" t="s">
        <v>2036</v>
      </c>
      <c r="P39" s="98" t="s">
        <v>2037</v>
      </c>
      <c r="Q39" s="98" t="s">
        <v>2038</v>
      </c>
      <c r="R39" s="98" t="s">
        <v>2039</v>
      </c>
      <c r="S39" t="s">
        <v>2040</v>
      </c>
      <c r="T39" t="s">
        <v>2046</v>
      </c>
    </row>
    <row r="40" spans="1:20" x14ac:dyDescent="0.25">
      <c r="A40" s="98" t="s">
        <v>1118</v>
      </c>
      <c r="B40" s="98" t="s">
        <v>1119</v>
      </c>
      <c r="C40" s="98" t="s">
        <v>1104</v>
      </c>
      <c r="D40" s="98" t="s">
        <v>2034</v>
      </c>
      <c r="E40" s="101">
        <v>2335</v>
      </c>
      <c r="F40" s="101">
        <v>219512</v>
      </c>
      <c r="G40" s="98">
        <v>0</v>
      </c>
      <c r="H40" s="101">
        <v>45897</v>
      </c>
      <c r="I40" s="98" t="s">
        <v>2035</v>
      </c>
      <c r="J40" s="98">
        <v>2335</v>
      </c>
      <c r="K40" s="101" t="s">
        <v>2035</v>
      </c>
      <c r="L40" s="98">
        <v>2182</v>
      </c>
      <c r="M40" s="98">
        <v>153</v>
      </c>
      <c r="N40" s="98">
        <v>7.01</v>
      </c>
      <c r="O40" s="98" t="s">
        <v>2036</v>
      </c>
      <c r="P40" s="98" t="s">
        <v>2037</v>
      </c>
      <c r="Q40" s="98" t="s">
        <v>2038</v>
      </c>
      <c r="R40" s="98" t="s">
        <v>2039</v>
      </c>
      <c r="S40" t="s">
        <v>2040</v>
      </c>
      <c r="T40" t="s">
        <v>2046</v>
      </c>
    </row>
    <row r="41" spans="1:20" x14ac:dyDescent="0.25">
      <c r="A41" s="98" t="s">
        <v>1120</v>
      </c>
      <c r="B41" s="98" t="s">
        <v>1121</v>
      </c>
      <c r="C41" s="98" t="s">
        <v>1104</v>
      </c>
      <c r="D41" s="98" t="s">
        <v>2034</v>
      </c>
      <c r="E41" s="101">
        <v>5319</v>
      </c>
      <c r="F41" s="101">
        <v>219512</v>
      </c>
      <c r="G41" s="98">
        <v>0</v>
      </c>
      <c r="H41" s="101">
        <v>45766</v>
      </c>
      <c r="I41" s="98" t="s">
        <v>2035</v>
      </c>
      <c r="J41" s="98">
        <v>5319</v>
      </c>
      <c r="K41" s="101" t="s">
        <v>2035</v>
      </c>
      <c r="L41" s="98">
        <v>5851</v>
      </c>
      <c r="M41" s="98">
        <v>-532</v>
      </c>
      <c r="N41" s="98">
        <v>-9.09</v>
      </c>
      <c r="O41" s="98" t="s">
        <v>2036</v>
      </c>
      <c r="P41" s="98" t="s">
        <v>2037</v>
      </c>
      <c r="Q41" s="98" t="s">
        <v>2038</v>
      </c>
      <c r="R41" s="98" t="s">
        <v>2039</v>
      </c>
      <c r="S41" t="s">
        <v>2040</v>
      </c>
      <c r="T41" t="s">
        <v>2046</v>
      </c>
    </row>
    <row r="42" spans="1:20" x14ac:dyDescent="0.25">
      <c r="A42" s="98" t="s">
        <v>1122</v>
      </c>
      <c r="B42" s="98" t="s">
        <v>1123</v>
      </c>
      <c r="C42" s="98" t="s">
        <v>1104</v>
      </c>
      <c r="D42" s="98" t="s">
        <v>2034</v>
      </c>
      <c r="E42" s="101">
        <v>5319</v>
      </c>
      <c r="F42" s="101">
        <v>219512</v>
      </c>
      <c r="G42" s="98">
        <v>0</v>
      </c>
      <c r="H42" s="101">
        <v>45766</v>
      </c>
      <c r="I42" s="98" t="s">
        <v>2035</v>
      </c>
      <c r="J42" s="98">
        <v>5319</v>
      </c>
      <c r="K42" s="101" t="s">
        <v>2035</v>
      </c>
      <c r="L42" s="98">
        <v>5851</v>
      </c>
      <c r="M42" s="98">
        <v>-532</v>
      </c>
      <c r="N42" s="98">
        <v>-9.09</v>
      </c>
      <c r="O42" s="98" t="s">
        <v>2036</v>
      </c>
      <c r="P42" s="98" t="s">
        <v>2037</v>
      </c>
      <c r="Q42" s="98" t="s">
        <v>2038</v>
      </c>
      <c r="R42" s="98" t="s">
        <v>2039</v>
      </c>
      <c r="S42" t="s">
        <v>2040</v>
      </c>
      <c r="T42" t="s">
        <v>2046</v>
      </c>
    </row>
    <row r="43" spans="1:20" x14ac:dyDescent="0.25">
      <c r="A43" s="98" t="s">
        <v>1124</v>
      </c>
      <c r="B43" s="98" t="s">
        <v>1125</v>
      </c>
      <c r="C43" s="98" t="s">
        <v>1104</v>
      </c>
      <c r="D43" s="98" t="s">
        <v>2034</v>
      </c>
      <c r="E43" s="101">
        <v>2118</v>
      </c>
      <c r="F43" s="101">
        <v>219512</v>
      </c>
      <c r="G43" s="98">
        <v>0</v>
      </c>
      <c r="H43" s="101">
        <v>45766</v>
      </c>
      <c r="I43" s="98" t="s">
        <v>2035</v>
      </c>
      <c r="J43" s="98">
        <v>2118</v>
      </c>
      <c r="K43" s="101" t="s">
        <v>2035</v>
      </c>
      <c r="L43" s="98">
        <v>2330</v>
      </c>
      <c r="M43" s="98">
        <v>-212</v>
      </c>
      <c r="N43" s="98">
        <v>-9.1</v>
      </c>
      <c r="O43" s="98" t="s">
        <v>2036</v>
      </c>
      <c r="P43" s="98" t="s">
        <v>2037</v>
      </c>
      <c r="Q43" s="98" t="s">
        <v>2038</v>
      </c>
      <c r="R43" s="98" t="s">
        <v>2039</v>
      </c>
      <c r="S43" t="s">
        <v>2040</v>
      </c>
      <c r="T43" t="s">
        <v>2046</v>
      </c>
    </row>
    <row r="44" spans="1:20" x14ac:dyDescent="0.25">
      <c r="A44" s="98" t="s">
        <v>1126</v>
      </c>
      <c r="B44" s="98" t="s">
        <v>1127</v>
      </c>
      <c r="C44" s="98" t="s">
        <v>1104</v>
      </c>
      <c r="D44" s="98" t="s">
        <v>2034</v>
      </c>
      <c r="E44" s="101">
        <v>2118</v>
      </c>
      <c r="F44" s="101">
        <v>219512</v>
      </c>
      <c r="G44" s="98">
        <v>0</v>
      </c>
      <c r="H44" s="101">
        <v>45766</v>
      </c>
      <c r="I44" s="98" t="s">
        <v>2035</v>
      </c>
      <c r="J44" s="98">
        <v>2118</v>
      </c>
      <c r="K44" s="101" t="s">
        <v>2035</v>
      </c>
      <c r="L44" s="98">
        <v>2330</v>
      </c>
      <c r="M44" s="98">
        <v>-212</v>
      </c>
      <c r="N44" s="98">
        <v>-9.1</v>
      </c>
      <c r="O44" s="98" t="s">
        <v>2036</v>
      </c>
      <c r="P44" s="98" t="s">
        <v>2037</v>
      </c>
      <c r="Q44" s="98" t="s">
        <v>2038</v>
      </c>
      <c r="R44" s="98" t="s">
        <v>2039</v>
      </c>
      <c r="S44" t="s">
        <v>2040</v>
      </c>
      <c r="T44" t="s">
        <v>2046</v>
      </c>
    </row>
    <row r="45" spans="1:20" x14ac:dyDescent="0.25">
      <c r="A45" s="98" t="s">
        <v>1128</v>
      </c>
      <c r="B45" s="98" t="s">
        <v>1129</v>
      </c>
      <c r="C45" s="98" t="s">
        <v>1104</v>
      </c>
      <c r="D45" s="98" t="s">
        <v>2034</v>
      </c>
      <c r="E45" s="101">
        <v>2118</v>
      </c>
      <c r="F45" s="101">
        <v>219512</v>
      </c>
      <c r="G45" s="98">
        <v>0</v>
      </c>
      <c r="H45" s="101">
        <v>45766</v>
      </c>
      <c r="I45" s="98" t="s">
        <v>2035</v>
      </c>
      <c r="J45" s="98">
        <v>2118</v>
      </c>
      <c r="K45" s="101" t="s">
        <v>2035</v>
      </c>
      <c r="L45" s="98">
        <v>2330</v>
      </c>
      <c r="M45" s="98">
        <v>-212</v>
      </c>
      <c r="N45" s="98">
        <v>-9.1</v>
      </c>
      <c r="O45" s="98" t="s">
        <v>2036</v>
      </c>
      <c r="P45" s="98" t="s">
        <v>2037</v>
      </c>
      <c r="Q45" s="98" t="s">
        <v>2038</v>
      </c>
      <c r="R45" s="98" t="s">
        <v>2039</v>
      </c>
      <c r="S45" t="s">
        <v>2040</v>
      </c>
      <c r="T45" t="s">
        <v>2046</v>
      </c>
    </row>
    <row r="46" spans="1:20" x14ac:dyDescent="0.25">
      <c r="A46" s="98" t="s">
        <v>1130</v>
      </c>
      <c r="B46" s="98" t="s">
        <v>1131</v>
      </c>
      <c r="C46" s="98" t="s">
        <v>1104</v>
      </c>
      <c r="D46" s="98" t="s">
        <v>2034</v>
      </c>
      <c r="E46" s="101">
        <v>2118</v>
      </c>
      <c r="F46" s="101">
        <v>219512</v>
      </c>
      <c r="G46" s="98">
        <v>0</v>
      </c>
      <c r="H46" s="101">
        <v>45766</v>
      </c>
      <c r="I46" s="98" t="s">
        <v>2035</v>
      </c>
      <c r="J46" s="98">
        <v>2118</v>
      </c>
      <c r="K46" s="101" t="s">
        <v>2035</v>
      </c>
      <c r="L46" s="98">
        <v>2330</v>
      </c>
      <c r="M46" s="98">
        <v>-212</v>
      </c>
      <c r="N46" s="98">
        <v>-9.1</v>
      </c>
      <c r="O46" s="98" t="s">
        <v>2036</v>
      </c>
      <c r="P46" s="98" t="s">
        <v>2037</v>
      </c>
      <c r="Q46" s="98" t="s">
        <v>2038</v>
      </c>
      <c r="R46" s="98" t="s">
        <v>2039</v>
      </c>
      <c r="S46" t="s">
        <v>2040</v>
      </c>
      <c r="T46" t="s">
        <v>2046</v>
      </c>
    </row>
    <row r="47" spans="1:20" x14ac:dyDescent="0.25">
      <c r="A47" s="98" t="s">
        <v>1132</v>
      </c>
      <c r="B47" s="98" t="s">
        <v>1133</v>
      </c>
      <c r="C47" s="98" t="s">
        <v>1104</v>
      </c>
      <c r="D47" s="98" t="s">
        <v>2034</v>
      </c>
      <c r="E47" s="101">
        <v>2118</v>
      </c>
      <c r="F47" s="101">
        <v>219512</v>
      </c>
      <c r="G47" s="98">
        <v>0</v>
      </c>
      <c r="H47" s="101">
        <v>45766</v>
      </c>
      <c r="I47" s="98" t="s">
        <v>2035</v>
      </c>
      <c r="J47" s="98">
        <v>2118</v>
      </c>
      <c r="K47" s="101" t="s">
        <v>2035</v>
      </c>
      <c r="L47" s="98">
        <v>2330</v>
      </c>
      <c r="M47" s="98">
        <v>-212</v>
      </c>
      <c r="N47" s="98">
        <v>-9.1</v>
      </c>
      <c r="O47" s="98" t="s">
        <v>2036</v>
      </c>
      <c r="P47" s="98" t="s">
        <v>2037</v>
      </c>
      <c r="Q47" s="98" t="s">
        <v>2038</v>
      </c>
      <c r="R47" s="98" t="s">
        <v>2039</v>
      </c>
      <c r="S47" t="s">
        <v>2040</v>
      </c>
      <c r="T47" t="s">
        <v>2046</v>
      </c>
    </row>
    <row r="48" spans="1:20" x14ac:dyDescent="0.25">
      <c r="A48" s="98" t="s">
        <v>1134</v>
      </c>
      <c r="B48" s="98" t="s">
        <v>1135</v>
      </c>
      <c r="C48" s="98" t="s">
        <v>1136</v>
      </c>
      <c r="D48" s="98" t="s">
        <v>2034</v>
      </c>
      <c r="E48" s="101">
        <v>11995</v>
      </c>
      <c r="F48" s="101">
        <v>219512</v>
      </c>
      <c r="G48" s="98">
        <v>0</v>
      </c>
      <c r="H48" s="101">
        <v>45817</v>
      </c>
      <c r="I48" s="98" t="s">
        <v>2035</v>
      </c>
      <c r="J48" s="98">
        <v>11995</v>
      </c>
      <c r="K48" s="101" t="s">
        <v>2035</v>
      </c>
      <c r="L48" s="98">
        <v>13038</v>
      </c>
      <c r="M48" s="98">
        <v>-1043</v>
      </c>
      <c r="N48" s="98">
        <v>-8</v>
      </c>
      <c r="O48" s="98" t="s">
        <v>2036</v>
      </c>
      <c r="P48" s="98" t="s">
        <v>2037</v>
      </c>
      <c r="Q48" s="98" t="s">
        <v>2038</v>
      </c>
      <c r="R48" s="98" t="s">
        <v>2039</v>
      </c>
      <c r="S48" t="s">
        <v>2047</v>
      </c>
      <c r="T48" t="s">
        <v>2048</v>
      </c>
    </row>
    <row r="49" spans="1:20" x14ac:dyDescent="0.25">
      <c r="A49" s="98" t="s">
        <v>1137</v>
      </c>
      <c r="B49" s="98" t="s">
        <v>1138</v>
      </c>
      <c r="C49" s="98" t="s">
        <v>1136</v>
      </c>
      <c r="D49" s="98" t="s">
        <v>2034</v>
      </c>
      <c r="E49" s="101">
        <v>12982</v>
      </c>
      <c r="F49" s="101">
        <v>219512</v>
      </c>
      <c r="G49" s="98">
        <v>0</v>
      </c>
      <c r="H49" s="101">
        <v>45817</v>
      </c>
      <c r="I49" s="98" t="s">
        <v>2035</v>
      </c>
      <c r="J49" s="98">
        <v>12982</v>
      </c>
      <c r="K49" s="101" t="s">
        <v>2035</v>
      </c>
      <c r="L49" s="98">
        <v>14111</v>
      </c>
      <c r="M49" s="98">
        <v>-1129</v>
      </c>
      <c r="N49" s="98">
        <v>-8</v>
      </c>
      <c r="O49" s="98" t="s">
        <v>2036</v>
      </c>
      <c r="P49" s="98" t="s">
        <v>2037</v>
      </c>
      <c r="Q49" s="98" t="s">
        <v>2038</v>
      </c>
      <c r="R49" s="98" t="s">
        <v>2039</v>
      </c>
      <c r="S49" t="s">
        <v>2047</v>
      </c>
      <c r="T49" t="s">
        <v>2048</v>
      </c>
    </row>
    <row r="50" spans="1:20" x14ac:dyDescent="0.25">
      <c r="A50" s="98" t="s">
        <v>1139</v>
      </c>
      <c r="B50" s="98" t="s">
        <v>1140</v>
      </c>
      <c r="C50" s="98" t="s">
        <v>1136</v>
      </c>
      <c r="D50" s="98" t="s">
        <v>2034</v>
      </c>
      <c r="E50" s="101">
        <v>15132</v>
      </c>
      <c r="F50" s="101">
        <v>219512</v>
      </c>
      <c r="G50" s="98">
        <v>0</v>
      </c>
      <c r="H50" s="101">
        <v>45817</v>
      </c>
      <c r="I50" s="98" t="s">
        <v>2035</v>
      </c>
      <c r="J50" s="98">
        <v>15132</v>
      </c>
      <c r="K50" s="101" t="s">
        <v>2035</v>
      </c>
      <c r="L50" s="98">
        <v>16448</v>
      </c>
      <c r="M50" s="98">
        <v>-1316</v>
      </c>
      <c r="N50" s="98">
        <v>-8</v>
      </c>
      <c r="O50" s="98" t="s">
        <v>2036</v>
      </c>
      <c r="P50" s="98" t="s">
        <v>2037</v>
      </c>
      <c r="Q50" s="98" t="s">
        <v>2038</v>
      </c>
      <c r="R50" s="98" t="s">
        <v>2039</v>
      </c>
      <c r="S50" t="s">
        <v>2047</v>
      </c>
      <c r="T50" t="s">
        <v>2048</v>
      </c>
    </row>
    <row r="51" spans="1:20" x14ac:dyDescent="0.25">
      <c r="A51" s="98" t="s">
        <v>1141</v>
      </c>
      <c r="B51" s="98" t="s">
        <v>1142</v>
      </c>
      <c r="C51" s="98" t="s">
        <v>1136</v>
      </c>
      <c r="D51" s="98" t="s">
        <v>2034</v>
      </c>
      <c r="E51" s="101">
        <v>17141</v>
      </c>
      <c r="F51" s="101">
        <v>219512</v>
      </c>
      <c r="G51" s="98">
        <v>0</v>
      </c>
      <c r="H51" s="101">
        <v>45817</v>
      </c>
      <c r="I51" s="98" t="s">
        <v>2035</v>
      </c>
      <c r="J51" s="98">
        <v>17141</v>
      </c>
      <c r="K51" s="101" t="s">
        <v>2035</v>
      </c>
      <c r="L51" s="98">
        <v>18631</v>
      </c>
      <c r="M51" s="98">
        <v>-1490</v>
      </c>
      <c r="N51" s="98">
        <v>-8</v>
      </c>
      <c r="O51" s="98" t="s">
        <v>2036</v>
      </c>
      <c r="P51" s="98" t="s">
        <v>2037</v>
      </c>
      <c r="Q51" s="98" t="s">
        <v>2038</v>
      </c>
      <c r="R51" s="98" t="s">
        <v>2039</v>
      </c>
      <c r="S51" t="s">
        <v>2047</v>
      </c>
      <c r="T51" t="s">
        <v>2048</v>
      </c>
    </row>
    <row r="52" spans="1:20" x14ac:dyDescent="0.25">
      <c r="A52" s="98" t="s">
        <v>1143</v>
      </c>
      <c r="B52" s="98" t="s">
        <v>1144</v>
      </c>
      <c r="C52" s="98" t="s">
        <v>1136</v>
      </c>
      <c r="D52" s="98" t="s">
        <v>2034</v>
      </c>
      <c r="E52" s="101">
        <v>17978</v>
      </c>
      <c r="F52" s="101">
        <v>219512</v>
      </c>
      <c r="G52" s="98">
        <v>0</v>
      </c>
      <c r="H52" s="101">
        <v>45817</v>
      </c>
      <c r="I52" s="98" t="s">
        <v>2035</v>
      </c>
      <c r="J52" s="98">
        <v>17978</v>
      </c>
      <c r="K52" s="101" t="s">
        <v>2035</v>
      </c>
      <c r="L52" s="98">
        <v>19541</v>
      </c>
      <c r="M52" s="98">
        <v>-1563</v>
      </c>
      <c r="N52" s="98">
        <v>-8</v>
      </c>
      <c r="O52" s="98" t="s">
        <v>2036</v>
      </c>
      <c r="P52" s="98" t="s">
        <v>2037</v>
      </c>
      <c r="Q52" s="98" t="s">
        <v>2038</v>
      </c>
      <c r="R52" s="98" t="s">
        <v>2039</v>
      </c>
      <c r="S52" t="s">
        <v>2047</v>
      </c>
      <c r="T52" t="s">
        <v>2048</v>
      </c>
    </row>
    <row r="53" spans="1:20" x14ac:dyDescent="0.25">
      <c r="A53" s="98" t="s">
        <v>1145</v>
      </c>
      <c r="B53" s="98" t="s">
        <v>1146</v>
      </c>
      <c r="C53" s="98" t="s">
        <v>1136</v>
      </c>
      <c r="D53" s="98" t="s">
        <v>2034</v>
      </c>
      <c r="E53" s="101">
        <v>21132</v>
      </c>
      <c r="F53" s="101">
        <v>219512</v>
      </c>
      <c r="G53" s="98">
        <v>0</v>
      </c>
      <c r="H53" s="101">
        <v>45817</v>
      </c>
      <c r="I53" s="98" t="s">
        <v>2035</v>
      </c>
      <c r="J53" s="98">
        <v>21132</v>
      </c>
      <c r="K53" s="101" t="s">
        <v>2035</v>
      </c>
      <c r="L53" s="98">
        <v>21563</v>
      </c>
      <c r="M53" s="98">
        <v>-431</v>
      </c>
      <c r="N53" s="98">
        <v>-2</v>
      </c>
      <c r="O53" s="98" t="s">
        <v>2036</v>
      </c>
      <c r="P53" s="98" t="s">
        <v>2037</v>
      </c>
      <c r="Q53" s="98" t="s">
        <v>2038</v>
      </c>
      <c r="R53" s="98" t="s">
        <v>2039</v>
      </c>
      <c r="S53" t="s">
        <v>2047</v>
      </c>
      <c r="T53" t="s">
        <v>2048</v>
      </c>
    </row>
    <row r="54" spans="1:20" x14ac:dyDescent="0.25">
      <c r="A54" s="98" t="s">
        <v>1147</v>
      </c>
      <c r="B54" s="98" t="s">
        <v>1148</v>
      </c>
      <c r="C54" s="98" t="s">
        <v>1136</v>
      </c>
      <c r="D54" s="98" t="s">
        <v>2034</v>
      </c>
      <c r="E54" s="101">
        <v>25069</v>
      </c>
      <c r="F54" s="101">
        <v>219512</v>
      </c>
      <c r="G54" s="98">
        <v>0</v>
      </c>
      <c r="H54" s="101">
        <v>45897</v>
      </c>
      <c r="I54" s="98" t="s">
        <v>2035</v>
      </c>
      <c r="J54" s="98">
        <v>25069</v>
      </c>
      <c r="K54" s="101" t="s">
        <v>2035</v>
      </c>
      <c r="L54" s="98">
        <v>23429</v>
      </c>
      <c r="M54" s="98">
        <v>1640</v>
      </c>
      <c r="N54" s="98">
        <v>7</v>
      </c>
      <c r="O54" s="98" t="s">
        <v>2036</v>
      </c>
      <c r="P54" s="98" t="s">
        <v>2037</v>
      </c>
      <c r="Q54" s="98" t="s">
        <v>2038</v>
      </c>
      <c r="R54" s="98" t="s">
        <v>2039</v>
      </c>
      <c r="S54" t="s">
        <v>2047</v>
      </c>
      <c r="T54" t="s">
        <v>2048</v>
      </c>
    </row>
    <row r="55" spans="1:20" x14ac:dyDescent="0.25">
      <c r="A55" s="98" t="s">
        <v>1149</v>
      </c>
      <c r="B55" s="98" t="s">
        <v>1150</v>
      </c>
      <c r="C55" s="98" t="s">
        <v>1136</v>
      </c>
      <c r="D55" s="98" t="s">
        <v>2034</v>
      </c>
      <c r="E55" s="101">
        <v>26258</v>
      </c>
      <c r="F55" s="101">
        <v>219512</v>
      </c>
      <c r="G55" s="98">
        <v>0</v>
      </c>
      <c r="H55" s="101">
        <v>45897</v>
      </c>
      <c r="I55" s="98" t="s">
        <v>2035</v>
      </c>
      <c r="J55" s="98">
        <v>26258</v>
      </c>
      <c r="K55" s="101" t="s">
        <v>2035</v>
      </c>
      <c r="L55" s="98">
        <v>24540</v>
      </c>
      <c r="M55" s="98">
        <v>1718</v>
      </c>
      <c r="N55" s="98">
        <v>7</v>
      </c>
      <c r="O55" s="98" t="s">
        <v>2036</v>
      </c>
      <c r="P55" s="98" t="s">
        <v>2037</v>
      </c>
      <c r="Q55" s="98" t="s">
        <v>2038</v>
      </c>
      <c r="R55" s="98" t="s">
        <v>2039</v>
      </c>
      <c r="S55" t="s">
        <v>2047</v>
      </c>
      <c r="T55" t="s">
        <v>2048</v>
      </c>
    </row>
    <row r="56" spans="1:20" x14ac:dyDescent="0.25">
      <c r="A56" s="98" t="s">
        <v>1151</v>
      </c>
      <c r="B56" s="98" t="s">
        <v>1152</v>
      </c>
      <c r="C56" s="98" t="s">
        <v>1136</v>
      </c>
      <c r="D56" s="98" t="s">
        <v>2034</v>
      </c>
      <c r="E56" s="101">
        <v>29745</v>
      </c>
      <c r="F56" s="101">
        <v>219512</v>
      </c>
      <c r="G56" s="98">
        <v>0</v>
      </c>
      <c r="H56" s="101">
        <v>45817</v>
      </c>
      <c r="I56" s="98" t="s">
        <v>2035</v>
      </c>
      <c r="J56" s="98">
        <v>29745</v>
      </c>
      <c r="K56" s="101" t="s">
        <v>2035</v>
      </c>
      <c r="L56" s="98">
        <v>33801</v>
      </c>
      <c r="M56" s="98">
        <v>-4056</v>
      </c>
      <c r="N56" s="98">
        <v>-12</v>
      </c>
      <c r="O56" s="98" t="s">
        <v>2036</v>
      </c>
      <c r="P56" s="98" t="s">
        <v>2037</v>
      </c>
      <c r="Q56" s="98" t="s">
        <v>2038</v>
      </c>
      <c r="R56" s="98" t="s">
        <v>2039</v>
      </c>
      <c r="S56" t="s">
        <v>2047</v>
      </c>
      <c r="T56" t="s">
        <v>2048</v>
      </c>
    </row>
    <row r="57" spans="1:20" x14ac:dyDescent="0.25">
      <c r="A57" s="98" t="s">
        <v>1153</v>
      </c>
      <c r="B57" s="98" t="s">
        <v>1154</v>
      </c>
      <c r="C57" s="98" t="s">
        <v>1136</v>
      </c>
      <c r="D57" s="98" t="s">
        <v>2034</v>
      </c>
      <c r="E57" s="101">
        <v>32006</v>
      </c>
      <c r="F57" s="101">
        <v>219512</v>
      </c>
      <c r="G57" s="98">
        <v>0</v>
      </c>
      <c r="H57" s="101">
        <v>45817</v>
      </c>
      <c r="I57" s="98" t="s">
        <v>2035</v>
      </c>
      <c r="J57" s="98">
        <v>32006</v>
      </c>
      <c r="K57" s="101" t="s">
        <v>2035</v>
      </c>
      <c r="L57" s="98">
        <v>37654</v>
      </c>
      <c r="M57" s="98">
        <v>-5648</v>
      </c>
      <c r="N57" s="98">
        <v>-15</v>
      </c>
      <c r="O57" s="98" t="s">
        <v>2036</v>
      </c>
      <c r="P57" s="98" t="s">
        <v>2037</v>
      </c>
      <c r="Q57" s="98" t="s">
        <v>2038</v>
      </c>
      <c r="R57" s="98" t="s">
        <v>2039</v>
      </c>
      <c r="S57" t="s">
        <v>2047</v>
      </c>
      <c r="T57" t="s">
        <v>2048</v>
      </c>
    </row>
    <row r="58" spans="1:20" x14ac:dyDescent="0.25">
      <c r="A58" s="98" t="s">
        <v>17</v>
      </c>
      <c r="B58" s="98" t="s">
        <v>1155</v>
      </c>
      <c r="C58" s="98" t="s">
        <v>1136</v>
      </c>
      <c r="D58" s="98" t="s">
        <v>2034</v>
      </c>
      <c r="E58" s="101">
        <v>21729</v>
      </c>
      <c r="F58" s="101">
        <v>219512</v>
      </c>
      <c r="G58" s="98">
        <v>0</v>
      </c>
      <c r="H58" s="101">
        <v>45919</v>
      </c>
      <c r="I58" s="98" t="s">
        <v>2035</v>
      </c>
      <c r="J58" s="98">
        <v>21729</v>
      </c>
      <c r="K58" s="101" t="s">
        <v>2035</v>
      </c>
      <c r="L58" s="98">
        <v>18732</v>
      </c>
      <c r="M58" s="98">
        <v>2997</v>
      </c>
      <c r="N58" s="98">
        <v>16</v>
      </c>
      <c r="O58" s="98" t="s">
        <v>2036</v>
      </c>
      <c r="P58" s="98" t="s">
        <v>2037</v>
      </c>
      <c r="Q58" s="98" t="s">
        <v>2038</v>
      </c>
      <c r="R58" s="98" t="s">
        <v>2039</v>
      </c>
      <c r="S58" t="s">
        <v>2049</v>
      </c>
      <c r="T58" t="s">
        <v>2048</v>
      </c>
    </row>
    <row r="59" spans="1:20" x14ac:dyDescent="0.25">
      <c r="A59" s="98" t="s">
        <v>18</v>
      </c>
      <c r="B59" s="98" t="s">
        <v>1156</v>
      </c>
      <c r="C59" s="98" t="s">
        <v>1136</v>
      </c>
      <c r="D59" s="98" t="s">
        <v>2034</v>
      </c>
      <c r="E59" s="101">
        <v>26521</v>
      </c>
      <c r="F59" s="101">
        <v>219512</v>
      </c>
      <c r="G59" s="98">
        <v>0</v>
      </c>
      <c r="H59" s="101">
        <v>45919</v>
      </c>
      <c r="I59" s="98" t="s">
        <v>2035</v>
      </c>
      <c r="J59" s="98">
        <v>26521</v>
      </c>
      <c r="K59" s="101" t="s">
        <v>2035</v>
      </c>
      <c r="L59" s="98">
        <v>22863</v>
      </c>
      <c r="M59" s="98">
        <v>3658</v>
      </c>
      <c r="N59" s="98">
        <v>16</v>
      </c>
      <c r="O59" s="98" t="s">
        <v>2036</v>
      </c>
      <c r="P59" s="98" t="s">
        <v>2037</v>
      </c>
      <c r="Q59" s="98" t="s">
        <v>2038</v>
      </c>
      <c r="R59" s="98" t="s">
        <v>2039</v>
      </c>
      <c r="S59" t="s">
        <v>2049</v>
      </c>
      <c r="T59" t="s">
        <v>2048</v>
      </c>
    </row>
    <row r="60" spans="1:20" x14ac:dyDescent="0.25">
      <c r="A60" s="98" t="s">
        <v>1157</v>
      </c>
      <c r="B60" s="98" t="s">
        <v>1158</v>
      </c>
      <c r="C60" s="98" t="s">
        <v>1136</v>
      </c>
      <c r="D60" s="98" t="s">
        <v>2034</v>
      </c>
      <c r="E60" s="101">
        <v>13948</v>
      </c>
      <c r="F60" s="101">
        <v>219512</v>
      </c>
      <c r="G60" s="98">
        <v>0</v>
      </c>
      <c r="H60" s="101">
        <v>45766</v>
      </c>
      <c r="I60" s="98" t="s">
        <v>2035</v>
      </c>
      <c r="J60" s="98">
        <v>13948</v>
      </c>
      <c r="K60" s="101" t="s">
        <v>2035</v>
      </c>
      <c r="L60" s="98">
        <v>15343</v>
      </c>
      <c r="M60" s="98">
        <v>-1395</v>
      </c>
      <c r="N60" s="98">
        <v>-9.09</v>
      </c>
      <c r="O60" s="98" t="s">
        <v>2036</v>
      </c>
      <c r="P60" s="98" t="s">
        <v>2037</v>
      </c>
      <c r="Q60" s="98" t="s">
        <v>2038</v>
      </c>
      <c r="R60" s="98" t="s">
        <v>2039</v>
      </c>
      <c r="S60" t="s">
        <v>2047</v>
      </c>
      <c r="T60" t="s">
        <v>2048</v>
      </c>
    </row>
    <row r="61" spans="1:20" x14ac:dyDescent="0.25">
      <c r="A61" s="98" t="s">
        <v>1159</v>
      </c>
      <c r="B61" s="98" t="s">
        <v>1160</v>
      </c>
      <c r="C61" s="98" t="s">
        <v>1136</v>
      </c>
      <c r="D61" s="98" t="s">
        <v>2034</v>
      </c>
      <c r="E61" s="101">
        <v>16652</v>
      </c>
      <c r="F61" s="101">
        <v>219512</v>
      </c>
      <c r="G61" s="98">
        <v>0</v>
      </c>
      <c r="H61" s="101">
        <v>45766</v>
      </c>
      <c r="I61" s="98" t="s">
        <v>2035</v>
      </c>
      <c r="J61" s="98">
        <v>16652</v>
      </c>
      <c r="K61" s="101" t="s">
        <v>2035</v>
      </c>
      <c r="L61" s="98">
        <v>18317</v>
      </c>
      <c r="M61" s="98">
        <v>-1665</v>
      </c>
      <c r="N61" s="98">
        <v>-9.09</v>
      </c>
      <c r="O61" s="98" t="s">
        <v>2036</v>
      </c>
      <c r="P61" s="98" t="s">
        <v>2037</v>
      </c>
      <c r="Q61" s="98" t="s">
        <v>2038</v>
      </c>
      <c r="R61" s="98" t="s">
        <v>2039</v>
      </c>
      <c r="S61" t="s">
        <v>2047</v>
      </c>
      <c r="T61" t="s">
        <v>2048</v>
      </c>
    </row>
    <row r="62" spans="1:20" x14ac:dyDescent="0.25">
      <c r="A62" s="98" t="s">
        <v>1161</v>
      </c>
      <c r="B62" s="98" t="s">
        <v>1162</v>
      </c>
      <c r="C62" s="98" t="s">
        <v>1136</v>
      </c>
      <c r="D62" s="98" t="s">
        <v>2034</v>
      </c>
      <c r="E62" s="101">
        <v>19128</v>
      </c>
      <c r="F62" s="101">
        <v>219512</v>
      </c>
      <c r="G62" s="98">
        <v>0</v>
      </c>
      <c r="H62" s="101">
        <v>45766</v>
      </c>
      <c r="I62" s="98" t="s">
        <v>2035</v>
      </c>
      <c r="J62" s="98">
        <v>19128</v>
      </c>
      <c r="K62" s="101" t="s">
        <v>2035</v>
      </c>
      <c r="L62" s="98">
        <v>21041</v>
      </c>
      <c r="M62" s="98">
        <v>-1913</v>
      </c>
      <c r="N62" s="98">
        <v>-9.09</v>
      </c>
      <c r="O62" s="98" t="s">
        <v>2036</v>
      </c>
      <c r="P62" s="98" t="s">
        <v>2037</v>
      </c>
      <c r="Q62" s="98" t="s">
        <v>2038</v>
      </c>
      <c r="R62" s="98" t="s">
        <v>2039</v>
      </c>
      <c r="S62" t="s">
        <v>2047</v>
      </c>
      <c r="T62" t="s">
        <v>2048</v>
      </c>
    </row>
    <row r="63" spans="1:20" x14ac:dyDescent="0.25">
      <c r="A63" s="98" t="s">
        <v>1163</v>
      </c>
      <c r="B63" s="98" t="s">
        <v>1164</v>
      </c>
      <c r="C63" s="98" t="s">
        <v>1136</v>
      </c>
      <c r="D63" s="98" t="s">
        <v>2034</v>
      </c>
      <c r="E63" s="101">
        <v>21959</v>
      </c>
      <c r="F63" s="101">
        <v>219512</v>
      </c>
      <c r="G63" s="98">
        <v>0</v>
      </c>
      <c r="H63" s="101">
        <v>45766</v>
      </c>
      <c r="I63" s="98" t="s">
        <v>2035</v>
      </c>
      <c r="J63" s="98">
        <v>21959</v>
      </c>
      <c r="K63" s="101" t="s">
        <v>2035</v>
      </c>
      <c r="L63" s="98">
        <v>24155</v>
      </c>
      <c r="M63" s="98">
        <v>-2196</v>
      </c>
      <c r="N63" s="98">
        <v>-9.09</v>
      </c>
      <c r="O63" s="98" t="s">
        <v>2036</v>
      </c>
      <c r="P63" s="98" t="s">
        <v>2037</v>
      </c>
      <c r="Q63" s="98" t="s">
        <v>2038</v>
      </c>
      <c r="R63" s="98" t="s">
        <v>2039</v>
      </c>
      <c r="S63" t="s">
        <v>2047</v>
      </c>
      <c r="T63" t="s">
        <v>2048</v>
      </c>
    </row>
    <row r="64" spans="1:20" x14ac:dyDescent="0.25">
      <c r="A64" s="98" t="s">
        <v>1165</v>
      </c>
      <c r="B64" s="98" t="s">
        <v>1166</v>
      </c>
      <c r="C64" s="98" t="s">
        <v>1136</v>
      </c>
      <c r="D64" s="98" t="s">
        <v>2034</v>
      </c>
      <c r="E64" s="101">
        <v>22989</v>
      </c>
      <c r="F64" s="101">
        <v>219512</v>
      </c>
      <c r="G64" s="98">
        <v>0</v>
      </c>
      <c r="H64" s="101">
        <v>45766</v>
      </c>
      <c r="I64" s="98" t="s">
        <v>2035</v>
      </c>
      <c r="J64" s="98">
        <v>22989</v>
      </c>
      <c r="K64" s="101" t="s">
        <v>2035</v>
      </c>
      <c r="L64" s="98">
        <v>25288</v>
      </c>
      <c r="M64" s="98">
        <v>-2299</v>
      </c>
      <c r="N64" s="98">
        <v>-9.09</v>
      </c>
      <c r="O64" s="98" t="s">
        <v>2036</v>
      </c>
      <c r="P64" s="98" t="s">
        <v>2037</v>
      </c>
      <c r="Q64" s="98" t="s">
        <v>2038</v>
      </c>
      <c r="R64" s="98" t="s">
        <v>2039</v>
      </c>
      <c r="S64" t="s">
        <v>2047</v>
      </c>
      <c r="T64" t="s">
        <v>2048</v>
      </c>
    </row>
    <row r="65" spans="1:20" x14ac:dyDescent="0.25">
      <c r="A65" s="98" t="s">
        <v>1167</v>
      </c>
      <c r="B65" s="98" t="s">
        <v>1168</v>
      </c>
      <c r="C65" s="98" t="s">
        <v>1136</v>
      </c>
      <c r="D65" s="98" t="s">
        <v>2034</v>
      </c>
      <c r="E65" s="101">
        <v>24923</v>
      </c>
      <c r="F65" s="101">
        <v>219512</v>
      </c>
      <c r="G65" s="98">
        <v>0</v>
      </c>
      <c r="H65" s="101">
        <v>45766</v>
      </c>
      <c r="I65" s="98" t="s">
        <v>2035</v>
      </c>
      <c r="J65" s="98">
        <v>24923</v>
      </c>
      <c r="K65" s="101" t="s">
        <v>2035</v>
      </c>
      <c r="L65" s="98">
        <v>27415</v>
      </c>
      <c r="M65" s="98">
        <v>-2492</v>
      </c>
      <c r="N65" s="98">
        <v>-9.09</v>
      </c>
      <c r="O65" s="98" t="s">
        <v>2036</v>
      </c>
      <c r="P65" s="98" t="s">
        <v>2037</v>
      </c>
      <c r="Q65" s="98" t="s">
        <v>2038</v>
      </c>
      <c r="R65" s="98" t="s">
        <v>2039</v>
      </c>
      <c r="S65" t="s">
        <v>2047</v>
      </c>
      <c r="T65" t="s">
        <v>2048</v>
      </c>
    </row>
    <row r="66" spans="1:20" x14ac:dyDescent="0.25">
      <c r="A66" s="98" t="s">
        <v>1169</v>
      </c>
      <c r="B66" s="98" t="s">
        <v>1170</v>
      </c>
      <c r="C66" s="98" t="s">
        <v>1136</v>
      </c>
      <c r="D66" s="98" t="s">
        <v>2034</v>
      </c>
      <c r="E66" s="101">
        <v>29443</v>
      </c>
      <c r="F66" s="101">
        <v>219512</v>
      </c>
      <c r="G66" s="98">
        <v>0</v>
      </c>
      <c r="H66" s="101">
        <v>45766</v>
      </c>
      <c r="I66" s="98" t="s">
        <v>2035</v>
      </c>
      <c r="J66" s="98">
        <v>29443</v>
      </c>
      <c r="K66" s="101" t="s">
        <v>2035</v>
      </c>
      <c r="L66" s="98">
        <v>32387</v>
      </c>
      <c r="M66" s="98">
        <v>-2944</v>
      </c>
      <c r="N66" s="98">
        <v>-9.09</v>
      </c>
      <c r="O66" s="98" t="s">
        <v>2036</v>
      </c>
      <c r="P66" s="98" t="s">
        <v>2037</v>
      </c>
      <c r="Q66" s="98" t="s">
        <v>2038</v>
      </c>
      <c r="R66" s="98" t="s">
        <v>2039</v>
      </c>
      <c r="S66" t="s">
        <v>2047</v>
      </c>
      <c r="T66" t="s">
        <v>2048</v>
      </c>
    </row>
    <row r="67" spans="1:20" x14ac:dyDescent="0.25">
      <c r="A67" s="98" t="s">
        <v>1171</v>
      </c>
      <c r="B67" s="98" t="s">
        <v>1172</v>
      </c>
      <c r="C67" s="98" t="s">
        <v>1136</v>
      </c>
      <c r="D67" s="98" t="s">
        <v>2034</v>
      </c>
      <c r="E67" s="101">
        <v>30829</v>
      </c>
      <c r="F67" s="101">
        <v>219512</v>
      </c>
      <c r="G67" s="98">
        <v>0</v>
      </c>
      <c r="H67" s="101">
        <v>45766</v>
      </c>
      <c r="I67" s="98" t="s">
        <v>2035</v>
      </c>
      <c r="J67" s="98">
        <v>30829</v>
      </c>
      <c r="K67" s="101" t="s">
        <v>2035</v>
      </c>
      <c r="L67" s="98">
        <v>33912</v>
      </c>
      <c r="M67" s="98">
        <v>-3083</v>
      </c>
      <c r="N67" s="98">
        <v>-9.09</v>
      </c>
      <c r="O67" s="98" t="s">
        <v>2036</v>
      </c>
      <c r="P67" s="98" t="s">
        <v>2037</v>
      </c>
      <c r="Q67" s="98" t="s">
        <v>2038</v>
      </c>
      <c r="R67" s="98" t="s">
        <v>2039</v>
      </c>
      <c r="S67" t="s">
        <v>2047</v>
      </c>
      <c r="T67" t="s">
        <v>2048</v>
      </c>
    </row>
    <row r="68" spans="1:20" x14ac:dyDescent="0.25">
      <c r="A68" s="98" t="s">
        <v>1173</v>
      </c>
      <c r="B68" s="98" t="s">
        <v>1174</v>
      </c>
      <c r="C68" s="98" t="s">
        <v>1136</v>
      </c>
      <c r="D68" s="98" t="s">
        <v>2034</v>
      </c>
      <c r="E68" s="101">
        <v>36743</v>
      </c>
      <c r="F68" s="101">
        <v>219512</v>
      </c>
      <c r="G68" s="98">
        <v>0</v>
      </c>
      <c r="H68" s="101">
        <v>45766</v>
      </c>
      <c r="I68" s="98" t="s">
        <v>2035</v>
      </c>
      <c r="J68" s="98">
        <v>36743</v>
      </c>
      <c r="K68" s="101" t="s">
        <v>2035</v>
      </c>
      <c r="L68" s="98">
        <v>40417</v>
      </c>
      <c r="M68" s="98">
        <v>-3674</v>
      </c>
      <c r="N68" s="98">
        <v>-9.09</v>
      </c>
      <c r="O68" s="98" t="s">
        <v>2036</v>
      </c>
      <c r="P68" s="98" t="s">
        <v>2037</v>
      </c>
      <c r="Q68" s="98" t="s">
        <v>2038</v>
      </c>
      <c r="R68" s="98" t="s">
        <v>2039</v>
      </c>
      <c r="S68" t="s">
        <v>2047</v>
      </c>
      <c r="T68" t="s">
        <v>2048</v>
      </c>
    </row>
    <row r="69" spans="1:20" x14ac:dyDescent="0.25">
      <c r="A69" s="98" t="s">
        <v>1175</v>
      </c>
      <c r="B69" s="98" t="s">
        <v>1176</v>
      </c>
      <c r="C69" s="98" t="s">
        <v>1136</v>
      </c>
      <c r="D69" s="98" t="s">
        <v>2034</v>
      </c>
      <c r="E69" s="101">
        <v>41878</v>
      </c>
      <c r="F69" s="101">
        <v>219512</v>
      </c>
      <c r="G69" s="98">
        <v>0</v>
      </c>
      <c r="H69" s="101">
        <v>45766</v>
      </c>
      <c r="I69" s="98" t="s">
        <v>2035</v>
      </c>
      <c r="J69" s="98">
        <v>41878</v>
      </c>
      <c r="K69" s="101" t="s">
        <v>2035</v>
      </c>
      <c r="L69" s="98">
        <v>46066</v>
      </c>
      <c r="M69" s="98">
        <v>-4188</v>
      </c>
      <c r="N69" s="98">
        <v>-9.09</v>
      </c>
      <c r="O69" s="98" t="s">
        <v>2036</v>
      </c>
      <c r="P69" s="98" t="s">
        <v>2037</v>
      </c>
      <c r="Q69" s="98" t="s">
        <v>2038</v>
      </c>
      <c r="R69" s="98" t="s">
        <v>2039</v>
      </c>
      <c r="S69" t="s">
        <v>2047</v>
      </c>
      <c r="T69" t="s">
        <v>2048</v>
      </c>
    </row>
    <row r="70" spans="1:20" x14ac:dyDescent="0.25">
      <c r="A70" s="98" t="s">
        <v>1177</v>
      </c>
      <c r="B70" s="98" t="s">
        <v>1178</v>
      </c>
      <c r="C70" s="98" t="s">
        <v>1179</v>
      </c>
      <c r="D70" s="98" t="s">
        <v>2034</v>
      </c>
      <c r="E70" s="101">
        <v>7089</v>
      </c>
      <c r="F70" s="101">
        <v>219512</v>
      </c>
      <c r="G70" s="98">
        <v>0</v>
      </c>
      <c r="H70" s="101">
        <v>45817</v>
      </c>
      <c r="I70" s="98" t="s">
        <v>2035</v>
      </c>
      <c r="J70" s="98">
        <v>7089</v>
      </c>
      <c r="K70" s="101" t="s">
        <v>2035</v>
      </c>
      <c r="L70" s="98">
        <v>7462</v>
      </c>
      <c r="M70" s="98">
        <v>-373</v>
      </c>
      <c r="N70" s="98">
        <v>-5</v>
      </c>
      <c r="O70" s="98" t="s">
        <v>2036</v>
      </c>
      <c r="P70" s="98" t="s">
        <v>2037</v>
      </c>
      <c r="Q70" s="98" t="s">
        <v>2050</v>
      </c>
      <c r="R70" s="98" t="s">
        <v>2051</v>
      </c>
      <c r="S70" t="s">
        <v>2052</v>
      </c>
      <c r="T70" t="s">
        <v>2053</v>
      </c>
    </row>
    <row r="71" spans="1:20" x14ac:dyDescent="0.25">
      <c r="A71" s="98" t="s">
        <v>1180</v>
      </c>
      <c r="B71" s="98" t="s">
        <v>1181</v>
      </c>
      <c r="C71" s="98" t="s">
        <v>1179</v>
      </c>
      <c r="D71" s="98" t="s">
        <v>2034</v>
      </c>
      <c r="E71" s="101">
        <v>8972</v>
      </c>
      <c r="F71" s="101">
        <v>219512</v>
      </c>
      <c r="G71" s="98">
        <v>0</v>
      </c>
      <c r="H71" s="101">
        <v>45817</v>
      </c>
      <c r="I71" s="98" t="s">
        <v>2035</v>
      </c>
      <c r="J71" s="98">
        <v>8972</v>
      </c>
      <c r="K71" s="101" t="s">
        <v>2035</v>
      </c>
      <c r="L71" s="98">
        <v>9444</v>
      </c>
      <c r="M71" s="98">
        <v>-472</v>
      </c>
      <c r="N71" s="98">
        <v>-5</v>
      </c>
      <c r="O71" s="98" t="s">
        <v>2036</v>
      </c>
      <c r="P71" s="98" t="s">
        <v>2037</v>
      </c>
      <c r="Q71" s="98" t="s">
        <v>2050</v>
      </c>
      <c r="R71" s="98" t="s">
        <v>2051</v>
      </c>
      <c r="S71" t="s">
        <v>2047</v>
      </c>
      <c r="T71" t="s">
        <v>2053</v>
      </c>
    </row>
    <row r="72" spans="1:20" x14ac:dyDescent="0.25">
      <c r="A72" s="98" t="s">
        <v>1182</v>
      </c>
      <c r="B72" s="98" t="s">
        <v>1183</v>
      </c>
      <c r="C72" s="98" t="s">
        <v>1179</v>
      </c>
      <c r="D72" s="98" t="s">
        <v>2034</v>
      </c>
      <c r="E72" s="101">
        <v>3248</v>
      </c>
      <c r="F72" s="101">
        <v>219512</v>
      </c>
      <c r="G72" s="98">
        <v>0</v>
      </c>
      <c r="H72" s="101">
        <v>45352</v>
      </c>
      <c r="I72" s="98" t="s">
        <v>2035</v>
      </c>
      <c r="J72" s="98">
        <v>3248</v>
      </c>
      <c r="K72" s="101" t="s">
        <v>2054</v>
      </c>
      <c r="L72" s="98">
        <v>0</v>
      </c>
      <c r="M72" s="98">
        <v>3248</v>
      </c>
      <c r="N72" s="98">
        <v>0</v>
      </c>
      <c r="O72" s="98" t="s">
        <v>2036</v>
      </c>
      <c r="P72" s="98" t="s">
        <v>2037</v>
      </c>
      <c r="Q72" s="98" t="s">
        <v>2050</v>
      </c>
      <c r="R72" s="98" t="s">
        <v>2051</v>
      </c>
      <c r="S72" t="s">
        <v>2055</v>
      </c>
      <c r="T72" t="s">
        <v>2053</v>
      </c>
    </row>
    <row r="73" spans="1:20" x14ac:dyDescent="0.25">
      <c r="A73" s="98" t="s">
        <v>20</v>
      </c>
      <c r="B73" s="98" t="s">
        <v>1184</v>
      </c>
      <c r="C73" s="98" t="s">
        <v>1179</v>
      </c>
      <c r="D73" s="98" t="s">
        <v>2034</v>
      </c>
      <c r="E73" s="101">
        <v>21427</v>
      </c>
      <c r="F73" s="101">
        <v>219512</v>
      </c>
      <c r="G73" s="98">
        <v>0</v>
      </c>
      <c r="H73" s="101">
        <v>45919</v>
      </c>
      <c r="I73" s="98" t="s">
        <v>2035</v>
      </c>
      <c r="J73" s="98">
        <v>21427</v>
      </c>
      <c r="K73" s="101" t="s">
        <v>2035</v>
      </c>
      <c r="L73" s="98">
        <v>19131</v>
      </c>
      <c r="M73" s="98">
        <v>2296</v>
      </c>
      <c r="N73" s="98">
        <v>12</v>
      </c>
      <c r="O73" s="98" t="s">
        <v>2036</v>
      </c>
      <c r="P73" s="98" t="s">
        <v>2037</v>
      </c>
      <c r="Q73" s="98" t="s">
        <v>2050</v>
      </c>
      <c r="R73" s="98" t="s">
        <v>2051</v>
      </c>
      <c r="S73" t="s">
        <v>2056</v>
      </c>
      <c r="T73" t="s">
        <v>2053</v>
      </c>
    </row>
    <row r="74" spans="1:20" x14ac:dyDescent="0.25">
      <c r="A74" s="98" t="s">
        <v>1185</v>
      </c>
      <c r="B74" s="98" t="s">
        <v>1186</v>
      </c>
      <c r="C74" s="98" t="s">
        <v>1136</v>
      </c>
      <c r="D74" s="98" t="s">
        <v>2034</v>
      </c>
      <c r="E74" s="101">
        <v>7390</v>
      </c>
      <c r="F74" s="101">
        <v>219512</v>
      </c>
      <c r="G74" s="98">
        <v>0</v>
      </c>
      <c r="H74" s="101">
        <v>45762</v>
      </c>
      <c r="I74" s="98" t="s">
        <v>2035</v>
      </c>
      <c r="J74" s="98">
        <v>7390</v>
      </c>
      <c r="K74" s="101" t="s">
        <v>2035</v>
      </c>
      <c r="L74" s="98">
        <v>6718</v>
      </c>
      <c r="M74" s="98">
        <v>672</v>
      </c>
      <c r="N74" s="98">
        <v>10</v>
      </c>
      <c r="O74" s="98" t="s">
        <v>2036</v>
      </c>
      <c r="P74" s="98" t="s">
        <v>2037</v>
      </c>
      <c r="Q74" s="98" t="s">
        <v>2050</v>
      </c>
      <c r="R74" s="98" t="s">
        <v>2057</v>
      </c>
      <c r="S74" t="s">
        <v>2058</v>
      </c>
      <c r="T74" t="s">
        <v>2059</v>
      </c>
    </row>
    <row r="75" spans="1:20" x14ac:dyDescent="0.25">
      <c r="A75" s="98" t="s">
        <v>1187</v>
      </c>
      <c r="B75" s="98" t="s">
        <v>1188</v>
      </c>
      <c r="C75" s="98" t="s">
        <v>1136</v>
      </c>
      <c r="D75" s="98" t="s">
        <v>2034</v>
      </c>
      <c r="E75" s="101">
        <v>33429</v>
      </c>
      <c r="F75" s="101">
        <v>219512</v>
      </c>
      <c r="G75" s="98">
        <v>0</v>
      </c>
      <c r="H75" s="101">
        <v>45817</v>
      </c>
      <c r="I75" s="98" t="s">
        <v>2035</v>
      </c>
      <c r="J75" s="98">
        <v>33429</v>
      </c>
      <c r="K75" s="101" t="s">
        <v>2035</v>
      </c>
      <c r="L75" s="98">
        <v>35188</v>
      </c>
      <c r="M75" s="98">
        <v>-1759</v>
      </c>
      <c r="N75" s="98">
        <v>-5</v>
      </c>
      <c r="O75" s="98" t="s">
        <v>2036</v>
      </c>
      <c r="P75" s="98" t="s">
        <v>2037</v>
      </c>
      <c r="Q75" s="98" t="s">
        <v>2050</v>
      </c>
      <c r="R75" s="98" t="s">
        <v>2057</v>
      </c>
      <c r="S75" t="s">
        <v>2060</v>
      </c>
      <c r="T75" t="s">
        <v>2061</v>
      </c>
    </row>
    <row r="76" spans="1:20" x14ac:dyDescent="0.25">
      <c r="A76" s="98" t="s">
        <v>1189</v>
      </c>
      <c r="B76" s="98" t="s">
        <v>1190</v>
      </c>
      <c r="C76" s="98" t="s">
        <v>1136</v>
      </c>
      <c r="D76" s="98" t="s">
        <v>2034</v>
      </c>
      <c r="E76" s="101">
        <v>36634</v>
      </c>
      <c r="F76" s="101">
        <v>219512</v>
      </c>
      <c r="G76" s="98">
        <v>0</v>
      </c>
      <c r="H76" s="101">
        <v>45817</v>
      </c>
      <c r="I76" s="98" t="s">
        <v>2035</v>
      </c>
      <c r="J76" s="98">
        <v>36634</v>
      </c>
      <c r="K76" s="101" t="s">
        <v>2035</v>
      </c>
      <c r="L76" s="98">
        <v>37767</v>
      </c>
      <c r="M76" s="98">
        <v>-1133</v>
      </c>
      <c r="N76" s="98">
        <v>-3</v>
      </c>
      <c r="O76" s="98" t="s">
        <v>2036</v>
      </c>
      <c r="P76" s="98" t="s">
        <v>2037</v>
      </c>
      <c r="Q76" s="98" t="s">
        <v>2050</v>
      </c>
      <c r="R76" s="98" t="s">
        <v>2057</v>
      </c>
      <c r="S76" t="s">
        <v>2060</v>
      </c>
      <c r="T76" t="s">
        <v>2061</v>
      </c>
    </row>
    <row r="77" spans="1:20" x14ac:dyDescent="0.25">
      <c r="A77" s="98" t="s">
        <v>1191</v>
      </c>
      <c r="B77" s="98" t="s">
        <v>1192</v>
      </c>
      <c r="C77" s="98" t="s">
        <v>1136</v>
      </c>
      <c r="D77" s="98" t="s">
        <v>2034</v>
      </c>
      <c r="E77" s="101">
        <v>41648</v>
      </c>
      <c r="F77" s="101">
        <v>219512</v>
      </c>
      <c r="G77" s="98">
        <v>0</v>
      </c>
      <c r="H77" s="101">
        <v>45762</v>
      </c>
      <c r="I77" s="98" t="s">
        <v>2035</v>
      </c>
      <c r="J77" s="98">
        <v>41648</v>
      </c>
      <c r="K77" s="101" t="s">
        <v>2035</v>
      </c>
      <c r="L77" s="98">
        <v>37862</v>
      </c>
      <c r="M77" s="98">
        <v>3786</v>
      </c>
      <c r="N77" s="98">
        <v>10</v>
      </c>
      <c r="O77" s="98" t="s">
        <v>2036</v>
      </c>
      <c r="P77" s="98" t="s">
        <v>2037</v>
      </c>
      <c r="Q77" s="98" t="s">
        <v>2050</v>
      </c>
      <c r="R77" s="98" t="s">
        <v>2057</v>
      </c>
      <c r="S77" t="s">
        <v>2060</v>
      </c>
      <c r="T77" t="s">
        <v>2061</v>
      </c>
    </row>
    <row r="78" spans="1:20" x14ac:dyDescent="0.25">
      <c r="A78" s="98" t="s">
        <v>1193</v>
      </c>
      <c r="B78" s="98" t="s">
        <v>1194</v>
      </c>
      <c r="C78" s="98" t="s">
        <v>1136</v>
      </c>
      <c r="D78" s="98" t="s">
        <v>2034</v>
      </c>
      <c r="E78" s="101">
        <v>21441</v>
      </c>
      <c r="F78" s="101">
        <v>219512</v>
      </c>
      <c r="G78" s="98">
        <v>0</v>
      </c>
      <c r="H78" s="101">
        <v>45817</v>
      </c>
      <c r="I78" s="98" t="s">
        <v>2035</v>
      </c>
      <c r="J78" s="98">
        <v>21441</v>
      </c>
      <c r="K78" s="101" t="s">
        <v>2035</v>
      </c>
      <c r="L78" s="98">
        <v>22569</v>
      </c>
      <c r="M78" s="98">
        <v>-1128</v>
      </c>
      <c r="N78" s="98">
        <v>-5</v>
      </c>
      <c r="O78" s="98" t="s">
        <v>2036</v>
      </c>
      <c r="P78" s="98" t="s">
        <v>2037</v>
      </c>
      <c r="Q78" s="98" t="s">
        <v>2050</v>
      </c>
      <c r="R78" s="98" t="s">
        <v>2057</v>
      </c>
      <c r="S78" t="s">
        <v>2058</v>
      </c>
      <c r="T78" t="s">
        <v>2061</v>
      </c>
    </row>
    <row r="79" spans="1:20" x14ac:dyDescent="0.25">
      <c r="A79" s="98" t="s">
        <v>1195</v>
      </c>
      <c r="B79" s="98" t="s">
        <v>1196</v>
      </c>
      <c r="C79" s="98" t="s">
        <v>1136</v>
      </c>
      <c r="D79" s="98" t="s">
        <v>2034</v>
      </c>
      <c r="E79" s="101">
        <v>26992</v>
      </c>
      <c r="F79" s="101">
        <v>219512</v>
      </c>
      <c r="G79" s="98">
        <v>0</v>
      </c>
      <c r="H79" s="101">
        <v>45762</v>
      </c>
      <c r="I79" s="98" t="s">
        <v>2035</v>
      </c>
      <c r="J79" s="98">
        <v>26992</v>
      </c>
      <c r="K79" s="101" t="s">
        <v>2035</v>
      </c>
      <c r="L79" s="98">
        <v>24538</v>
      </c>
      <c r="M79" s="98">
        <v>2454</v>
      </c>
      <c r="N79" s="98">
        <v>10</v>
      </c>
      <c r="O79" s="98" t="s">
        <v>2036</v>
      </c>
      <c r="P79" s="98" t="s">
        <v>2037</v>
      </c>
      <c r="Q79" s="98" t="s">
        <v>2050</v>
      </c>
      <c r="R79" s="98" t="s">
        <v>2057</v>
      </c>
      <c r="S79" t="s">
        <v>2058</v>
      </c>
      <c r="T79" t="s">
        <v>2061</v>
      </c>
    </row>
    <row r="80" spans="1:20" x14ac:dyDescent="0.25">
      <c r="A80" s="98" t="s">
        <v>1197</v>
      </c>
      <c r="B80" s="98" t="s">
        <v>1198</v>
      </c>
      <c r="C80" s="98" t="s">
        <v>1179</v>
      </c>
      <c r="D80" s="98" t="s">
        <v>2034</v>
      </c>
      <c r="E80" s="101">
        <v>6162</v>
      </c>
      <c r="F80" s="101">
        <v>219512</v>
      </c>
      <c r="G80" s="98">
        <v>0</v>
      </c>
      <c r="H80" s="101">
        <v>45762</v>
      </c>
      <c r="I80" s="98" t="s">
        <v>2035</v>
      </c>
      <c r="J80" s="98">
        <v>6162</v>
      </c>
      <c r="K80" s="101" t="s">
        <v>2035</v>
      </c>
      <c r="L80" s="98">
        <v>5602</v>
      </c>
      <c r="M80" s="98">
        <v>560</v>
      </c>
      <c r="N80" s="98">
        <v>10</v>
      </c>
      <c r="O80" s="98" t="s">
        <v>2036</v>
      </c>
      <c r="P80" s="98" t="s">
        <v>2037</v>
      </c>
      <c r="Q80" s="98" t="s">
        <v>2050</v>
      </c>
      <c r="R80" s="98" t="s">
        <v>2057</v>
      </c>
      <c r="S80" t="s">
        <v>2047</v>
      </c>
      <c r="T80" t="s">
        <v>2061</v>
      </c>
    </row>
    <row r="81" spans="1:20" x14ac:dyDescent="0.25">
      <c r="A81" s="98" t="s">
        <v>1199</v>
      </c>
      <c r="B81" s="98" t="s">
        <v>1200</v>
      </c>
      <c r="C81" s="98" t="s">
        <v>1179</v>
      </c>
      <c r="D81" s="98" t="s">
        <v>2034</v>
      </c>
      <c r="E81" s="101">
        <v>18143</v>
      </c>
      <c r="F81" s="101">
        <v>219512</v>
      </c>
      <c r="G81" s="98">
        <v>0</v>
      </c>
      <c r="H81" s="101">
        <v>45762</v>
      </c>
      <c r="I81" s="98" t="s">
        <v>2035</v>
      </c>
      <c r="J81" s="98">
        <v>18143</v>
      </c>
      <c r="K81" s="101" t="s">
        <v>2035</v>
      </c>
      <c r="L81" s="98">
        <v>16494</v>
      </c>
      <c r="M81" s="98">
        <v>1649</v>
      </c>
      <c r="N81" s="98">
        <v>10</v>
      </c>
      <c r="O81" s="98" t="s">
        <v>2036</v>
      </c>
      <c r="P81" s="98" t="s">
        <v>2037</v>
      </c>
      <c r="Q81" s="98" t="s">
        <v>2050</v>
      </c>
      <c r="R81" s="98" t="s">
        <v>2057</v>
      </c>
      <c r="S81" t="s">
        <v>2047</v>
      </c>
      <c r="T81" t="s">
        <v>2061</v>
      </c>
    </row>
    <row r="82" spans="1:20" x14ac:dyDescent="0.25">
      <c r="A82" s="98" t="s">
        <v>1201</v>
      </c>
      <c r="B82" s="98" t="s">
        <v>1202</v>
      </c>
      <c r="C82" s="98" t="s">
        <v>1104</v>
      </c>
      <c r="D82" s="98" t="s">
        <v>2034</v>
      </c>
      <c r="E82" s="101">
        <v>2504</v>
      </c>
      <c r="F82" s="101">
        <v>219512</v>
      </c>
      <c r="G82" s="98">
        <v>0</v>
      </c>
      <c r="H82" s="101">
        <v>45817</v>
      </c>
      <c r="I82" s="98" t="s">
        <v>2035</v>
      </c>
      <c r="J82" s="98">
        <v>2504</v>
      </c>
      <c r="K82" s="101" t="s">
        <v>2035</v>
      </c>
      <c r="L82" s="98">
        <v>2782</v>
      </c>
      <c r="M82" s="98">
        <v>-278</v>
      </c>
      <c r="N82" s="98">
        <v>-9.99</v>
      </c>
      <c r="O82" s="98" t="s">
        <v>2062</v>
      </c>
      <c r="P82" s="98" t="s">
        <v>2037</v>
      </c>
      <c r="Q82" s="98" t="s">
        <v>2050</v>
      </c>
      <c r="R82" s="98" t="s">
        <v>2063</v>
      </c>
      <c r="S82" t="s">
        <v>2040</v>
      </c>
      <c r="T82" t="s">
        <v>2064</v>
      </c>
    </row>
    <row r="83" spans="1:20" x14ac:dyDescent="0.25">
      <c r="A83" s="98" t="s">
        <v>1203</v>
      </c>
      <c r="B83" s="98" t="s">
        <v>1204</v>
      </c>
      <c r="C83" s="98" t="s">
        <v>1104</v>
      </c>
      <c r="D83" s="98" t="s">
        <v>2034</v>
      </c>
      <c r="E83" s="101">
        <v>1387</v>
      </c>
      <c r="F83" s="101">
        <v>219512</v>
      </c>
      <c r="G83" s="98">
        <v>0</v>
      </c>
      <c r="H83" s="101">
        <v>45817</v>
      </c>
      <c r="I83" s="98" t="s">
        <v>2035</v>
      </c>
      <c r="J83" s="98">
        <v>1387</v>
      </c>
      <c r="K83" s="101" t="s">
        <v>2035</v>
      </c>
      <c r="L83" s="98">
        <v>1541</v>
      </c>
      <c r="M83" s="98">
        <v>-154</v>
      </c>
      <c r="N83" s="98">
        <v>-9.99</v>
      </c>
      <c r="O83" s="98" t="s">
        <v>2062</v>
      </c>
      <c r="P83" s="98" t="s">
        <v>2037</v>
      </c>
      <c r="Q83" s="98" t="s">
        <v>2050</v>
      </c>
      <c r="R83" s="98" t="s">
        <v>2063</v>
      </c>
      <c r="S83" t="s">
        <v>2040</v>
      </c>
      <c r="T83" t="s">
        <v>2064</v>
      </c>
    </row>
    <row r="84" spans="1:20" x14ac:dyDescent="0.25">
      <c r="A84" s="98" t="s">
        <v>1205</v>
      </c>
      <c r="B84" s="98" t="s">
        <v>1206</v>
      </c>
      <c r="C84" s="98" t="s">
        <v>1104</v>
      </c>
      <c r="D84" s="98" t="s">
        <v>2034</v>
      </c>
      <c r="E84" s="101">
        <v>1387</v>
      </c>
      <c r="F84" s="101">
        <v>219512</v>
      </c>
      <c r="G84" s="98">
        <v>0</v>
      </c>
      <c r="H84" s="101">
        <v>45817</v>
      </c>
      <c r="I84" s="98" t="s">
        <v>2035</v>
      </c>
      <c r="J84" s="98">
        <v>1387</v>
      </c>
      <c r="K84" s="101" t="s">
        <v>2035</v>
      </c>
      <c r="L84" s="98">
        <v>1541</v>
      </c>
      <c r="M84" s="98">
        <v>-154</v>
      </c>
      <c r="N84" s="98">
        <v>-9.99</v>
      </c>
      <c r="O84" s="98" t="s">
        <v>2062</v>
      </c>
      <c r="P84" s="98" t="s">
        <v>2037</v>
      </c>
      <c r="Q84" s="98" t="s">
        <v>2050</v>
      </c>
      <c r="R84" s="98" t="s">
        <v>2063</v>
      </c>
      <c r="S84" t="s">
        <v>2040</v>
      </c>
      <c r="T84" t="s">
        <v>2064</v>
      </c>
    </row>
    <row r="85" spans="1:20" x14ac:dyDescent="0.25">
      <c r="A85" s="98" t="s">
        <v>1207</v>
      </c>
      <c r="B85" s="98" t="s">
        <v>1208</v>
      </c>
      <c r="C85" s="98" t="s">
        <v>1136</v>
      </c>
      <c r="D85" s="98" t="s">
        <v>2034</v>
      </c>
      <c r="E85" s="101">
        <v>3873</v>
      </c>
      <c r="F85" s="101">
        <v>219512</v>
      </c>
      <c r="G85" s="98">
        <v>0</v>
      </c>
      <c r="H85" s="101">
        <v>45762</v>
      </c>
      <c r="I85" s="98" t="s">
        <v>2035</v>
      </c>
      <c r="J85" s="98">
        <v>3873</v>
      </c>
      <c r="K85" s="101" t="s">
        <v>2035</v>
      </c>
      <c r="L85" s="98">
        <v>3521</v>
      </c>
      <c r="M85" s="98">
        <v>352</v>
      </c>
      <c r="N85" s="98">
        <v>10</v>
      </c>
      <c r="O85" s="98" t="s">
        <v>2062</v>
      </c>
      <c r="P85" s="98" t="s">
        <v>2037</v>
      </c>
      <c r="Q85" s="98" t="s">
        <v>2050</v>
      </c>
      <c r="R85" s="98" t="s">
        <v>2065</v>
      </c>
      <c r="S85" t="s">
        <v>2058</v>
      </c>
      <c r="T85" t="s">
        <v>2066</v>
      </c>
    </row>
    <row r="86" spans="1:20" x14ac:dyDescent="0.25">
      <c r="A86" s="98" t="s">
        <v>1209</v>
      </c>
      <c r="B86" s="98" t="s">
        <v>1210</v>
      </c>
      <c r="C86" s="98" t="s">
        <v>1136</v>
      </c>
      <c r="D86" s="98" t="s">
        <v>2034</v>
      </c>
      <c r="E86" s="101">
        <v>4348</v>
      </c>
      <c r="F86" s="101">
        <v>219512</v>
      </c>
      <c r="G86" s="98">
        <v>0</v>
      </c>
      <c r="H86" s="101">
        <v>45762</v>
      </c>
      <c r="I86" s="98" t="s">
        <v>2035</v>
      </c>
      <c r="J86" s="98">
        <v>4348</v>
      </c>
      <c r="K86" s="101" t="s">
        <v>2035</v>
      </c>
      <c r="L86" s="98">
        <v>3953</v>
      </c>
      <c r="M86" s="98">
        <v>395</v>
      </c>
      <c r="N86" s="98">
        <v>9.99</v>
      </c>
      <c r="O86" s="98" t="s">
        <v>2062</v>
      </c>
      <c r="P86" s="98" t="s">
        <v>2037</v>
      </c>
      <c r="Q86" s="98" t="s">
        <v>2050</v>
      </c>
      <c r="R86" s="98" t="s">
        <v>2065</v>
      </c>
      <c r="S86" t="s">
        <v>2058</v>
      </c>
      <c r="T86" t="s">
        <v>2066</v>
      </c>
    </row>
    <row r="87" spans="1:20" x14ac:dyDescent="0.25">
      <c r="A87" s="98" t="s">
        <v>1211</v>
      </c>
      <c r="B87" s="98" t="s">
        <v>1212</v>
      </c>
      <c r="C87" s="98" t="s">
        <v>1136</v>
      </c>
      <c r="D87" s="98" t="s">
        <v>2034</v>
      </c>
      <c r="E87" s="101">
        <v>5443</v>
      </c>
      <c r="F87" s="101">
        <v>219512</v>
      </c>
      <c r="G87" s="98">
        <v>0</v>
      </c>
      <c r="H87" s="101">
        <v>45762</v>
      </c>
      <c r="I87" s="98" t="s">
        <v>2035</v>
      </c>
      <c r="J87" s="98">
        <v>5443</v>
      </c>
      <c r="K87" s="101" t="s">
        <v>2035</v>
      </c>
      <c r="L87" s="98">
        <v>4948</v>
      </c>
      <c r="M87" s="98">
        <v>495</v>
      </c>
      <c r="N87" s="98">
        <v>10</v>
      </c>
      <c r="O87" s="98" t="s">
        <v>2062</v>
      </c>
      <c r="P87" s="98" t="s">
        <v>2037</v>
      </c>
      <c r="Q87" s="98" t="s">
        <v>2050</v>
      </c>
      <c r="R87" s="98" t="s">
        <v>2065</v>
      </c>
      <c r="S87" t="s">
        <v>2058</v>
      </c>
      <c r="T87" t="s">
        <v>2066</v>
      </c>
    </row>
    <row r="88" spans="1:20" x14ac:dyDescent="0.25">
      <c r="A88" s="98" t="s">
        <v>1213</v>
      </c>
      <c r="B88" s="98" t="s">
        <v>1214</v>
      </c>
      <c r="C88" s="98" t="s">
        <v>1136</v>
      </c>
      <c r="D88" s="98" t="s">
        <v>2034</v>
      </c>
      <c r="E88" s="101">
        <v>6980</v>
      </c>
      <c r="F88" s="101">
        <v>219512</v>
      </c>
      <c r="G88" s="98">
        <v>0</v>
      </c>
      <c r="H88" s="101">
        <v>45762</v>
      </c>
      <c r="I88" s="98" t="s">
        <v>2035</v>
      </c>
      <c r="J88" s="98">
        <v>6980</v>
      </c>
      <c r="K88" s="101" t="s">
        <v>2035</v>
      </c>
      <c r="L88" s="98">
        <v>6345</v>
      </c>
      <c r="M88" s="98">
        <v>635</v>
      </c>
      <c r="N88" s="98">
        <v>10.01</v>
      </c>
      <c r="O88" s="98" t="s">
        <v>2062</v>
      </c>
      <c r="P88" s="98" t="s">
        <v>2037</v>
      </c>
      <c r="Q88" s="98" t="s">
        <v>2050</v>
      </c>
      <c r="R88" s="98" t="s">
        <v>2065</v>
      </c>
      <c r="S88" t="s">
        <v>2058</v>
      </c>
      <c r="T88" t="s">
        <v>2066</v>
      </c>
    </row>
    <row r="89" spans="1:20" x14ac:dyDescent="0.25">
      <c r="A89" s="98" t="s">
        <v>1215</v>
      </c>
      <c r="B89" s="98" t="s">
        <v>1216</v>
      </c>
      <c r="C89" s="98" t="s">
        <v>1136</v>
      </c>
      <c r="D89" s="98" t="s">
        <v>2034</v>
      </c>
      <c r="E89" s="101">
        <v>8864</v>
      </c>
      <c r="F89" s="101">
        <v>219512</v>
      </c>
      <c r="G89" s="98">
        <v>0</v>
      </c>
      <c r="H89" s="101">
        <v>45762</v>
      </c>
      <c r="I89" s="98" t="s">
        <v>2035</v>
      </c>
      <c r="J89" s="98">
        <v>8864</v>
      </c>
      <c r="K89" s="101" t="s">
        <v>2035</v>
      </c>
      <c r="L89" s="98">
        <v>8058</v>
      </c>
      <c r="M89" s="98">
        <v>806</v>
      </c>
      <c r="N89" s="98">
        <v>10</v>
      </c>
      <c r="O89" s="98" t="s">
        <v>2062</v>
      </c>
      <c r="P89" s="98" t="s">
        <v>2037</v>
      </c>
      <c r="Q89" s="98" t="s">
        <v>2050</v>
      </c>
      <c r="R89" s="98" t="s">
        <v>2065</v>
      </c>
      <c r="S89" t="s">
        <v>2058</v>
      </c>
      <c r="T89" t="s">
        <v>2066</v>
      </c>
    </row>
    <row r="90" spans="1:20" x14ac:dyDescent="0.25">
      <c r="A90" s="98" t="s">
        <v>1217</v>
      </c>
      <c r="B90" s="98" t="s">
        <v>1218</v>
      </c>
      <c r="C90" s="98" t="s">
        <v>1136</v>
      </c>
      <c r="D90" s="98" t="s">
        <v>2034</v>
      </c>
      <c r="E90" s="101">
        <v>11530</v>
      </c>
      <c r="F90" s="101">
        <v>219512</v>
      </c>
      <c r="G90" s="98">
        <v>0</v>
      </c>
      <c r="H90" s="101">
        <v>45762</v>
      </c>
      <c r="I90" s="98" t="s">
        <v>2035</v>
      </c>
      <c r="J90" s="98">
        <v>11530</v>
      </c>
      <c r="K90" s="101" t="s">
        <v>2035</v>
      </c>
      <c r="L90" s="98">
        <v>10482</v>
      </c>
      <c r="M90" s="98">
        <v>1048</v>
      </c>
      <c r="N90" s="98">
        <v>10</v>
      </c>
      <c r="O90" s="98" t="s">
        <v>2062</v>
      </c>
      <c r="P90" s="98" t="s">
        <v>2037</v>
      </c>
      <c r="Q90" s="98" t="s">
        <v>2050</v>
      </c>
      <c r="R90" s="98" t="s">
        <v>2065</v>
      </c>
      <c r="S90" t="s">
        <v>2058</v>
      </c>
      <c r="T90" t="s">
        <v>2066</v>
      </c>
    </row>
    <row r="91" spans="1:20" x14ac:dyDescent="0.25">
      <c r="A91" s="98" t="s">
        <v>1219</v>
      </c>
      <c r="B91" s="98" t="s">
        <v>1220</v>
      </c>
      <c r="C91" s="98" t="s">
        <v>1179</v>
      </c>
      <c r="D91" s="98" t="s">
        <v>2034</v>
      </c>
      <c r="E91" s="101">
        <v>15716</v>
      </c>
      <c r="F91" s="101">
        <v>219512</v>
      </c>
      <c r="G91" s="98">
        <v>0</v>
      </c>
      <c r="H91" s="101">
        <v>45897</v>
      </c>
      <c r="I91" s="98" t="s">
        <v>2035</v>
      </c>
      <c r="J91" s="98">
        <v>15716</v>
      </c>
      <c r="K91" s="101" t="s">
        <v>2054</v>
      </c>
      <c r="L91" s="98">
        <v>0</v>
      </c>
      <c r="M91" s="98">
        <v>15716</v>
      </c>
      <c r="N91" s="98">
        <v>0</v>
      </c>
      <c r="O91" s="98" t="s">
        <v>2062</v>
      </c>
      <c r="P91" s="98" t="s">
        <v>2037</v>
      </c>
      <c r="Q91" s="98" t="s">
        <v>2038</v>
      </c>
      <c r="R91" s="98" t="s">
        <v>2065</v>
      </c>
      <c r="S91" t="s">
        <v>2067</v>
      </c>
      <c r="T91" t="s">
        <v>2066</v>
      </c>
    </row>
    <row r="92" spans="1:20" x14ac:dyDescent="0.25">
      <c r="A92" s="98" t="s">
        <v>463</v>
      </c>
      <c r="B92" s="98" t="s">
        <v>1221</v>
      </c>
      <c r="C92" s="98" t="s">
        <v>1179</v>
      </c>
      <c r="D92" s="98" t="s">
        <v>2034</v>
      </c>
      <c r="E92" s="101">
        <v>43825</v>
      </c>
      <c r="F92" s="101">
        <v>219512</v>
      </c>
      <c r="G92" s="98">
        <v>0</v>
      </c>
      <c r="H92" s="101">
        <v>45766</v>
      </c>
      <c r="I92" s="98" t="s">
        <v>2035</v>
      </c>
      <c r="J92" s="98">
        <v>43825</v>
      </c>
      <c r="K92" s="101" t="s">
        <v>2035</v>
      </c>
      <c r="L92" s="98">
        <v>48208</v>
      </c>
      <c r="M92" s="98">
        <v>-4383</v>
      </c>
      <c r="N92" s="98">
        <v>-9.09</v>
      </c>
      <c r="O92" s="98" t="s">
        <v>2062</v>
      </c>
      <c r="P92" s="98" t="s">
        <v>2037</v>
      </c>
      <c r="Q92" s="98" t="s">
        <v>2038</v>
      </c>
      <c r="R92" s="98" t="s">
        <v>2065</v>
      </c>
      <c r="S92" t="s">
        <v>2067</v>
      </c>
      <c r="T92" t="s">
        <v>2066</v>
      </c>
    </row>
    <row r="93" spans="1:20" x14ac:dyDescent="0.25">
      <c r="A93" s="98" t="s">
        <v>1222</v>
      </c>
      <c r="B93" s="98" t="s">
        <v>1223</v>
      </c>
      <c r="C93" s="98" t="s">
        <v>1179</v>
      </c>
      <c r="D93" s="98" t="s">
        <v>2034</v>
      </c>
      <c r="E93" s="101">
        <v>37089</v>
      </c>
      <c r="F93" s="101">
        <v>219512</v>
      </c>
      <c r="G93" s="98">
        <v>0</v>
      </c>
      <c r="H93" s="101">
        <v>45766</v>
      </c>
      <c r="I93" s="98" t="s">
        <v>2035</v>
      </c>
      <c r="J93" s="98">
        <v>37089</v>
      </c>
      <c r="K93" s="101" t="s">
        <v>2035</v>
      </c>
      <c r="L93" s="98">
        <v>40798</v>
      </c>
      <c r="M93" s="98">
        <v>-3709</v>
      </c>
      <c r="N93" s="98">
        <v>-9.09</v>
      </c>
      <c r="O93" s="98" t="s">
        <v>2062</v>
      </c>
      <c r="P93" s="98" t="s">
        <v>2037</v>
      </c>
      <c r="Q93" s="98" t="s">
        <v>2038</v>
      </c>
      <c r="R93" s="98" t="s">
        <v>2065</v>
      </c>
      <c r="S93" t="s">
        <v>2068</v>
      </c>
      <c r="T93" t="s">
        <v>2066</v>
      </c>
    </row>
    <row r="94" spans="1:20" x14ac:dyDescent="0.25">
      <c r="A94" s="98" t="s">
        <v>1224</v>
      </c>
      <c r="B94" s="98" t="s">
        <v>1225</v>
      </c>
      <c r="C94" s="98" t="s">
        <v>1179</v>
      </c>
      <c r="D94" s="98" t="s">
        <v>2034</v>
      </c>
      <c r="E94" s="101">
        <v>23042</v>
      </c>
      <c r="F94" s="101">
        <v>219512</v>
      </c>
      <c r="G94" s="98">
        <v>0</v>
      </c>
      <c r="H94" s="101">
        <v>45766</v>
      </c>
      <c r="I94" s="98" t="s">
        <v>2035</v>
      </c>
      <c r="J94" s="98">
        <v>23042</v>
      </c>
      <c r="K94" s="101" t="s">
        <v>2035</v>
      </c>
      <c r="L94" s="98">
        <v>25346</v>
      </c>
      <c r="M94" s="98">
        <v>-2304</v>
      </c>
      <c r="N94" s="98">
        <v>-9.09</v>
      </c>
      <c r="O94" s="98" t="s">
        <v>2062</v>
      </c>
      <c r="P94" s="98" t="s">
        <v>2037</v>
      </c>
      <c r="Q94" s="98" t="s">
        <v>2038</v>
      </c>
      <c r="R94" s="98" t="s">
        <v>2065</v>
      </c>
      <c r="S94" t="s">
        <v>2060</v>
      </c>
      <c r="T94" t="s">
        <v>2066</v>
      </c>
    </row>
    <row r="95" spans="1:20" x14ac:dyDescent="0.25">
      <c r="A95" s="98" t="s">
        <v>1226</v>
      </c>
      <c r="B95" s="98" t="s">
        <v>1227</v>
      </c>
      <c r="C95" s="98" t="s">
        <v>1179</v>
      </c>
      <c r="D95" s="98" t="s">
        <v>2034</v>
      </c>
      <c r="E95" s="101">
        <v>25792</v>
      </c>
      <c r="F95" s="101">
        <v>219512</v>
      </c>
      <c r="G95" s="98">
        <v>0</v>
      </c>
      <c r="H95" s="101">
        <v>45766</v>
      </c>
      <c r="I95" s="98" t="s">
        <v>2035</v>
      </c>
      <c r="J95" s="98">
        <v>25792</v>
      </c>
      <c r="K95" s="101" t="s">
        <v>2035</v>
      </c>
      <c r="L95" s="98">
        <v>28371</v>
      </c>
      <c r="M95" s="98">
        <v>-2579</v>
      </c>
      <c r="N95" s="98">
        <v>-9.09</v>
      </c>
      <c r="O95" s="98" t="s">
        <v>2062</v>
      </c>
      <c r="P95" s="98" t="s">
        <v>2037</v>
      </c>
      <c r="Q95" s="98" t="s">
        <v>2038</v>
      </c>
      <c r="R95" s="98" t="s">
        <v>2065</v>
      </c>
      <c r="S95" t="s">
        <v>2068</v>
      </c>
      <c r="T95" t="s">
        <v>2066</v>
      </c>
    </row>
    <row r="96" spans="1:20" x14ac:dyDescent="0.25">
      <c r="A96" s="98" t="s">
        <v>1228</v>
      </c>
      <c r="B96" s="98" t="s">
        <v>1229</v>
      </c>
      <c r="C96" s="98" t="s">
        <v>1179</v>
      </c>
      <c r="D96" s="98" t="s">
        <v>2034</v>
      </c>
      <c r="E96" s="101">
        <v>29631</v>
      </c>
      <c r="F96" s="101">
        <v>219512</v>
      </c>
      <c r="G96" s="98">
        <v>0</v>
      </c>
      <c r="H96" s="101">
        <v>45766</v>
      </c>
      <c r="I96" s="98" t="s">
        <v>2035</v>
      </c>
      <c r="J96" s="98">
        <v>29631</v>
      </c>
      <c r="K96" s="101" t="s">
        <v>2035</v>
      </c>
      <c r="L96" s="98">
        <v>32594</v>
      </c>
      <c r="M96" s="98">
        <v>-2963</v>
      </c>
      <c r="N96" s="98">
        <v>-9.09</v>
      </c>
      <c r="O96" s="98" t="s">
        <v>2062</v>
      </c>
      <c r="P96" s="98" t="s">
        <v>2037</v>
      </c>
      <c r="Q96" s="98" t="s">
        <v>2038</v>
      </c>
      <c r="R96" s="98" t="s">
        <v>2065</v>
      </c>
      <c r="S96" t="s">
        <v>2068</v>
      </c>
      <c r="T96" t="s">
        <v>2066</v>
      </c>
    </row>
    <row r="97" spans="1:20" x14ac:dyDescent="0.25">
      <c r="A97" s="98" t="s">
        <v>1230</v>
      </c>
      <c r="B97" s="98" t="s">
        <v>1231</v>
      </c>
      <c r="C97" s="98" t="s">
        <v>1179</v>
      </c>
      <c r="D97" s="98" t="s">
        <v>2034</v>
      </c>
      <c r="E97" s="101">
        <v>37337</v>
      </c>
      <c r="F97" s="101">
        <v>219512</v>
      </c>
      <c r="G97" s="98">
        <v>0</v>
      </c>
      <c r="H97" s="101">
        <v>45766</v>
      </c>
      <c r="I97" s="98" t="s">
        <v>2035</v>
      </c>
      <c r="J97" s="98">
        <v>37337</v>
      </c>
      <c r="K97" s="101" t="s">
        <v>2035</v>
      </c>
      <c r="L97" s="98">
        <v>41071</v>
      </c>
      <c r="M97" s="98">
        <v>-3734</v>
      </c>
      <c r="N97" s="98">
        <v>-9.09</v>
      </c>
      <c r="O97" s="98" t="s">
        <v>2062</v>
      </c>
      <c r="P97" s="98" t="s">
        <v>2037</v>
      </c>
      <c r="Q97" s="98" t="s">
        <v>2038</v>
      </c>
      <c r="R97" s="98" t="s">
        <v>2065</v>
      </c>
      <c r="S97" t="s">
        <v>2068</v>
      </c>
      <c r="T97" t="s">
        <v>2066</v>
      </c>
    </row>
    <row r="98" spans="1:20" x14ac:dyDescent="0.25">
      <c r="A98" s="98" t="s">
        <v>1232</v>
      </c>
      <c r="B98" s="98" t="s">
        <v>1233</v>
      </c>
      <c r="C98" s="98" t="s">
        <v>1179</v>
      </c>
      <c r="D98" s="98" t="s">
        <v>2034</v>
      </c>
      <c r="E98" s="101">
        <v>23204</v>
      </c>
      <c r="F98" s="101">
        <v>219512</v>
      </c>
      <c r="G98" s="98">
        <v>0</v>
      </c>
      <c r="H98" s="101">
        <v>45766</v>
      </c>
      <c r="I98" s="98" t="s">
        <v>2035</v>
      </c>
      <c r="J98" s="98">
        <v>23204</v>
      </c>
      <c r="K98" s="101" t="s">
        <v>2035</v>
      </c>
      <c r="L98" s="98">
        <v>25524</v>
      </c>
      <c r="M98" s="98">
        <v>-2320</v>
      </c>
      <c r="N98" s="98">
        <v>-9.09</v>
      </c>
      <c r="O98" s="98" t="s">
        <v>2062</v>
      </c>
      <c r="P98" s="98" t="s">
        <v>2037</v>
      </c>
      <c r="Q98" s="98" t="s">
        <v>2038</v>
      </c>
      <c r="R98" s="98" t="s">
        <v>2065</v>
      </c>
      <c r="S98" t="s">
        <v>2060</v>
      </c>
      <c r="T98" t="s">
        <v>2066</v>
      </c>
    </row>
    <row r="99" spans="1:20" x14ac:dyDescent="0.25">
      <c r="A99" s="98" t="s">
        <v>1234</v>
      </c>
      <c r="B99" s="98" t="s">
        <v>1235</v>
      </c>
      <c r="C99" s="98" t="s">
        <v>1179</v>
      </c>
      <c r="D99" s="98" t="s">
        <v>2034</v>
      </c>
      <c r="E99" s="101">
        <v>20178</v>
      </c>
      <c r="F99" s="101">
        <v>219512</v>
      </c>
      <c r="G99" s="98">
        <v>0</v>
      </c>
      <c r="H99" s="101">
        <v>45766</v>
      </c>
      <c r="I99" s="98" t="s">
        <v>2035</v>
      </c>
      <c r="J99" s="98">
        <v>20178</v>
      </c>
      <c r="K99" s="101" t="s">
        <v>2035</v>
      </c>
      <c r="L99" s="98">
        <v>22196</v>
      </c>
      <c r="M99" s="98">
        <v>-2018</v>
      </c>
      <c r="N99" s="98">
        <v>-9.09</v>
      </c>
      <c r="O99" s="98" t="s">
        <v>2062</v>
      </c>
      <c r="P99" s="98" t="s">
        <v>2037</v>
      </c>
      <c r="Q99" s="98" t="s">
        <v>2038</v>
      </c>
      <c r="R99" s="98" t="s">
        <v>2065</v>
      </c>
      <c r="S99" t="s">
        <v>2060</v>
      </c>
      <c r="T99" t="s">
        <v>2066</v>
      </c>
    </row>
    <row r="100" spans="1:20" x14ac:dyDescent="0.25">
      <c r="A100" s="98" t="s">
        <v>474</v>
      </c>
      <c r="B100" s="98" t="s">
        <v>1236</v>
      </c>
      <c r="C100" s="98" t="s">
        <v>1179</v>
      </c>
      <c r="D100" s="98" t="s">
        <v>2034</v>
      </c>
      <c r="E100" s="101">
        <v>37046</v>
      </c>
      <c r="F100" s="101">
        <v>219512</v>
      </c>
      <c r="G100" s="98">
        <v>0</v>
      </c>
      <c r="H100" s="101">
        <v>45919</v>
      </c>
      <c r="I100" s="98" t="s">
        <v>2035</v>
      </c>
      <c r="J100" s="98">
        <v>37046</v>
      </c>
      <c r="K100" s="101" t="s">
        <v>2035</v>
      </c>
      <c r="L100" s="98">
        <v>34622</v>
      </c>
      <c r="M100" s="98">
        <v>2424</v>
      </c>
      <c r="N100" s="98">
        <v>7</v>
      </c>
      <c r="O100" s="98" t="s">
        <v>2062</v>
      </c>
      <c r="P100" s="98" t="s">
        <v>2037</v>
      </c>
      <c r="Q100" s="98" t="s">
        <v>2038</v>
      </c>
      <c r="R100" s="98" t="s">
        <v>2065</v>
      </c>
      <c r="S100" t="s">
        <v>2068</v>
      </c>
      <c r="T100" t="s">
        <v>2066</v>
      </c>
    </row>
    <row r="101" spans="1:20" x14ac:dyDescent="0.25">
      <c r="A101" s="98" t="s">
        <v>482</v>
      </c>
      <c r="B101" s="98" t="s">
        <v>1237</v>
      </c>
      <c r="C101" s="98" t="s">
        <v>1179</v>
      </c>
      <c r="D101" s="98" t="s">
        <v>2034</v>
      </c>
      <c r="E101" s="101">
        <v>42967</v>
      </c>
      <c r="F101" s="101">
        <v>219512</v>
      </c>
      <c r="G101" s="98">
        <v>0</v>
      </c>
      <c r="H101" s="101">
        <v>45919</v>
      </c>
      <c r="I101" s="98" t="s">
        <v>2035</v>
      </c>
      <c r="J101" s="98">
        <v>42967</v>
      </c>
      <c r="K101" s="101" t="s">
        <v>2035</v>
      </c>
      <c r="L101" s="98">
        <v>40156</v>
      </c>
      <c r="M101" s="98">
        <v>2811</v>
      </c>
      <c r="N101" s="98">
        <v>7</v>
      </c>
      <c r="O101" s="98" t="s">
        <v>2062</v>
      </c>
      <c r="P101" s="98" t="s">
        <v>2037</v>
      </c>
      <c r="Q101" s="98" t="s">
        <v>2038</v>
      </c>
      <c r="R101" s="98" t="s">
        <v>2065</v>
      </c>
      <c r="S101" t="s">
        <v>2068</v>
      </c>
      <c r="T101" t="s">
        <v>2066</v>
      </c>
    </row>
    <row r="102" spans="1:20" x14ac:dyDescent="0.25">
      <c r="A102" s="98" t="s">
        <v>483</v>
      </c>
      <c r="B102" s="98" t="s">
        <v>1238</v>
      </c>
      <c r="C102" s="98" t="s">
        <v>1179</v>
      </c>
      <c r="D102" s="98" t="s">
        <v>2034</v>
      </c>
      <c r="E102" s="101">
        <v>52489</v>
      </c>
      <c r="F102" s="101">
        <v>219512</v>
      </c>
      <c r="G102" s="98">
        <v>0</v>
      </c>
      <c r="H102" s="101">
        <v>45919</v>
      </c>
      <c r="I102" s="98" t="s">
        <v>2035</v>
      </c>
      <c r="J102" s="98">
        <v>52489</v>
      </c>
      <c r="K102" s="101" t="s">
        <v>2035</v>
      </c>
      <c r="L102" s="98">
        <v>49055</v>
      </c>
      <c r="M102" s="98">
        <v>3434</v>
      </c>
      <c r="N102" s="98">
        <v>7</v>
      </c>
      <c r="O102" s="98" t="s">
        <v>2062</v>
      </c>
      <c r="P102" s="98" t="s">
        <v>2037</v>
      </c>
      <c r="Q102" s="98" t="s">
        <v>2038</v>
      </c>
      <c r="R102" s="98" t="s">
        <v>2065</v>
      </c>
      <c r="S102" t="s">
        <v>2068</v>
      </c>
      <c r="T102" t="s">
        <v>2066</v>
      </c>
    </row>
    <row r="103" spans="1:20" x14ac:dyDescent="0.25">
      <c r="A103" s="98" t="s">
        <v>484</v>
      </c>
      <c r="B103" s="98" t="s">
        <v>1239</v>
      </c>
      <c r="C103" s="98" t="s">
        <v>1179</v>
      </c>
      <c r="D103" s="98" t="s">
        <v>2034</v>
      </c>
      <c r="E103" s="101">
        <v>32415</v>
      </c>
      <c r="F103" s="101">
        <v>219512</v>
      </c>
      <c r="G103" s="98">
        <v>0</v>
      </c>
      <c r="H103" s="101">
        <v>45919</v>
      </c>
      <c r="I103" s="98" t="s">
        <v>2035</v>
      </c>
      <c r="J103" s="98">
        <v>32415</v>
      </c>
      <c r="K103" s="101" t="s">
        <v>2035</v>
      </c>
      <c r="L103" s="98">
        <v>30294</v>
      </c>
      <c r="M103" s="98">
        <v>2121</v>
      </c>
      <c r="N103" s="98">
        <v>7</v>
      </c>
      <c r="O103" s="98" t="s">
        <v>2062</v>
      </c>
      <c r="P103" s="98" t="s">
        <v>2037</v>
      </c>
      <c r="Q103" s="98" t="s">
        <v>2038</v>
      </c>
      <c r="R103" s="98" t="s">
        <v>2065</v>
      </c>
      <c r="S103" t="s">
        <v>2060</v>
      </c>
      <c r="T103" t="s">
        <v>2066</v>
      </c>
    </row>
    <row r="104" spans="1:20" x14ac:dyDescent="0.25">
      <c r="A104" s="98" t="s">
        <v>469</v>
      </c>
      <c r="B104" s="98" t="s">
        <v>1240</v>
      </c>
      <c r="C104" s="98" t="s">
        <v>1179</v>
      </c>
      <c r="D104" s="98" t="s">
        <v>2034</v>
      </c>
      <c r="E104" s="101">
        <v>27207</v>
      </c>
      <c r="F104" s="101">
        <v>219512</v>
      </c>
      <c r="G104" s="98">
        <v>0</v>
      </c>
      <c r="H104" s="101">
        <v>45919</v>
      </c>
      <c r="I104" s="98" t="s">
        <v>2035</v>
      </c>
      <c r="J104" s="98">
        <v>27207</v>
      </c>
      <c r="K104" s="101" t="s">
        <v>2035</v>
      </c>
      <c r="L104" s="98">
        <v>25427</v>
      </c>
      <c r="M104" s="98">
        <v>1780</v>
      </c>
      <c r="N104" s="98">
        <v>7</v>
      </c>
      <c r="O104" s="98" t="s">
        <v>2062</v>
      </c>
      <c r="P104" s="98" t="s">
        <v>2037</v>
      </c>
      <c r="Q104" s="98" t="s">
        <v>2038</v>
      </c>
      <c r="R104" s="98" t="s">
        <v>2065</v>
      </c>
      <c r="S104" t="s">
        <v>2060</v>
      </c>
      <c r="T104" t="s">
        <v>2066</v>
      </c>
    </row>
    <row r="105" spans="1:20" x14ac:dyDescent="0.25">
      <c r="A105" s="98" t="s">
        <v>470</v>
      </c>
      <c r="B105" s="98" t="s">
        <v>1241</v>
      </c>
      <c r="C105" s="98" t="s">
        <v>1179</v>
      </c>
      <c r="D105" s="98" t="s">
        <v>2034</v>
      </c>
      <c r="E105" s="101">
        <v>33366</v>
      </c>
      <c r="F105" s="101">
        <v>219512</v>
      </c>
      <c r="G105" s="98">
        <v>0</v>
      </c>
      <c r="H105" s="101">
        <v>45919</v>
      </c>
      <c r="I105" s="98" t="s">
        <v>2035</v>
      </c>
      <c r="J105" s="98">
        <v>33366</v>
      </c>
      <c r="K105" s="101" t="s">
        <v>2035</v>
      </c>
      <c r="L105" s="98">
        <v>31183</v>
      </c>
      <c r="M105" s="98">
        <v>2183</v>
      </c>
      <c r="N105" s="98">
        <v>7</v>
      </c>
      <c r="O105" s="98" t="s">
        <v>2062</v>
      </c>
      <c r="P105" s="98" t="s">
        <v>2037</v>
      </c>
      <c r="Q105" s="98" t="s">
        <v>2038</v>
      </c>
      <c r="R105" s="98" t="s">
        <v>2065</v>
      </c>
      <c r="S105" t="s">
        <v>2060</v>
      </c>
      <c r="T105" t="s">
        <v>2066</v>
      </c>
    </row>
    <row r="106" spans="1:20" x14ac:dyDescent="0.25">
      <c r="A106" s="98" t="s">
        <v>1242</v>
      </c>
      <c r="B106" s="98" t="s">
        <v>1243</v>
      </c>
      <c r="C106" s="98" t="s">
        <v>1136</v>
      </c>
      <c r="D106" s="98" t="s">
        <v>2034</v>
      </c>
      <c r="E106" s="101">
        <v>21284</v>
      </c>
      <c r="F106" s="101">
        <v>219512</v>
      </c>
      <c r="G106" s="98">
        <v>0</v>
      </c>
      <c r="H106" s="101">
        <v>45766</v>
      </c>
      <c r="I106" s="98" t="s">
        <v>2035</v>
      </c>
      <c r="J106" s="98">
        <v>21284</v>
      </c>
      <c r="K106" s="101" t="s">
        <v>2035</v>
      </c>
      <c r="L106" s="98">
        <v>23412</v>
      </c>
      <c r="M106" s="98">
        <v>-2128</v>
      </c>
      <c r="N106" s="98">
        <v>-9.09</v>
      </c>
      <c r="O106" s="98" t="s">
        <v>2062</v>
      </c>
      <c r="P106" s="98" t="s">
        <v>2037</v>
      </c>
      <c r="Q106" s="98" t="s">
        <v>2050</v>
      </c>
      <c r="R106" s="98" t="s">
        <v>2069</v>
      </c>
      <c r="S106" t="s">
        <v>2040</v>
      </c>
      <c r="T106" t="s">
        <v>2066</v>
      </c>
    </row>
    <row r="107" spans="1:20" x14ac:dyDescent="0.25">
      <c r="A107" s="98" t="s">
        <v>1244</v>
      </c>
      <c r="B107" s="98" t="s">
        <v>1245</v>
      </c>
      <c r="C107" s="98" t="s">
        <v>1136</v>
      </c>
      <c r="D107" s="98" t="s">
        <v>2034</v>
      </c>
      <c r="E107" s="101">
        <v>21204</v>
      </c>
      <c r="F107" s="101">
        <v>219512</v>
      </c>
      <c r="G107" s="98">
        <v>0</v>
      </c>
      <c r="H107" s="101">
        <v>45766</v>
      </c>
      <c r="I107" s="98" t="s">
        <v>2035</v>
      </c>
      <c r="J107" s="98">
        <v>21204</v>
      </c>
      <c r="K107" s="101" t="s">
        <v>2035</v>
      </c>
      <c r="L107" s="98">
        <v>23324</v>
      </c>
      <c r="M107" s="98">
        <v>-2120</v>
      </c>
      <c r="N107" s="98">
        <v>-9.09</v>
      </c>
      <c r="O107" s="98" t="s">
        <v>2062</v>
      </c>
      <c r="P107" s="98" t="s">
        <v>2037</v>
      </c>
      <c r="Q107" s="98" t="s">
        <v>2050</v>
      </c>
      <c r="R107" s="98" t="s">
        <v>2069</v>
      </c>
      <c r="S107" t="s">
        <v>2040</v>
      </c>
      <c r="T107" t="s">
        <v>2066</v>
      </c>
    </row>
    <row r="108" spans="1:20" x14ac:dyDescent="0.25">
      <c r="A108" s="98" t="s">
        <v>1246</v>
      </c>
      <c r="B108" s="98" t="s">
        <v>1247</v>
      </c>
      <c r="C108" s="98" t="s">
        <v>1136</v>
      </c>
      <c r="D108" s="98" t="s">
        <v>2034</v>
      </c>
      <c r="E108" s="101">
        <v>21204</v>
      </c>
      <c r="F108" s="101">
        <v>219512</v>
      </c>
      <c r="G108" s="98">
        <v>0</v>
      </c>
      <c r="H108" s="101">
        <v>45766</v>
      </c>
      <c r="I108" s="98" t="s">
        <v>2035</v>
      </c>
      <c r="J108" s="98">
        <v>21204</v>
      </c>
      <c r="K108" s="101" t="s">
        <v>2035</v>
      </c>
      <c r="L108" s="98">
        <v>23324</v>
      </c>
      <c r="M108" s="98">
        <v>-2120</v>
      </c>
      <c r="N108" s="98">
        <v>-9.09</v>
      </c>
      <c r="O108" s="98" t="s">
        <v>2062</v>
      </c>
      <c r="P108" s="98" t="s">
        <v>2037</v>
      </c>
      <c r="Q108" s="98" t="s">
        <v>2050</v>
      </c>
      <c r="R108" s="98" t="s">
        <v>2069</v>
      </c>
      <c r="S108" t="s">
        <v>2040</v>
      </c>
      <c r="T108" t="s">
        <v>2066</v>
      </c>
    </row>
    <row r="109" spans="1:20" x14ac:dyDescent="0.25">
      <c r="A109" s="98" t="s">
        <v>1248</v>
      </c>
      <c r="B109" s="98" t="s">
        <v>1249</v>
      </c>
      <c r="C109" s="98" t="s">
        <v>1136</v>
      </c>
      <c r="D109" s="98" t="s">
        <v>2034</v>
      </c>
      <c r="E109" s="101">
        <v>28983</v>
      </c>
      <c r="F109" s="101">
        <v>219512</v>
      </c>
      <c r="G109" s="98">
        <v>0</v>
      </c>
      <c r="H109" s="101">
        <v>45766</v>
      </c>
      <c r="I109" s="98" t="s">
        <v>2035</v>
      </c>
      <c r="J109" s="98">
        <v>28983</v>
      </c>
      <c r="K109" s="101" t="s">
        <v>2035</v>
      </c>
      <c r="L109" s="98">
        <v>31881</v>
      </c>
      <c r="M109" s="98">
        <v>-2898</v>
      </c>
      <c r="N109" s="98">
        <v>-9.09</v>
      </c>
      <c r="O109" s="98" t="s">
        <v>2062</v>
      </c>
      <c r="P109" s="98" t="s">
        <v>2037</v>
      </c>
      <c r="Q109" s="98" t="s">
        <v>2038</v>
      </c>
      <c r="R109" s="98" t="s">
        <v>2069</v>
      </c>
      <c r="S109" t="s">
        <v>2040</v>
      </c>
      <c r="T109" t="s">
        <v>2066</v>
      </c>
    </row>
    <row r="110" spans="1:20" x14ac:dyDescent="0.25">
      <c r="A110" s="98" t="s">
        <v>1250</v>
      </c>
      <c r="B110" s="98" t="s">
        <v>1251</v>
      </c>
      <c r="C110" s="98" t="s">
        <v>1136</v>
      </c>
      <c r="D110" s="98" t="s">
        <v>2034</v>
      </c>
      <c r="E110" s="101">
        <v>29226</v>
      </c>
      <c r="F110" s="101">
        <v>219512</v>
      </c>
      <c r="G110" s="98">
        <v>0</v>
      </c>
      <c r="H110" s="101">
        <v>45762</v>
      </c>
      <c r="I110" s="98" t="s">
        <v>2035</v>
      </c>
      <c r="J110" s="98">
        <v>29226</v>
      </c>
      <c r="K110" s="101" t="s">
        <v>2035</v>
      </c>
      <c r="L110" s="98">
        <v>26569</v>
      </c>
      <c r="M110" s="98">
        <v>2657</v>
      </c>
      <c r="N110" s="98">
        <v>10</v>
      </c>
      <c r="O110" s="98" t="s">
        <v>2062</v>
      </c>
      <c r="P110" s="98" t="s">
        <v>2037</v>
      </c>
      <c r="Q110" s="98" t="s">
        <v>2050</v>
      </c>
      <c r="R110" s="98" t="s">
        <v>2070</v>
      </c>
      <c r="S110" t="s">
        <v>2071</v>
      </c>
      <c r="T110" t="s">
        <v>2066</v>
      </c>
    </row>
    <row r="111" spans="1:20" x14ac:dyDescent="0.25">
      <c r="A111" s="98" t="s">
        <v>1252</v>
      </c>
      <c r="B111" s="98" t="s">
        <v>1253</v>
      </c>
      <c r="C111" s="98" t="s">
        <v>1136</v>
      </c>
      <c r="D111" s="98" t="s">
        <v>2034</v>
      </c>
      <c r="E111" s="101">
        <v>36258</v>
      </c>
      <c r="F111" s="101">
        <v>219512</v>
      </c>
      <c r="G111" s="98">
        <v>0</v>
      </c>
      <c r="H111" s="101">
        <v>45762</v>
      </c>
      <c r="I111" s="98" t="s">
        <v>2035</v>
      </c>
      <c r="J111" s="98">
        <v>36258</v>
      </c>
      <c r="K111" s="101" t="s">
        <v>2035</v>
      </c>
      <c r="L111" s="98">
        <v>32962</v>
      </c>
      <c r="M111" s="98">
        <v>3296</v>
      </c>
      <c r="N111" s="98">
        <v>10</v>
      </c>
      <c r="O111" s="98" t="s">
        <v>2062</v>
      </c>
      <c r="P111" s="98" t="s">
        <v>2037</v>
      </c>
      <c r="Q111" s="98" t="s">
        <v>2050</v>
      </c>
      <c r="R111" s="98" t="s">
        <v>2070</v>
      </c>
      <c r="S111" t="s">
        <v>2071</v>
      </c>
      <c r="T111" t="s">
        <v>2066</v>
      </c>
    </row>
    <row r="112" spans="1:20" x14ac:dyDescent="0.25">
      <c r="A112" s="98" t="s">
        <v>1254</v>
      </c>
      <c r="B112" s="98" t="s">
        <v>1255</v>
      </c>
      <c r="C112" s="98" t="s">
        <v>1136</v>
      </c>
      <c r="D112" s="98" t="s">
        <v>2034</v>
      </c>
      <c r="E112" s="101">
        <v>47191</v>
      </c>
      <c r="F112" s="101">
        <v>219512</v>
      </c>
      <c r="G112" s="98">
        <v>0</v>
      </c>
      <c r="H112" s="101">
        <v>45762</v>
      </c>
      <c r="I112" s="98" t="s">
        <v>2035</v>
      </c>
      <c r="J112" s="98">
        <v>47191</v>
      </c>
      <c r="K112" s="101" t="s">
        <v>2035</v>
      </c>
      <c r="L112" s="98">
        <v>42901</v>
      </c>
      <c r="M112" s="98">
        <v>4290</v>
      </c>
      <c r="N112" s="98">
        <v>10</v>
      </c>
      <c r="O112" s="98" t="s">
        <v>2062</v>
      </c>
      <c r="P112" s="98" t="s">
        <v>2037</v>
      </c>
      <c r="Q112" s="98" t="s">
        <v>2050</v>
      </c>
      <c r="R112" s="98" t="s">
        <v>2070</v>
      </c>
      <c r="S112" t="s">
        <v>2071</v>
      </c>
      <c r="T112" t="s">
        <v>2066</v>
      </c>
    </row>
    <row r="113" spans="1:20" x14ac:dyDescent="0.25">
      <c r="A113" s="98" t="s">
        <v>1256</v>
      </c>
      <c r="B113" s="98" t="s">
        <v>1257</v>
      </c>
      <c r="C113" s="98" t="s">
        <v>1136</v>
      </c>
      <c r="D113" s="98" t="s">
        <v>2034</v>
      </c>
      <c r="E113" s="101">
        <v>27997</v>
      </c>
      <c r="F113" s="101">
        <v>219512</v>
      </c>
      <c r="G113" s="98">
        <v>0</v>
      </c>
      <c r="H113" s="101">
        <v>45762</v>
      </c>
      <c r="I113" s="98" t="s">
        <v>2035</v>
      </c>
      <c r="J113" s="98">
        <v>27997</v>
      </c>
      <c r="K113" s="101" t="s">
        <v>2035</v>
      </c>
      <c r="L113" s="98">
        <v>25452</v>
      </c>
      <c r="M113" s="98">
        <v>2545</v>
      </c>
      <c r="N113" s="98">
        <v>10</v>
      </c>
      <c r="O113" s="98" t="s">
        <v>2062</v>
      </c>
      <c r="P113" s="98" t="s">
        <v>2037</v>
      </c>
      <c r="Q113" s="98" t="s">
        <v>2050</v>
      </c>
      <c r="R113" s="98" t="s">
        <v>2070</v>
      </c>
      <c r="S113" t="s">
        <v>2058</v>
      </c>
      <c r="T113" t="s">
        <v>2066</v>
      </c>
    </row>
    <row r="114" spans="1:20" x14ac:dyDescent="0.25">
      <c r="A114" s="98" t="s">
        <v>1258</v>
      </c>
      <c r="B114" s="98" t="s">
        <v>1259</v>
      </c>
      <c r="C114" s="98" t="s">
        <v>1136</v>
      </c>
      <c r="D114" s="98" t="s">
        <v>2034</v>
      </c>
      <c r="E114" s="101">
        <v>17376</v>
      </c>
      <c r="F114" s="101">
        <v>219512</v>
      </c>
      <c r="G114" s="98">
        <v>0</v>
      </c>
      <c r="H114" s="101">
        <v>45762</v>
      </c>
      <c r="I114" s="98" t="s">
        <v>2035</v>
      </c>
      <c r="J114" s="98">
        <v>17376</v>
      </c>
      <c r="K114" s="101" t="s">
        <v>2035</v>
      </c>
      <c r="L114" s="98">
        <v>15796</v>
      </c>
      <c r="M114" s="98">
        <v>1580</v>
      </c>
      <c r="N114" s="98">
        <v>10</v>
      </c>
      <c r="O114" s="98" t="s">
        <v>2062</v>
      </c>
      <c r="P114" s="98" t="s">
        <v>2037</v>
      </c>
      <c r="Q114" s="98" t="s">
        <v>2050</v>
      </c>
      <c r="R114" s="98" t="s">
        <v>2070</v>
      </c>
      <c r="S114" t="s">
        <v>2071</v>
      </c>
      <c r="T114" t="s">
        <v>2066</v>
      </c>
    </row>
    <row r="115" spans="1:20" x14ac:dyDescent="0.25">
      <c r="A115" s="98" t="s">
        <v>1260</v>
      </c>
      <c r="B115" s="98" t="s">
        <v>1261</v>
      </c>
      <c r="C115" s="98" t="s">
        <v>1136</v>
      </c>
      <c r="D115" s="98" t="s">
        <v>2034</v>
      </c>
      <c r="E115" s="101">
        <v>24303</v>
      </c>
      <c r="F115" s="101">
        <v>219512</v>
      </c>
      <c r="G115" s="98">
        <v>0</v>
      </c>
      <c r="H115" s="101">
        <v>45762</v>
      </c>
      <c r="I115" s="98" t="s">
        <v>2035</v>
      </c>
      <c r="J115" s="98">
        <v>24303</v>
      </c>
      <c r="K115" s="101" t="s">
        <v>2035</v>
      </c>
      <c r="L115" s="98">
        <v>22094</v>
      </c>
      <c r="M115" s="98">
        <v>2209</v>
      </c>
      <c r="N115" s="98">
        <v>10</v>
      </c>
      <c r="O115" s="98" t="s">
        <v>2062</v>
      </c>
      <c r="P115" s="98" t="s">
        <v>2037</v>
      </c>
      <c r="Q115" s="98" t="s">
        <v>2050</v>
      </c>
      <c r="R115" s="98" t="s">
        <v>2070</v>
      </c>
      <c r="S115" t="s">
        <v>2071</v>
      </c>
      <c r="T115" t="s">
        <v>2066</v>
      </c>
    </row>
    <row r="116" spans="1:20" x14ac:dyDescent="0.25">
      <c r="A116" s="98" t="s">
        <v>1262</v>
      </c>
      <c r="B116" s="98" t="s">
        <v>1263</v>
      </c>
      <c r="C116" s="98" t="s">
        <v>1136</v>
      </c>
      <c r="D116" s="98" t="s">
        <v>2034</v>
      </c>
      <c r="E116" s="101">
        <v>25380</v>
      </c>
      <c r="F116" s="101">
        <v>219512</v>
      </c>
      <c r="G116" s="98">
        <v>0</v>
      </c>
      <c r="H116" s="101">
        <v>45762</v>
      </c>
      <c r="I116" s="98" t="s">
        <v>2035</v>
      </c>
      <c r="J116" s="98">
        <v>25380</v>
      </c>
      <c r="K116" s="101" t="s">
        <v>2035</v>
      </c>
      <c r="L116" s="98">
        <v>23073</v>
      </c>
      <c r="M116" s="98">
        <v>2307</v>
      </c>
      <c r="N116" s="98">
        <v>10</v>
      </c>
      <c r="O116" s="98" t="s">
        <v>2062</v>
      </c>
      <c r="P116" s="98" t="s">
        <v>2037</v>
      </c>
      <c r="Q116" s="98" t="s">
        <v>2050</v>
      </c>
      <c r="R116" s="98" t="s">
        <v>2070</v>
      </c>
      <c r="S116" t="s">
        <v>2071</v>
      </c>
      <c r="T116" t="s">
        <v>2066</v>
      </c>
    </row>
    <row r="117" spans="1:20" x14ac:dyDescent="0.25">
      <c r="A117" s="98" t="s">
        <v>1264</v>
      </c>
      <c r="B117" s="98" t="s">
        <v>1265</v>
      </c>
      <c r="C117" s="98" t="s">
        <v>1136</v>
      </c>
      <c r="D117" s="98" t="s">
        <v>2034</v>
      </c>
      <c r="E117" s="101">
        <v>36205</v>
      </c>
      <c r="F117" s="101">
        <v>219512</v>
      </c>
      <c r="G117" s="98">
        <v>0</v>
      </c>
      <c r="H117" s="101">
        <v>45762</v>
      </c>
      <c r="I117" s="98" t="s">
        <v>2035</v>
      </c>
      <c r="J117" s="98">
        <v>36205</v>
      </c>
      <c r="K117" s="101" t="s">
        <v>2035</v>
      </c>
      <c r="L117" s="98">
        <v>32914</v>
      </c>
      <c r="M117" s="98">
        <v>3291</v>
      </c>
      <c r="N117" s="98">
        <v>10</v>
      </c>
      <c r="O117" s="98" t="s">
        <v>2062</v>
      </c>
      <c r="P117" s="98" t="s">
        <v>2037</v>
      </c>
      <c r="Q117" s="98" t="s">
        <v>2050</v>
      </c>
      <c r="R117" s="98" t="s">
        <v>2070</v>
      </c>
      <c r="S117" t="s">
        <v>2071</v>
      </c>
      <c r="T117" t="s">
        <v>2066</v>
      </c>
    </row>
    <row r="118" spans="1:20" x14ac:dyDescent="0.25">
      <c r="A118" s="98" t="s">
        <v>1266</v>
      </c>
      <c r="B118" s="98" t="s">
        <v>1267</v>
      </c>
      <c r="C118" s="98" t="s">
        <v>1136</v>
      </c>
      <c r="D118" s="98" t="s">
        <v>2034</v>
      </c>
      <c r="E118" s="101">
        <v>50564</v>
      </c>
      <c r="F118" s="101">
        <v>219512</v>
      </c>
      <c r="G118" s="98">
        <v>0</v>
      </c>
      <c r="H118" s="101">
        <v>45762</v>
      </c>
      <c r="I118" s="98" t="s">
        <v>2035</v>
      </c>
      <c r="J118" s="98">
        <v>50564</v>
      </c>
      <c r="K118" s="101" t="s">
        <v>2035</v>
      </c>
      <c r="L118" s="98">
        <v>45967</v>
      </c>
      <c r="M118" s="98">
        <v>4597</v>
      </c>
      <c r="N118" s="98">
        <v>10</v>
      </c>
      <c r="O118" s="98" t="s">
        <v>2062</v>
      </c>
      <c r="P118" s="98" t="s">
        <v>2037</v>
      </c>
      <c r="Q118" s="98" t="s">
        <v>2050</v>
      </c>
      <c r="R118" s="98" t="s">
        <v>2070</v>
      </c>
      <c r="S118" t="s">
        <v>2071</v>
      </c>
      <c r="T118" t="s">
        <v>2066</v>
      </c>
    </row>
    <row r="119" spans="1:20" x14ac:dyDescent="0.25">
      <c r="A119" s="98" t="s">
        <v>1268</v>
      </c>
      <c r="B119" s="98" t="s">
        <v>1269</v>
      </c>
      <c r="C119" s="98" t="s">
        <v>1136</v>
      </c>
      <c r="D119" s="98" t="s">
        <v>2034</v>
      </c>
      <c r="E119" s="101">
        <v>1</v>
      </c>
      <c r="F119" s="101">
        <v>219512</v>
      </c>
      <c r="G119" s="98">
        <v>0</v>
      </c>
      <c r="H119" s="101">
        <v>45766</v>
      </c>
      <c r="I119" s="98" t="s">
        <v>2035</v>
      </c>
      <c r="J119" s="98">
        <v>1</v>
      </c>
      <c r="K119" s="101" t="s">
        <v>2054</v>
      </c>
      <c r="L119" s="98">
        <v>0</v>
      </c>
      <c r="M119" s="98">
        <v>1</v>
      </c>
      <c r="N119" s="98">
        <v>0</v>
      </c>
      <c r="O119" s="98" t="s">
        <v>2062</v>
      </c>
      <c r="P119" s="98" t="s">
        <v>2037</v>
      </c>
      <c r="Q119" s="98" t="s">
        <v>2050</v>
      </c>
      <c r="R119" s="98" t="s">
        <v>2072</v>
      </c>
      <c r="S119" t="s">
        <v>2058</v>
      </c>
      <c r="T119" t="s">
        <v>2073</v>
      </c>
    </row>
    <row r="120" spans="1:20" x14ac:dyDescent="0.25">
      <c r="A120" s="98" t="s">
        <v>1270</v>
      </c>
      <c r="B120" s="98" t="s">
        <v>1271</v>
      </c>
      <c r="C120" s="98" t="s">
        <v>1136</v>
      </c>
      <c r="D120" s="98" t="s">
        <v>2034</v>
      </c>
      <c r="E120" s="101">
        <v>1</v>
      </c>
      <c r="F120" s="101">
        <v>219512</v>
      </c>
      <c r="G120" s="98">
        <v>0</v>
      </c>
      <c r="H120" s="101">
        <v>45766</v>
      </c>
      <c r="I120" s="98" t="s">
        <v>2035</v>
      </c>
      <c r="J120" s="98">
        <v>1</v>
      </c>
      <c r="K120" s="101" t="s">
        <v>2054</v>
      </c>
      <c r="L120" s="98">
        <v>0</v>
      </c>
      <c r="M120" s="98">
        <v>1</v>
      </c>
      <c r="N120" s="98">
        <v>0</v>
      </c>
      <c r="O120" s="98" t="s">
        <v>2062</v>
      </c>
      <c r="P120" s="98" t="s">
        <v>2037</v>
      </c>
      <c r="Q120" s="98" t="s">
        <v>2050</v>
      </c>
      <c r="R120" s="98" t="s">
        <v>2072</v>
      </c>
      <c r="S120" t="s">
        <v>2058</v>
      </c>
      <c r="T120" t="s">
        <v>2073</v>
      </c>
    </row>
    <row r="121" spans="1:20" x14ac:dyDescent="0.25">
      <c r="A121" s="98" t="s">
        <v>1272</v>
      </c>
      <c r="B121" s="98" t="s">
        <v>1273</v>
      </c>
      <c r="C121" s="98" t="s">
        <v>1136</v>
      </c>
      <c r="D121" s="98" t="s">
        <v>2034</v>
      </c>
      <c r="E121" s="101">
        <v>1</v>
      </c>
      <c r="F121" s="101">
        <v>219512</v>
      </c>
      <c r="G121" s="98">
        <v>0</v>
      </c>
      <c r="H121" s="101">
        <v>45766</v>
      </c>
      <c r="I121" s="98" t="s">
        <v>2035</v>
      </c>
      <c r="J121" s="98">
        <v>1</v>
      </c>
      <c r="K121" s="101" t="s">
        <v>2054</v>
      </c>
      <c r="L121" s="98">
        <v>0</v>
      </c>
      <c r="M121" s="98">
        <v>1</v>
      </c>
      <c r="N121" s="98">
        <v>0</v>
      </c>
      <c r="O121" s="98" t="s">
        <v>2062</v>
      </c>
      <c r="P121" s="98" t="s">
        <v>2037</v>
      </c>
      <c r="Q121" s="98" t="s">
        <v>2050</v>
      </c>
      <c r="R121" s="98" t="s">
        <v>2072</v>
      </c>
      <c r="S121" t="s">
        <v>2058</v>
      </c>
      <c r="T121" t="s">
        <v>2073</v>
      </c>
    </row>
    <row r="122" spans="1:20" x14ac:dyDescent="0.25">
      <c r="A122" s="98" t="s">
        <v>1274</v>
      </c>
      <c r="B122" s="98" t="s">
        <v>1275</v>
      </c>
      <c r="C122" s="98" t="s">
        <v>1136</v>
      </c>
      <c r="D122" s="98" t="s">
        <v>2034</v>
      </c>
      <c r="E122" s="101">
        <v>1</v>
      </c>
      <c r="F122" s="101">
        <v>219512</v>
      </c>
      <c r="G122" s="98">
        <v>0</v>
      </c>
      <c r="H122" s="101">
        <v>45766</v>
      </c>
      <c r="I122" s="98" t="s">
        <v>2035</v>
      </c>
      <c r="J122" s="98">
        <v>1</v>
      </c>
      <c r="K122" s="101" t="s">
        <v>2054</v>
      </c>
      <c r="L122" s="98">
        <v>0</v>
      </c>
      <c r="M122" s="98">
        <v>1</v>
      </c>
      <c r="N122" s="98">
        <v>0</v>
      </c>
      <c r="O122" s="98" t="s">
        <v>2062</v>
      </c>
      <c r="P122" s="98" t="s">
        <v>2037</v>
      </c>
      <c r="Q122" s="98" t="s">
        <v>2050</v>
      </c>
      <c r="R122" s="98" t="s">
        <v>2072</v>
      </c>
      <c r="S122" t="s">
        <v>2058</v>
      </c>
      <c r="T122" t="s">
        <v>2073</v>
      </c>
    </row>
    <row r="123" spans="1:20" x14ac:dyDescent="0.25">
      <c r="A123" s="98" t="s">
        <v>1276</v>
      </c>
      <c r="B123" s="98" t="s">
        <v>1277</v>
      </c>
      <c r="C123" s="98" t="s">
        <v>1136</v>
      </c>
      <c r="D123" s="98" t="s">
        <v>2034</v>
      </c>
      <c r="E123" s="101">
        <v>1</v>
      </c>
      <c r="F123" s="101">
        <v>219512</v>
      </c>
      <c r="G123" s="98">
        <v>0</v>
      </c>
      <c r="H123" s="101">
        <v>45766</v>
      </c>
      <c r="I123" s="98" t="s">
        <v>2035</v>
      </c>
      <c r="J123" s="98">
        <v>1</v>
      </c>
      <c r="K123" s="101" t="s">
        <v>2035</v>
      </c>
      <c r="L123" s="98">
        <v>31110</v>
      </c>
      <c r="M123" s="98">
        <v>-31109</v>
      </c>
      <c r="N123" s="98">
        <v>-100</v>
      </c>
      <c r="O123" s="98" t="s">
        <v>2062</v>
      </c>
      <c r="P123" s="98" t="s">
        <v>2037</v>
      </c>
      <c r="Q123" s="98" t="s">
        <v>2050</v>
      </c>
      <c r="R123" s="98" t="s">
        <v>2072</v>
      </c>
      <c r="S123" t="s">
        <v>2058</v>
      </c>
      <c r="T123" t="s">
        <v>2073</v>
      </c>
    </row>
    <row r="124" spans="1:20" x14ac:dyDescent="0.25">
      <c r="A124" s="98" t="s">
        <v>1278</v>
      </c>
      <c r="B124" s="98" t="s">
        <v>1279</v>
      </c>
      <c r="C124" s="98" t="s">
        <v>1280</v>
      </c>
      <c r="D124" s="98" t="s">
        <v>2034</v>
      </c>
      <c r="E124" s="101">
        <v>1</v>
      </c>
      <c r="F124" s="101">
        <v>219512</v>
      </c>
      <c r="G124" s="98">
        <v>0</v>
      </c>
      <c r="H124" s="101">
        <v>45766</v>
      </c>
      <c r="I124" s="98" t="s">
        <v>2035</v>
      </c>
      <c r="J124" s="98">
        <v>1</v>
      </c>
      <c r="K124" s="101" t="s">
        <v>2054</v>
      </c>
      <c r="L124" s="98">
        <v>0</v>
      </c>
      <c r="M124" s="98">
        <v>1</v>
      </c>
      <c r="N124" s="98">
        <v>0</v>
      </c>
      <c r="O124" s="98" t="s">
        <v>2062</v>
      </c>
      <c r="P124" s="98" t="s">
        <v>2037</v>
      </c>
      <c r="Q124" s="98" t="s">
        <v>2050</v>
      </c>
      <c r="R124" s="98" t="s">
        <v>2074</v>
      </c>
      <c r="S124" t="s">
        <v>2040</v>
      </c>
      <c r="T124" t="s">
        <v>2075</v>
      </c>
    </row>
    <row r="125" spans="1:20" x14ac:dyDescent="0.25">
      <c r="A125" s="98" t="s">
        <v>1281</v>
      </c>
      <c r="B125" s="98" t="s">
        <v>1282</v>
      </c>
      <c r="C125" s="98" t="s">
        <v>1280</v>
      </c>
      <c r="D125" s="98" t="s">
        <v>2034</v>
      </c>
      <c r="E125" s="101">
        <v>1</v>
      </c>
      <c r="F125" s="101">
        <v>219512</v>
      </c>
      <c r="G125" s="98">
        <v>0</v>
      </c>
      <c r="H125" s="101">
        <v>45766</v>
      </c>
      <c r="I125" s="98" t="s">
        <v>2035</v>
      </c>
      <c r="J125" s="98">
        <v>1</v>
      </c>
      <c r="K125" s="101" t="s">
        <v>2054</v>
      </c>
      <c r="L125" s="98">
        <v>0</v>
      </c>
      <c r="M125" s="98">
        <v>1</v>
      </c>
      <c r="N125" s="98">
        <v>0</v>
      </c>
      <c r="O125" s="98" t="s">
        <v>2062</v>
      </c>
      <c r="P125" s="98" t="s">
        <v>2037</v>
      </c>
      <c r="Q125" s="98" t="s">
        <v>2050</v>
      </c>
      <c r="R125" s="98" t="s">
        <v>2074</v>
      </c>
      <c r="S125" t="s">
        <v>2040</v>
      </c>
      <c r="T125" t="s">
        <v>2075</v>
      </c>
    </row>
    <row r="126" spans="1:20" x14ac:dyDescent="0.25">
      <c r="A126" s="98" t="s">
        <v>1283</v>
      </c>
      <c r="B126" s="98" t="s">
        <v>1284</v>
      </c>
      <c r="C126" s="98" t="s">
        <v>1280</v>
      </c>
      <c r="D126" s="98" t="s">
        <v>2034</v>
      </c>
      <c r="E126" s="101">
        <v>1</v>
      </c>
      <c r="F126" s="101">
        <v>219512</v>
      </c>
      <c r="G126" s="98">
        <v>0</v>
      </c>
      <c r="H126" s="101">
        <v>45766</v>
      </c>
      <c r="I126" s="98" t="s">
        <v>2035</v>
      </c>
      <c r="J126" s="98">
        <v>1</v>
      </c>
      <c r="K126" s="101" t="s">
        <v>2054</v>
      </c>
      <c r="L126" s="98">
        <v>0</v>
      </c>
      <c r="M126" s="98">
        <v>1</v>
      </c>
      <c r="N126" s="98">
        <v>0</v>
      </c>
      <c r="O126" s="98" t="s">
        <v>2062</v>
      </c>
      <c r="P126" s="98" t="s">
        <v>2037</v>
      </c>
      <c r="Q126" s="98" t="s">
        <v>2050</v>
      </c>
      <c r="R126" s="98" t="s">
        <v>2074</v>
      </c>
      <c r="S126" t="s">
        <v>2040</v>
      </c>
      <c r="T126" t="s">
        <v>2075</v>
      </c>
    </row>
    <row r="127" spans="1:20" x14ac:dyDescent="0.25">
      <c r="A127" s="98" t="s">
        <v>1285</v>
      </c>
      <c r="B127" s="98" t="s">
        <v>1286</v>
      </c>
      <c r="C127" s="98" t="s">
        <v>1280</v>
      </c>
      <c r="D127" s="98" t="s">
        <v>2034</v>
      </c>
      <c r="E127" s="101">
        <v>1</v>
      </c>
      <c r="F127" s="101">
        <v>219512</v>
      </c>
      <c r="G127" s="98">
        <v>0</v>
      </c>
      <c r="H127" s="101">
        <v>45766</v>
      </c>
      <c r="I127" s="98" t="s">
        <v>2035</v>
      </c>
      <c r="J127" s="98">
        <v>1</v>
      </c>
      <c r="K127" s="101" t="s">
        <v>2054</v>
      </c>
      <c r="L127" s="98">
        <v>0</v>
      </c>
      <c r="M127" s="98">
        <v>1</v>
      </c>
      <c r="N127" s="98">
        <v>0</v>
      </c>
      <c r="O127" s="98" t="s">
        <v>2062</v>
      </c>
      <c r="P127" s="98" t="s">
        <v>2037</v>
      </c>
      <c r="Q127" s="98" t="s">
        <v>2050</v>
      </c>
      <c r="R127" s="98" t="s">
        <v>2074</v>
      </c>
      <c r="S127" t="s">
        <v>2040</v>
      </c>
      <c r="T127" t="s">
        <v>2075</v>
      </c>
    </row>
    <row r="128" spans="1:20" x14ac:dyDescent="0.25">
      <c r="A128" s="98" t="s">
        <v>1010</v>
      </c>
      <c r="B128" s="98" t="s">
        <v>1043</v>
      </c>
      <c r="C128" s="98" t="s">
        <v>1136</v>
      </c>
      <c r="D128" s="98" t="s">
        <v>2034</v>
      </c>
      <c r="E128" s="101">
        <v>41631</v>
      </c>
      <c r="F128" s="101">
        <v>219512</v>
      </c>
      <c r="G128" s="98">
        <v>0</v>
      </c>
      <c r="H128" s="101">
        <v>45919</v>
      </c>
      <c r="I128" s="98" t="s">
        <v>2035</v>
      </c>
      <c r="J128" s="98">
        <v>41631</v>
      </c>
      <c r="K128" s="101" t="s">
        <v>2035</v>
      </c>
      <c r="L128" s="98">
        <v>37846</v>
      </c>
      <c r="M128" s="98">
        <v>3785</v>
      </c>
      <c r="N128" s="98">
        <v>10</v>
      </c>
      <c r="O128" s="98" t="s">
        <v>2062</v>
      </c>
      <c r="P128" s="98" t="s">
        <v>2037</v>
      </c>
      <c r="Q128" s="98" t="s">
        <v>2076</v>
      </c>
      <c r="R128" s="98" t="s">
        <v>2077</v>
      </c>
      <c r="S128" t="s">
        <v>2060</v>
      </c>
      <c r="T128" t="s">
        <v>2078</v>
      </c>
    </row>
    <row r="129" spans="1:20" x14ac:dyDescent="0.25">
      <c r="A129" s="98" t="s">
        <v>1012</v>
      </c>
      <c r="B129" s="98" t="s">
        <v>1044</v>
      </c>
      <c r="C129" s="98" t="s">
        <v>1136</v>
      </c>
      <c r="D129" s="98" t="s">
        <v>2034</v>
      </c>
      <c r="E129" s="101">
        <v>60561</v>
      </c>
      <c r="F129" s="101">
        <v>219512</v>
      </c>
      <c r="G129" s="98">
        <v>0</v>
      </c>
      <c r="H129" s="101">
        <v>45919</v>
      </c>
      <c r="I129" s="98" t="s">
        <v>2035</v>
      </c>
      <c r="J129" s="98">
        <v>60561</v>
      </c>
      <c r="K129" s="101" t="s">
        <v>2035</v>
      </c>
      <c r="L129" s="98">
        <v>55055</v>
      </c>
      <c r="M129" s="98">
        <v>5506</v>
      </c>
      <c r="N129" s="98">
        <v>10</v>
      </c>
      <c r="O129" s="98" t="s">
        <v>2062</v>
      </c>
      <c r="P129" s="98" t="s">
        <v>2037</v>
      </c>
      <c r="Q129" s="98" t="s">
        <v>2076</v>
      </c>
      <c r="R129" s="98" t="s">
        <v>2077</v>
      </c>
      <c r="S129" t="s">
        <v>2060</v>
      </c>
      <c r="T129" t="s">
        <v>2078</v>
      </c>
    </row>
    <row r="130" spans="1:20" x14ac:dyDescent="0.25">
      <c r="A130" s="98" t="s">
        <v>2000</v>
      </c>
      <c r="B130" s="98" t="s">
        <v>2079</v>
      </c>
      <c r="C130" s="98" t="s">
        <v>1136</v>
      </c>
      <c r="D130" s="98" t="s">
        <v>2034</v>
      </c>
      <c r="E130" s="101">
        <v>66037</v>
      </c>
      <c r="F130" s="101">
        <v>219512</v>
      </c>
      <c r="G130" s="98">
        <v>0</v>
      </c>
      <c r="H130" s="101">
        <v>45919</v>
      </c>
      <c r="I130" s="98" t="s">
        <v>2035</v>
      </c>
      <c r="J130" s="98">
        <v>66037</v>
      </c>
      <c r="K130" s="101" t="s">
        <v>2054</v>
      </c>
      <c r="L130" s="98">
        <v>0</v>
      </c>
      <c r="M130" s="98">
        <v>66037</v>
      </c>
      <c r="N130" s="98">
        <v>0</v>
      </c>
      <c r="O130" s="98" t="s">
        <v>2062</v>
      </c>
      <c r="P130" s="98" t="s">
        <v>2037</v>
      </c>
      <c r="Q130" s="98" t="s">
        <v>2076</v>
      </c>
      <c r="R130" s="98" t="s">
        <v>2077</v>
      </c>
      <c r="S130" t="s">
        <v>2060</v>
      </c>
      <c r="T130" t="s">
        <v>2078</v>
      </c>
    </row>
    <row r="131" spans="1:20" x14ac:dyDescent="0.25">
      <c r="A131" s="98" t="s">
        <v>1014</v>
      </c>
      <c r="B131" s="98" t="s">
        <v>1045</v>
      </c>
      <c r="C131" s="98" t="s">
        <v>1136</v>
      </c>
      <c r="D131" s="98" t="s">
        <v>2034</v>
      </c>
      <c r="E131" s="101">
        <v>72059</v>
      </c>
      <c r="F131" s="101">
        <v>219512</v>
      </c>
      <c r="G131" s="98">
        <v>0</v>
      </c>
      <c r="H131" s="101">
        <v>45919</v>
      </c>
      <c r="I131" s="98" t="s">
        <v>2035</v>
      </c>
      <c r="J131" s="98">
        <v>72059</v>
      </c>
      <c r="K131" s="101" t="s">
        <v>2035</v>
      </c>
      <c r="L131" s="98">
        <v>65508</v>
      </c>
      <c r="M131" s="98">
        <v>6551</v>
      </c>
      <c r="N131" s="98">
        <v>10</v>
      </c>
      <c r="O131" s="98" t="s">
        <v>2062</v>
      </c>
      <c r="P131" s="98" t="s">
        <v>2037</v>
      </c>
      <c r="Q131" s="98" t="s">
        <v>2076</v>
      </c>
      <c r="R131" s="98" t="s">
        <v>2077</v>
      </c>
      <c r="S131" t="s">
        <v>2060</v>
      </c>
      <c r="T131" t="s">
        <v>2078</v>
      </c>
    </row>
    <row r="132" spans="1:20" x14ac:dyDescent="0.25">
      <c r="A132" s="98" t="s">
        <v>2002</v>
      </c>
      <c r="B132" s="98" t="s">
        <v>2080</v>
      </c>
      <c r="C132" s="98" t="s">
        <v>1136</v>
      </c>
      <c r="D132" s="98" t="s">
        <v>2034</v>
      </c>
      <c r="E132" s="101">
        <v>61831</v>
      </c>
      <c r="F132" s="101">
        <v>219512</v>
      </c>
      <c r="G132" s="98">
        <v>0</v>
      </c>
      <c r="H132" s="101">
        <v>45919</v>
      </c>
      <c r="I132" s="98" t="s">
        <v>2035</v>
      </c>
      <c r="J132" s="98">
        <v>61831</v>
      </c>
      <c r="K132" s="101" t="s">
        <v>2054</v>
      </c>
      <c r="L132" s="98">
        <v>0</v>
      </c>
      <c r="M132" s="98">
        <v>61831</v>
      </c>
      <c r="N132" s="98">
        <v>0</v>
      </c>
      <c r="O132" s="98" t="s">
        <v>2062</v>
      </c>
      <c r="P132" s="98" t="s">
        <v>2037</v>
      </c>
      <c r="Q132" s="98" t="s">
        <v>2076</v>
      </c>
      <c r="R132" s="98" t="s">
        <v>2077</v>
      </c>
      <c r="S132" t="s">
        <v>2058</v>
      </c>
      <c r="T132" t="s">
        <v>2078</v>
      </c>
    </row>
    <row r="133" spans="1:20" x14ac:dyDescent="0.25">
      <c r="A133" s="98" t="s">
        <v>1994</v>
      </c>
      <c r="B133" s="98" t="s">
        <v>2081</v>
      </c>
      <c r="C133" s="98" t="s">
        <v>1136</v>
      </c>
      <c r="D133" s="98" t="s">
        <v>2034</v>
      </c>
      <c r="E133" s="101">
        <v>85835</v>
      </c>
      <c r="F133" s="101">
        <v>219512</v>
      </c>
      <c r="G133" s="98">
        <v>0</v>
      </c>
      <c r="H133" s="101">
        <v>45919</v>
      </c>
      <c r="I133" s="98" t="s">
        <v>2035</v>
      </c>
      <c r="J133" s="98">
        <v>85835</v>
      </c>
      <c r="K133" s="101" t="s">
        <v>2054</v>
      </c>
      <c r="L133" s="98">
        <v>0</v>
      </c>
      <c r="M133" s="98">
        <v>85835</v>
      </c>
      <c r="N133" s="98">
        <v>0</v>
      </c>
      <c r="O133" s="98" t="s">
        <v>2062</v>
      </c>
      <c r="P133" s="98" t="s">
        <v>2037</v>
      </c>
      <c r="Q133" s="98" t="s">
        <v>2076</v>
      </c>
      <c r="R133" s="98" t="s">
        <v>2077</v>
      </c>
      <c r="S133" t="s">
        <v>2058</v>
      </c>
      <c r="T133" t="s">
        <v>2078</v>
      </c>
    </row>
    <row r="134" spans="1:20" x14ac:dyDescent="0.25">
      <c r="A134" s="98" t="s">
        <v>1016</v>
      </c>
      <c r="B134" s="98" t="s">
        <v>1046</v>
      </c>
      <c r="C134" s="98" t="s">
        <v>1136</v>
      </c>
      <c r="D134" s="98" t="s">
        <v>2034</v>
      </c>
      <c r="E134" s="101">
        <v>28807</v>
      </c>
      <c r="F134" s="101">
        <v>219512</v>
      </c>
      <c r="G134" s="98">
        <v>0</v>
      </c>
      <c r="H134" s="101">
        <v>45919</v>
      </c>
      <c r="I134" s="98" t="s">
        <v>2035</v>
      </c>
      <c r="J134" s="98">
        <v>28807</v>
      </c>
      <c r="K134" s="101" t="s">
        <v>2035</v>
      </c>
      <c r="L134" s="98">
        <v>26188</v>
      </c>
      <c r="M134" s="98">
        <v>2619</v>
      </c>
      <c r="N134" s="98">
        <v>10</v>
      </c>
      <c r="O134" s="98" t="s">
        <v>2062</v>
      </c>
      <c r="P134" s="98" t="s">
        <v>2037</v>
      </c>
      <c r="Q134" s="98" t="s">
        <v>2076</v>
      </c>
      <c r="R134" s="98" t="s">
        <v>2077</v>
      </c>
      <c r="S134" t="s">
        <v>2067</v>
      </c>
      <c r="T134" t="s">
        <v>2078</v>
      </c>
    </row>
    <row r="135" spans="1:20" x14ac:dyDescent="0.25">
      <c r="A135" s="98" t="s">
        <v>1018</v>
      </c>
      <c r="B135" s="98" t="s">
        <v>1047</v>
      </c>
      <c r="C135" s="98" t="s">
        <v>1136</v>
      </c>
      <c r="D135" s="98" t="s">
        <v>2034</v>
      </c>
      <c r="E135" s="101">
        <v>53086</v>
      </c>
      <c r="F135" s="101">
        <v>219512</v>
      </c>
      <c r="G135" s="98">
        <v>0</v>
      </c>
      <c r="H135" s="101">
        <v>45919</v>
      </c>
      <c r="I135" s="98" t="s">
        <v>2035</v>
      </c>
      <c r="J135" s="98">
        <v>53086</v>
      </c>
      <c r="K135" s="101" t="s">
        <v>2035</v>
      </c>
      <c r="L135" s="98">
        <v>48260</v>
      </c>
      <c r="M135" s="98">
        <v>4826</v>
      </c>
      <c r="N135" s="98">
        <v>10</v>
      </c>
      <c r="O135" s="98" t="s">
        <v>2062</v>
      </c>
      <c r="P135" s="98" t="s">
        <v>2037</v>
      </c>
      <c r="Q135" s="98" t="s">
        <v>2076</v>
      </c>
      <c r="R135" s="98" t="s">
        <v>2077</v>
      </c>
      <c r="S135" t="s">
        <v>2067</v>
      </c>
      <c r="T135" t="s">
        <v>2078</v>
      </c>
    </row>
    <row r="136" spans="1:20" x14ac:dyDescent="0.25">
      <c r="A136" s="98" t="s">
        <v>1020</v>
      </c>
      <c r="B136" s="98" t="s">
        <v>1048</v>
      </c>
      <c r="C136" s="98" t="s">
        <v>1136</v>
      </c>
      <c r="D136" s="98" t="s">
        <v>2034</v>
      </c>
      <c r="E136" s="101">
        <v>70615</v>
      </c>
      <c r="F136" s="101">
        <v>219512</v>
      </c>
      <c r="G136" s="98">
        <v>0</v>
      </c>
      <c r="H136" s="101">
        <v>45919</v>
      </c>
      <c r="I136" s="98" t="s">
        <v>2035</v>
      </c>
      <c r="J136" s="98">
        <v>70615</v>
      </c>
      <c r="K136" s="101" t="s">
        <v>2035</v>
      </c>
      <c r="L136" s="98">
        <v>64195</v>
      </c>
      <c r="M136" s="98">
        <v>6420</v>
      </c>
      <c r="N136" s="98">
        <v>10</v>
      </c>
      <c r="O136" s="98" t="s">
        <v>2062</v>
      </c>
      <c r="P136" s="98" t="s">
        <v>2037</v>
      </c>
      <c r="Q136" s="98" t="s">
        <v>2076</v>
      </c>
      <c r="R136" s="98" t="s">
        <v>2077</v>
      </c>
      <c r="S136" t="s">
        <v>2067</v>
      </c>
      <c r="T136" t="s">
        <v>2078</v>
      </c>
    </row>
    <row r="137" spans="1:20" x14ac:dyDescent="0.25">
      <c r="A137" s="98" t="s">
        <v>2004</v>
      </c>
      <c r="B137" s="98" t="s">
        <v>2082</v>
      </c>
      <c r="C137" s="98" t="s">
        <v>1136</v>
      </c>
      <c r="D137" s="98" t="s">
        <v>2034</v>
      </c>
      <c r="E137" s="101">
        <v>49141</v>
      </c>
      <c r="F137" s="101">
        <v>219512</v>
      </c>
      <c r="G137" s="98">
        <v>0</v>
      </c>
      <c r="H137" s="101">
        <v>45919</v>
      </c>
      <c r="I137" s="98" t="s">
        <v>2035</v>
      </c>
      <c r="J137" s="98">
        <v>49141</v>
      </c>
      <c r="K137" s="101" t="s">
        <v>2054</v>
      </c>
      <c r="L137" s="98">
        <v>0</v>
      </c>
      <c r="M137" s="98">
        <v>49141</v>
      </c>
      <c r="N137" s="98">
        <v>0</v>
      </c>
      <c r="O137" s="98" t="s">
        <v>2062</v>
      </c>
      <c r="P137" s="98" t="s">
        <v>2037</v>
      </c>
      <c r="Q137" s="98" t="s">
        <v>2076</v>
      </c>
      <c r="R137" s="98" t="s">
        <v>2077</v>
      </c>
      <c r="S137" t="s">
        <v>2058</v>
      </c>
      <c r="T137" t="s">
        <v>2078</v>
      </c>
    </row>
    <row r="138" spans="1:20" x14ac:dyDescent="0.25">
      <c r="A138" s="98" t="s">
        <v>1996</v>
      </c>
      <c r="B138" s="98" t="s">
        <v>2083</v>
      </c>
      <c r="C138" s="98" t="s">
        <v>1136</v>
      </c>
      <c r="D138" s="98" t="s">
        <v>2034</v>
      </c>
      <c r="E138" s="101">
        <v>31690</v>
      </c>
      <c r="F138" s="101">
        <v>219512</v>
      </c>
      <c r="G138" s="98">
        <v>0</v>
      </c>
      <c r="H138" s="101">
        <v>45919</v>
      </c>
      <c r="I138" s="98" t="s">
        <v>2035</v>
      </c>
      <c r="J138" s="98">
        <v>31690</v>
      </c>
      <c r="K138" s="101" t="s">
        <v>2054</v>
      </c>
      <c r="L138" s="98">
        <v>0</v>
      </c>
      <c r="M138" s="98">
        <v>31690</v>
      </c>
      <c r="N138" s="98">
        <v>0</v>
      </c>
      <c r="O138" s="98" t="s">
        <v>2062</v>
      </c>
      <c r="P138" s="98" t="s">
        <v>2037</v>
      </c>
      <c r="Q138" s="98" t="s">
        <v>2076</v>
      </c>
      <c r="R138" s="98" t="s">
        <v>2077</v>
      </c>
      <c r="S138" t="s">
        <v>2058</v>
      </c>
      <c r="T138" t="s">
        <v>2078</v>
      </c>
    </row>
    <row r="139" spans="1:20" x14ac:dyDescent="0.25">
      <c r="A139" s="98" t="s">
        <v>1022</v>
      </c>
      <c r="B139" s="98" t="s">
        <v>1049</v>
      </c>
      <c r="C139" s="98" t="s">
        <v>1136</v>
      </c>
      <c r="D139" s="98" t="s">
        <v>2034</v>
      </c>
      <c r="E139" s="101">
        <v>41473</v>
      </c>
      <c r="F139" s="101">
        <v>219512</v>
      </c>
      <c r="G139" s="98">
        <v>0</v>
      </c>
      <c r="H139" s="101">
        <v>45919</v>
      </c>
      <c r="I139" s="98" t="s">
        <v>2035</v>
      </c>
      <c r="J139" s="98">
        <v>41473</v>
      </c>
      <c r="K139" s="101" t="s">
        <v>2035</v>
      </c>
      <c r="L139" s="98">
        <v>37703</v>
      </c>
      <c r="M139" s="98">
        <v>3770</v>
      </c>
      <c r="N139" s="98">
        <v>10</v>
      </c>
      <c r="O139" s="98" t="s">
        <v>2062</v>
      </c>
      <c r="P139" s="98" t="s">
        <v>2037</v>
      </c>
      <c r="Q139" s="98" t="s">
        <v>2076</v>
      </c>
      <c r="R139" s="98" t="s">
        <v>2077</v>
      </c>
      <c r="S139" t="s">
        <v>2060</v>
      </c>
      <c r="T139" t="s">
        <v>2078</v>
      </c>
    </row>
    <row r="140" spans="1:20" x14ac:dyDescent="0.25">
      <c r="A140" s="98" t="s">
        <v>1024</v>
      </c>
      <c r="B140" s="98" t="s">
        <v>1050</v>
      </c>
      <c r="C140" s="98" t="s">
        <v>1136</v>
      </c>
      <c r="D140" s="98" t="s">
        <v>2034</v>
      </c>
      <c r="E140" s="101">
        <v>60377</v>
      </c>
      <c r="F140" s="101">
        <v>219512</v>
      </c>
      <c r="G140" s="98">
        <v>0</v>
      </c>
      <c r="H140" s="101">
        <v>45919</v>
      </c>
      <c r="I140" s="98" t="s">
        <v>2035</v>
      </c>
      <c r="J140" s="98">
        <v>60377</v>
      </c>
      <c r="K140" s="101" t="s">
        <v>2035</v>
      </c>
      <c r="L140" s="98">
        <v>54888</v>
      </c>
      <c r="M140" s="98">
        <v>5489</v>
      </c>
      <c r="N140" s="98">
        <v>10</v>
      </c>
      <c r="O140" s="98" t="s">
        <v>2062</v>
      </c>
      <c r="P140" s="98" t="s">
        <v>2037</v>
      </c>
      <c r="Q140" s="98" t="s">
        <v>2076</v>
      </c>
      <c r="R140" s="98" t="s">
        <v>2077</v>
      </c>
      <c r="S140" t="s">
        <v>2060</v>
      </c>
      <c r="T140" t="s">
        <v>2078</v>
      </c>
    </row>
    <row r="141" spans="1:20" x14ac:dyDescent="0.25">
      <c r="A141" s="98" t="s">
        <v>1026</v>
      </c>
      <c r="B141" s="98" t="s">
        <v>1051</v>
      </c>
      <c r="C141" s="98" t="s">
        <v>1136</v>
      </c>
      <c r="D141" s="98" t="s">
        <v>2034</v>
      </c>
      <c r="E141" s="101">
        <v>65361</v>
      </c>
      <c r="F141" s="101">
        <v>219512</v>
      </c>
      <c r="G141" s="98">
        <v>0</v>
      </c>
      <c r="H141" s="101">
        <v>45919</v>
      </c>
      <c r="I141" s="98" t="s">
        <v>2035</v>
      </c>
      <c r="J141" s="98">
        <v>65361</v>
      </c>
      <c r="K141" s="101" t="s">
        <v>2035</v>
      </c>
      <c r="L141" s="98">
        <v>59419</v>
      </c>
      <c r="M141" s="98">
        <v>5942</v>
      </c>
      <c r="N141" s="98">
        <v>10</v>
      </c>
      <c r="O141" s="98" t="s">
        <v>2062</v>
      </c>
      <c r="P141" s="98" t="s">
        <v>2037</v>
      </c>
      <c r="Q141" s="98" t="s">
        <v>2076</v>
      </c>
      <c r="R141" s="98" t="s">
        <v>2077</v>
      </c>
      <c r="S141" t="s">
        <v>2060</v>
      </c>
      <c r="T141" t="s">
        <v>2078</v>
      </c>
    </row>
    <row r="142" spans="1:20" x14ac:dyDescent="0.25">
      <c r="A142" s="98" t="s">
        <v>1028</v>
      </c>
      <c r="B142" s="98" t="s">
        <v>1052</v>
      </c>
      <c r="C142" s="98" t="s">
        <v>1136</v>
      </c>
      <c r="D142" s="98" t="s">
        <v>2034</v>
      </c>
      <c r="E142" s="101">
        <v>71394</v>
      </c>
      <c r="F142" s="101">
        <v>219512</v>
      </c>
      <c r="G142" s="98">
        <v>0</v>
      </c>
      <c r="H142" s="101">
        <v>45919</v>
      </c>
      <c r="I142" s="98" t="s">
        <v>2035</v>
      </c>
      <c r="J142" s="98">
        <v>71394</v>
      </c>
      <c r="K142" s="101" t="s">
        <v>2035</v>
      </c>
      <c r="L142" s="98">
        <v>64904</v>
      </c>
      <c r="M142" s="98">
        <v>6490</v>
      </c>
      <c r="N142" s="98">
        <v>10</v>
      </c>
      <c r="O142" s="98" t="s">
        <v>2062</v>
      </c>
      <c r="P142" s="98" t="s">
        <v>2037</v>
      </c>
      <c r="Q142" s="98" t="s">
        <v>2076</v>
      </c>
      <c r="R142" s="98" t="s">
        <v>2077</v>
      </c>
      <c r="S142" t="s">
        <v>2060</v>
      </c>
      <c r="T142" t="s">
        <v>2078</v>
      </c>
    </row>
    <row r="143" spans="1:20" x14ac:dyDescent="0.25">
      <c r="A143" s="98" t="s">
        <v>1030</v>
      </c>
      <c r="B143" s="98" t="s">
        <v>1053</v>
      </c>
      <c r="C143" s="98" t="s">
        <v>1136</v>
      </c>
      <c r="D143" s="98" t="s">
        <v>2034</v>
      </c>
      <c r="E143" s="101">
        <v>28725</v>
      </c>
      <c r="F143" s="101">
        <v>219512</v>
      </c>
      <c r="G143" s="98">
        <v>0</v>
      </c>
      <c r="H143" s="101">
        <v>45919</v>
      </c>
      <c r="I143" s="98" t="s">
        <v>2035</v>
      </c>
      <c r="J143" s="98">
        <v>28725</v>
      </c>
      <c r="K143" s="101" t="s">
        <v>2035</v>
      </c>
      <c r="L143" s="98">
        <v>26114</v>
      </c>
      <c r="M143" s="98">
        <v>2611</v>
      </c>
      <c r="N143" s="98">
        <v>10</v>
      </c>
      <c r="O143" s="98" t="s">
        <v>2062</v>
      </c>
      <c r="P143" s="98" t="s">
        <v>2037</v>
      </c>
      <c r="Q143" s="98" t="s">
        <v>2076</v>
      </c>
      <c r="R143" s="98" t="s">
        <v>2077</v>
      </c>
      <c r="S143" t="s">
        <v>2067</v>
      </c>
      <c r="T143" t="s">
        <v>2078</v>
      </c>
    </row>
    <row r="144" spans="1:20" x14ac:dyDescent="0.25">
      <c r="A144" s="98" t="s">
        <v>1031</v>
      </c>
      <c r="B144" s="98" t="s">
        <v>1054</v>
      </c>
      <c r="C144" s="98" t="s">
        <v>1136</v>
      </c>
      <c r="D144" s="98" t="s">
        <v>2034</v>
      </c>
      <c r="E144" s="101">
        <v>70279</v>
      </c>
      <c r="F144" s="101">
        <v>219512</v>
      </c>
      <c r="G144" s="98">
        <v>0</v>
      </c>
      <c r="H144" s="101">
        <v>45919</v>
      </c>
      <c r="I144" s="98" t="s">
        <v>2035</v>
      </c>
      <c r="J144" s="98">
        <v>70279</v>
      </c>
      <c r="K144" s="101" t="s">
        <v>2035</v>
      </c>
      <c r="L144" s="98">
        <v>63890</v>
      </c>
      <c r="M144" s="98">
        <v>6389</v>
      </c>
      <c r="N144" s="98">
        <v>10</v>
      </c>
      <c r="O144" s="98" t="s">
        <v>2062</v>
      </c>
      <c r="P144" s="98" t="s">
        <v>2037</v>
      </c>
      <c r="Q144" s="98" t="s">
        <v>2076</v>
      </c>
      <c r="R144" s="98" t="s">
        <v>2077</v>
      </c>
      <c r="S144" t="s">
        <v>2060</v>
      </c>
      <c r="T144" t="s">
        <v>2078</v>
      </c>
    </row>
    <row r="145" spans="1:20" x14ac:dyDescent="0.25">
      <c r="A145" s="98" t="s">
        <v>1033</v>
      </c>
      <c r="B145" s="98" t="s">
        <v>1055</v>
      </c>
      <c r="C145" s="98" t="s">
        <v>1136</v>
      </c>
      <c r="D145" s="98" t="s">
        <v>2034</v>
      </c>
      <c r="E145" s="101">
        <v>77199</v>
      </c>
      <c r="F145" s="101">
        <v>219512</v>
      </c>
      <c r="G145" s="98">
        <v>0</v>
      </c>
      <c r="H145" s="101">
        <v>45919</v>
      </c>
      <c r="I145" s="98" t="s">
        <v>2035</v>
      </c>
      <c r="J145" s="98">
        <v>77199</v>
      </c>
      <c r="K145" s="101" t="s">
        <v>2035</v>
      </c>
      <c r="L145" s="98">
        <v>70181</v>
      </c>
      <c r="M145" s="98">
        <v>7018</v>
      </c>
      <c r="N145" s="98">
        <v>10</v>
      </c>
      <c r="O145" s="98" t="s">
        <v>2062</v>
      </c>
      <c r="P145" s="98" t="s">
        <v>2037</v>
      </c>
      <c r="Q145" s="98" t="s">
        <v>2076</v>
      </c>
      <c r="R145" s="98" t="s">
        <v>2077</v>
      </c>
      <c r="S145" t="s">
        <v>2060</v>
      </c>
      <c r="T145" t="s">
        <v>2078</v>
      </c>
    </row>
    <row r="146" spans="1:20" x14ac:dyDescent="0.25">
      <c r="A146" s="98" t="s">
        <v>1035</v>
      </c>
      <c r="B146" s="98" t="s">
        <v>1056</v>
      </c>
      <c r="C146" s="98" t="s">
        <v>1136</v>
      </c>
      <c r="D146" s="98" t="s">
        <v>2034</v>
      </c>
      <c r="E146" s="101">
        <v>43544</v>
      </c>
      <c r="F146" s="101">
        <v>219512</v>
      </c>
      <c r="G146" s="98">
        <v>0</v>
      </c>
      <c r="H146" s="101">
        <v>45919</v>
      </c>
      <c r="I146" s="98" t="s">
        <v>2035</v>
      </c>
      <c r="J146" s="98">
        <v>43544</v>
      </c>
      <c r="K146" s="101" t="s">
        <v>2035</v>
      </c>
      <c r="L146" s="98">
        <v>39585</v>
      </c>
      <c r="M146" s="98">
        <v>3959</v>
      </c>
      <c r="N146" s="98">
        <v>10</v>
      </c>
      <c r="O146" s="98" t="s">
        <v>2062</v>
      </c>
      <c r="P146" s="98" t="s">
        <v>2037</v>
      </c>
      <c r="Q146" s="98" t="s">
        <v>2076</v>
      </c>
      <c r="R146" s="98" t="s">
        <v>2077</v>
      </c>
      <c r="S146" t="s">
        <v>2060</v>
      </c>
      <c r="T146" t="s">
        <v>2078</v>
      </c>
    </row>
    <row r="147" spans="1:20" x14ac:dyDescent="0.25">
      <c r="A147" s="98" t="s">
        <v>1998</v>
      </c>
      <c r="B147" s="98" t="s">
        <v>2084</v>
      </c>
      <c r="C147" s="98" t="s">
        <v>1136</v>
      </c>
      <c r="D147" s="98" t="s">
        <v>2034</v>
      </c>
      <c r="E147" s="101">
        <v>65350</v>
      </c>
      <c r="F147" s="101">
        <v>219512</v>
      </c>
      <c r="G147" s="98">
        <v>0</v>
      </c>
      <c r="H147" s="101">
        <v>45919</v>
      </c>
      <c r="I147" s="98" t="s">
        <v>2035</v>
      </c>
      <c r="J147" s="98">
        <v>65350</v>
      </c>
      <c r="K147" s="101" t="s">
        <v>2054</v>
      </c>
      <c r="L147" s="98">
        <v>0</v>
      </c>
      <c r="M147" s="98">
        <v>65350</v>
      </c>
      <c r="N147" s="98">
        <v>0</v>
      </c>
      <c r="O147" s="98" t="s">
        <v>2062</v>
      </c>
      <c r="P147" s="98" t="s">
        <v>2037</v>
      </c>
      <c r="Q147" s="98" t="s">
        <v>2076</v>
      </c>
      <c r="R147" s="98" t="s">
        <v>2077</v>
      </c>
      <c r="S147" t="s">
        <v>2060</v>
      </c>
      <c r="T147" t="s">
        <v>2078</v>
      </c>
    </row>
    <row r="148" spans="1:20" x14ac:dyDescent="0.25">
      <c r="A148" s="98" t="s">
        <v>1037</v>
      </c>
      <c r="B148" s="98" t="s">
        <v>1057</v>
      </c>
      <c r="C148" s="98" t="s">
        <v>1136</v>
      </c>
      <c r="D148" s="98" t="s">
        <v>2034</v>
      </c>
      <c r="E148" s="101">
        <v>42778</v>
      </c>
      <c r="F148" s="101">
        <v>219512</v>
      </c>
      <c r="G148" s="98">
        <v>0</v>
      </c>
      <c r="H148" s="101">
        <v>45919</v>
      </c>
      <c r="I148" s="98" t="s">
        <v>2035</v>
      </c>
      <c r="J148" s="98">
        <v>42778</v>
      </c>
      <c r="K148" s="101" t="s">
        <v>2035</v>
      </c>
      <c r="L148" s="98">
        <v>38889</v>
      </c>
      <c r="M148" s="98">
        <v>3889</v>
      </c>
      <c r="N148" s="98">
        <v>10</v>
      </c>
      <c r="O148" s="98" t="s">
        <v>2062</v>
      </c>
      <c r="P148" s="98" t="s">
        <v>2037</v>
      </c>
      <c r="Q148" s="98" t="s">
        <v>2076</v>
      </c>
      <c r="R148" s="98" t="s">
        <v>2077</v>
      </c>
      <c r="S148" t="s">
        <v>2085</v>
      </c>
      <c r="T148" t="s">
        <v>2078</v>
      </c>
    </row>
    <row r="149" spans="1:20" x14ac:dyDescent="0.25">
      <c r="A149" s="98" t="s">
        <v>1039</v>
      </c>
      <c r="B149" s="98" t="s">
        <v>1058</v>
      </c>
      <c r="C149" s="98" t="s">
        <v>1136</v>
      </c>
      <c r="D149" s="98" t="s">
        <v>2034</v>
      </c>
      <c r="E149" s="101">
        <v>43930</v>
      </c>
      <c r="F149" s="101">
        <v>219512</v>
      </c>
      <c r="G149" s="98">
        <v>0</v>
      </c>
      <c r="H149" s="101">
        <v>45919</v>
      </c>
      <c r="I149" s="98" t="s">
        <v>2035</v>
      </c>
      <c r="J149" s="98">
        <v>43930</v>
      </c>
      <c r="K149" s="101" t="s">
        <v>2035</v>
      </c>
      <c r="L149" s="98">
        <v>39936</v>
      </c>
      <c r="M149" s="98">
        <v>3994</v>
      </c>
      <c r="N149" s="98">
        <v>10</v>
      </c>
      <c r="O149" s="98" t="s">
        <v>2062</v>
      </c>
      <c r="P149" s="98" t="s">
        <v>2037</v>
      </c>
      <c r="Q149" s="98" t="s">
        <v>2076</v>
      </c>
      <c r="R149" s="98" t="s">
        <v>2077</v>
      </c>
      <c r="S149" t="s">
        <v>2085</v>
      </c>
      <c r="T149" t="s">
        <v>2078</v>
      </c>
    </row>
    <row r="150" spans="1:20" x14ac:dyDescent="0.25">
      <c r="A150" s="98" t="s">
        <v>1041</v>
      </c>
      <c r="B150" s="98" t="s">
        <v>1059</v>
      </c>
      <c r="C150" s="98" t="s">
        <v>1136</v>
      </c>
      <c r="D150" s="98" t="s">
        <v>2034</v>
      </c>
      <c r="E150" s="101">
        <v>52688</v>
      </c>
      <c r="F150" s="101">
        <v>219512</v>
      </c>
      <c r="G150" s="98">
        <v>0</v>
      </c>
      <c r="H150" s="101">
        <v>45919</v>
      </c>
      <c r="I150" s="98" t="s">
        <v>2035</v>
      </c>
      <c r="J150" s="98">
        <v>52688</v>
      </c>
      <c r="K150" s="101" t="s">
        <v>2035</v>
      </c>
      <c r="L150" s="98">
        <v>47898</v>
      </c>
      <c r="M150" s="98">
        <v>4790</v>
      </c>
      <c r="N150" s="98">
        <v>10</v>
      </c>
      <c r="O150" s="98" t="s">
        <v>2062</v>
      </c>
      <c r="P150" s="98" t="s">
        <v>2037</v>
      </c>
      <c r="Q150" s="98" t="s">
        <v>2076</v>
      </c>
      <c r="R150" s="98" t="s">
        <v>2077</v>
      </c>
      <c r="S150" t="s">
        <v>2060</v>
      </c>
      <c r="T150" t="s">
        <v>2078</v>
      </c>
    </row>
    <row r="151" spans="1:20" x14ac:dyDescent="0.25">
      <c r="A151" s="98" t="s">
        <v>1287</v>
      </c>
      <c r="B151" s="98" t="s">
        <v>1288</v>
      </c>
      <c r="C151" s="98" t="s">
        <v>1179</v>
      </c>
      <c r="D151" s="98" t="s">
        <v>2034</v>
      </c>
      <c r="E151" s="101">
        <v>16194</v>
      </c>
      <c r="F151" s="101">
        <v>219512</v>
      </c>
      <c r="G151" s="98">
        <v>0</v>
      </c>
      <c r="H151" s="101">
        <v>45817</v>
      </c>
      <c r="I151" s="98" t="s">
        <v>2035</v>
      </c>
      <c r="J151" s="98">
        <v>16194</v>
      </c>
      <c r="K151" s="101" t="s">
        <v>2035</v>
      </c>
      <c r="L151" s="98">
        <v>14722</v>
      </c>
      <c r="M151" s="98">
        <v>1472</v>
      </c>
      <c r="N151" s="98">
        <v>10</v>
      </c>
      <c r="O151" s="98" t="s">
        <v>2062</v>
      </c>
      <c r="P151" s="98" t="s">
        <v>2037</v>
      </c>
      <c r="Q151" s="98" t="s">
        <v>2038</v>
      </c>
      <c r="R151" s="98" t="s">
        <v>2077</v>
      </c>
      <c r="S151" t="s">
        <v>2086</v>
      </c>
      <c r="T151" t="s">
        <v>2078</v>
      </c>
    </row>
    <row r="152" spans="1:20" x14ac:dyDescent="0.25">
      <c r="A152" s="98" t="s">
        <v>465</v>
      </c>
      <c r="B152" s="98" t="s">
        <v>1289</v>
      </c>
      <c r="C152" s="98" t="s">
        <v>1136</v>
      </c>
      <c r="D152" s="98" t="s">
        <v>2034</v>
      </c>
      <c r="E152" s="101">
        <v>30214</v>
      </c>
      <c r="F152" s="101">
        <v>219512</v>
      </c>
      <c r="G152" s="98">
        <v>0</v>
      </c>
      <c r="H152" s="101">
        <v>45817</v>
      </c>
      <c r="I152" s="98" t="s">
        <v>2035</v>
      </c>
      <c r="J152" s="98">
        <v>30214</v>
      </c>
      <c r="K152" s="101" t="s">
        <v>2035</v>
      </c>
      <c r="L152" s="98">
        <v>30831</v>
      </c>
      <c r="M152" s="98">
        <v>-617</v>
      </c>
      <c r="N152" s="98">
        <v>-2</v>
      </c>
      <c r="O152" s="98" t="s">
        <v>2062</v>
      </c>
      <c r="P152" s="98" t="s">
        <v>2037</v>
      </c>
      <c r="Q152" s="98" t="s">
        <v>2038</v>
      </c>
      <c r="R152" s="98" t="s">
        <v>2077</v>
      </c>
      <c r="S152" t="s">
        <v>2047</v>
      </c>
      <c r="T152" t="s">
        <v>2078</v>
      </c>
    </row>
    <row r="153" spans="1:20" x14ac:dyDescent="0.25">
      <c r="A153" s="98" t="s">
        <v>485</v>
      </c>
      <c r="B153" s="98" t="s">
        <v>1290</v>
      </c>
      <c r="C153" s="98" t="s">
        <v>1179</v>
      </c>
      <c r="D153" s="98" t="s">
        <v>2034</v>
      </c>
      <c r="E153" s="101">
        <v>33098</v>
      </c>
      <c r="F153" s="101">
        <v>219512</v>
      </c>
      <c r="G153" s="98">
        <v>0</v>
      </c>
      <c r="H153" s="101">
        <v>45769</v>
      </c>
      <c r="I153" s="98" t="s">
        <v>2035</v>
      </c>
      <c r="J153" s="98">
        <v>33098</v>
      </c>
      <c r="K153" s="101" t="s">
        <v>2035</v>
      </c>
      <c r="L153" s="98">
        <v>11721</v>
      </c>
      <c r="M153" s="98">
        <v>21377</v>
      </c>
      <c r="N153" s="98">
        <v>182.38</v>
      </c>
      <c r="O153" s="98" t="s">
        <v>2062</v>
      </c>
      <c r="P153" s="98" t="s">
        <v>2037</v>
      </c>
      <c r="Q153" s="98" t="s">
        <v>2050</v>
      </c>
      <c r="R153" s="98" t="s">
        <v>2077</v>
      </c>
      <c r="S153" t="s">
        <v>2068</v>
      </c>
      <c r="T153" t="s">
        <v>2078</v>
      </c>
    </row>
    <row r="154" spans="1:20" x14ac:dyDescent="0.25">
      <c r="A154" s="98" t="s">
        <v>1291</v>
      </c>
      <c r="B154" s="98" t="s">
        <v>1292</v>
      </c>
      <c r="C154" s="98" t="s">
        <v>1280</v>
      </c>
      <c r="D154" s="98" t="s">
        <v>2034</v>
      </c>
      <c r="E154" s="101">
        <v>4187</v>
      </c>
      <c r="F154" s="101">
        <v>219512</v>
      </c>
      <c r="G154" s="98">
        <v>0</v>
      </c>
      <c r="H154" s="101">
        <v>45766</v>
      </c>
      <c r="I154" s="98" t="s">
        <v>2035</v>
      </c>
      <c r="J154" s="98">
        <v>4187</v>
      </c>
      <c r="K154" s="101" t="s">
        <v>2035</v>
      </c>
      <c r="L154" s="98">
        <v>4606</v>
      </c>
      <c r="M154" s="98">
        <v>-419</v>
      </c>
      <c r="N154" s="98">
        <v>-9.1</v>
      </c>
      <c r="O154" s="98" t="s">
        <v>2087</v>
      </c>
      <c r="P154" s="98" t="s">
        <v>2088</v>
      </c>
      <c r="Q154" s="98" t="s">
        <v>2050</v>
      </c>
      <c r="R154" s="98" t="s">
        <v>2089</v>
      </c>
      <c r="S154" t="s">
        <v>2040</v>
      </c>
      <c r="T154" t="s">
        <v>2090</v>
      </c>
    </row>
    <row r="155" spans="1:20" x14ac:dyDescent="0.25">
      <c r="A155" s="98" t="s">
        <v>1293</v>
      </c>
      <c r="B155" s="98" t="s">
        <v>1294</v>
      </c>
      <c r="C155" s="98" t="s">
        <v>1280</v>
      </c>
      <c r="D155" s="98" t="s">
        <v>2034</v>
      </c>
      <c r="E155" s="101">
        <v>7168</v>
      </c>
      <c r="F155" s="101">
        <v>219512</v>
      </c>
      <c r="G155" s="98">
        <v>0</v>
      </c>
      <c r="H155" s="101">
        <v>45897</v>
      </c>
      <c r="I155" s="98" t="s">
        <v>2035</v>
      </c>
      <c r="J155" s="98">
        <v>7168</v>
      </c>
      <c r="K155" s="101" t="s">
        <v>2035</v>
      </c>
      <c r="L155" s="98">
        <v>7877</v>
      </c>
      <c r="M155" s="98">
        <v>-709</v>
      </c>
      <c r="N155" s="98">
        <v>-9</v>
      </c>
      <c r="O155" s="98" t="s">
        <v>2087</v>
      </c>
      <c r="P155" s="98" t="s">
        <v>2088</v>
      </c>
      <c r="Q155" s="98" t="s">
        <v>2050</v>
      </c>
      <c r="R155" s="98" t="s">
        <v>2089</v>
      </c>
      <c r="S155" t="s">
        <v>2040</v>
      </c>
      <c r="T155" t="s">
        <v>2090</v>
      </c>
    </row>
    <row r="156" spans="1:20" x14ac:dyDescent="0.25">
      <c r="A156" s="98" t="s">
        <v>1295</v>
      </c>
      <c r="B156" s="98" t="s">
        <v>1296</v>
      </c>
      <c r="C156" s="98" t="s">
        <v>1280</v>
      </c>
      <c r="D156" s="98" t="s">
        <v>2034</v>
      </c>
      <c r="E156" s="101">
        <v>7168</v>
      </c>
      <c r="F156" s="101">
        <v>219512</v>
      </c>
      <c r="G156" s="98">
        <v>0</v>
      </c>
      <c r="H156" s="101">
        <v>45897</v>
      </c>
      <c r="I156" s="98" t="s">
        <v>2035</v>
      </c>
      <c r="J156" s="98">
        <v>7168</v>
      </c>
      <c r="K156" s="101" t="s">
        <v>2035</v>
      </c>
      <c r="L156" s="98">
        <v>7877</v>
      </c>
      <c r="M156" s="98">
        <v>-709</v>
      </c>
      <c r="N156" s="98">
        <v>-9</v>
      </c>
      <c r="O156" s="98" t="s">
        <v>2087</v>
      </c>
      <c r="P156" s="98" t="s">
        <v>2088</v>
      </c>
      <c r="Q156" s="98" t="s">
        <v>2050</v>
      </c>
      <c r="R156" s="98" t="s">
        <v>2089</v>
      </c>
      <c r="S156" t="s">
        <v>2040</v>
      </c>
      <c r="T156" t="s">
        <v>2090</v>
      </c>
    </row>
    <row r="157" spans="1:20" x14ac:dyDescent="0.25">
      <c r="A157" s="98" t="s">
        <v>1297</v>
      </c>
      <c r="B157" s="98" t="s">
        <v>1298</v>
      </c>
      <c r="C157" s="98" t="s">
        <v>1280</v>
      </c>
      <c r="D157" s="98" t="s">
        <v>2034</v>
      </c>
      <c r="E157" s="101">
        <v>7168</v>
      </c>
      <c r="F157" s="101">
        <v>219512</v>
      </c>
      <c r="G157" s="98">
        <v>0</v>
      </c>
      <c r="H157" s="101">
        <v>45897</v>
      </c>
      <c r="I157" s="98" t="s">
        <v>2035</v>
      </c>
      <c r="J157" s="98">
        <v>7168</v>
      </c>
      <c r="K157" s="101" t="s">
        <v>2035</v>
      </c>
      <c r="L157" s="98">
        <v>7877</v>
      </c>
      <c r="M157" s="98">
        <v>-709</v>
      </c>
      <c r="N157" s="98">
        <v>-9</v>
      </c>
      <c r="O157" s="98" t="s">
        <v>2087</v>
      </c>
      <c r="P157" s="98" t="s">
        <v>2088</v>
      </c>
      <c r="Q157" s="98" t="s">
        <v>2050</v>
      </c>
      <c r="R157" s="98" t="s">
        <v>2089</v>
      </c>
      <c r="S157" t="s">
        <v>2040</v>
      </c>
      <c r="T157" t="s">
        <v>2090</v>
      </c>
    </row>
    <row r="158" spans="1:20" x14ac:dyDescent="0.25">
      <c r="A158" s="98" t="s">
        <v>1299</v>
      </c>
      <c r="B158" s="98" t="s">
        <v>1300</v>
      </c>
      <c r="C158" s="98" t="s">
        <v>1280</v>
      </c>
      <c r="D158" s="98" t="s">
        <v>2034</v>
      </c>
      <c r="E158" s="101">
        <v>7168</v>
      </c>
      <c r="F158" s="101">
        <v>219512</v>
      </c>
      <c r="G158" s="98">
        <v>0</v>
      </c>
      <c r="H158" s="101">
        <v>45897</v>
      </c>
      <c r="I158" s="98" t="s">
        <v>2035</v>
      </c>
      <c r="J158" s="98">
        <v>7168</v>
      </c>
      <c r="K158" s="101" t="s">
        <v>2035</v>
      </c>
      <c r="L158" s="98">
        <v>7877</v>
      </c>
      <c r="M158" s="98">
        <v>-709</v>
      </c>
      <c r="N158" s="98">
        <v>-9</v>
      </c>
      <c r="O158" s="98" t="s">
        <v>2087</v>
      </c>
      <c r="P158" s="98" t="s">
        <v>2088</v>
      </c>
      <c r="Q158" s="98" t="s">
        <v>2050</v>
      </c>
      <c r="R158" s="98" t="s">
        <v>2089</v>
      </c>
      <c r="S158" t="s">
        <v>2040</v>
      </c>
      <c r="T158" t="s">
        <v>2090</v>
      </c>
    </row>
    <row r="159" spans="1:20" x14ac:dyDescent="0.25">
      <c r="A159" s="98" t="s">
        <v>1301</v>
      </c>
      <c r="B159" s="98" t="s">
        <v>1302</v>
      </c>
      <c r="C159" s="98" t="s">
        <v>1280</v>
      </c>
      <c r="D159" s="98" t="s">
        <v>2034</v>
      </c>
      <c r="E159" s="101">
        <v>7168</v>
      </c>
      <c r="F159" s="101">
        <v>219512</v>
      </c>
      <c r="G159" s="98">
        <v>0</v>
      </c>
      <c r="H159" s="101">
        <v>45897</v>
      </c>
      <c r="I159" s="98" t="s">
        <v>2035</v>
      </c>
      <c r="J159" s="98">
        <v>7168</v>
      </c>
      <c r="K159" s="101" t="s">
        <v>2035</v>
      </c>
      <c r="L159" s="98">
        <v>7877</v>
      </c>
      <c r="M159" s="98">
        <v>-709</v>
      </c>
      <c r="N159" s="98">
        <v>-9</v>
      </c>
      <c r="O159" s="98" t="s">
        <v>2087</v>
      </c>
      <c r="P159" s="98" t="s">
        <v>2088</v>
      </c>
      <c r="Q159" s="98" t="s">
        <v>2050</v>
      </c>
      <c r="R159" s="98" t="s">
        <v>2089</v>
      </c>
      <c r="S159" t="s">
        <v>2040</v>
      </c>
      <c r="T159" t="s">
        <v>2090</v>
      </c>
    </row>
    <row r="160" spans="1:20" x14ac:dyDescent="0.25">
      <c r="A160" s="98" t="s">
        <v>1303</v>
      </c>
      <c r="B160" s="98" t="s">
        <v>1304</v>
      </c>
      <c r="C160" s="98" t="s">
        <v>1280</v>
      </c>
      <c r="D160" s="98" t="s">
        <v>2034</v>
      </c>
      <c r="E160" s="101">
        <v>7168</v>
      </c>
      <c r="F160" s="101">
        <v>219512</v>
      </c>
      <c r="G160" s="98">
        <v>0</v>
      </c>
      <c r="H160" s="101">
        <v>45897</v>
      </c>
      <c r="I160" s="98" t="s">
        <v>2035</v>
      </c>
      <c r="J160" s="98">
        <v>7168</v>
      </c>
      <c r="K160" s="101" t="s">
        <v>2035</v>
      </c>
      <c r="L160" s="98">
        <v>7877</v>
      </c>
      <c r="M160" s="98">
        <v>-709</v>
      </c>
      <c r="N160" s="98">
        <v>-9</v>
      </c>
      <c r="O160" s="98" t="s">
        <v>2087</v>
      </c>
      <c r="P160" s="98" t="s">
        <v>2088</v>
      </c>
      <c r="Q160" s="98" t="s">
        <v>2050</v>
      </c>
      <c r="R160" s="98" t="s">
        <v>2089</v>
      </c>
      <c r="S160" t="s">
        <v>2040</v>
      </c>
      <c r="T160" t="s">
        <v>2090</v>
      </c>
    </row>
    <row r="161" spans="1:20" x14ac:dyDescent="0.25">
      <c r="A161" s="98" t="s">
        <v>1305</v>
      </c>
      <c r="B161" s="98" t="s">
        <v>1306</v>
      </c>
      <c r="C161" s="98" t="s">
        <v>1136</v>
      </c>
      <c r="D161" s="98" t="s">
        <v>2034</v>
      </c>
      <c r="E161" s="101">
        <v>1343</v>
      </c>
      <c r="F161" s="101">
        <v>219512</v>
      </c>
      <c r="G161" s="98">
        <v>0</v>
      </c>
      <c r="H161" s="101">
        <v>45769</v>
      </c>
      <c r="I161" s="98" t="s">
        <v>2035</v>
      </c>
      <c r="J161" s="98">
        <v>1343</v>
      </c>
      <c r="K161" s="101" t="s">
        <v>2035</v>
      </c>
      <c r="L161" s="98">
        <v>1420</v>
      </c>
      <c r="M161" s="98">
        <v>-77</v>
      </c>
      <c r="N161" s="98">
        <v>-5.42</v>
      </c>
      <c r="O161" s="98" t="s">
        <v>2087</v>
      </c>
      <c r="P161" s="98" t="s">
        <v>2088</v>
      </c>
      <c r="Q161" s="98" t="s">
        <v>2050</v>
      </c>
      <c r="R161" s="98" t="s">
        <v>2089</v>
      </c>
      <c r="S161" t="s">
        <v>2091</v>
      </c>
      <c r="T161" t="s">
        <v>2090</v>
      </c>
    </row>
    <row r="162" spans="1:20" x14ac:dyDescent="0.25">
      <c r="A162" s="98" t="s">
        <v>1307</v>
      </c>
      <c r="B162" s="98" t="s">
        <v>1308</v>
      </c>
      <c r="C162" s="98" t="s">
        <v>1136</v>
      </c>
      <c r="D162" s="98" t="s">
        <v>2034</v>
      </c>
      <c r="E162" s="101">
        <v>2052</v>
      </c>
      <c r="F162" s="101">
        <v>219512</v>
      </c>
      <c r="G162" s="98">
        <v>0</v>
      </c>
      <c r="H162" s="101">
        <v>45769</v>
      </c>
      <c r="I162" s="98" t="s">
        <v>2035</v>
      </c>
      <c r="J162" s="98">
        <v>2052</v>
      </c>
      <c r="K162" s="101" t="s">
        <v>2035</v>
      </c>
      <c r="L162" s="98">
        <v>2610</v>
      </c>
      <c r="M162" s="98">
        <v>-558</v>
      </c>
      <c r="N162" s="98">
        <v>-21.38</v>
      </c>
      <c r="O162" s="98" t="s">
        <v>2087</v>
      </c>
      <c r="P162" s="98" t="s">
        <v>2088</v>
      </c>
      <c r="Q162" s="98" t="s">
        <v>2050</v>
      </c>
      <c r="R162" s="98" t="s">
        <v>2089</v>
      </c>
      <c r="S162" t="s">
        <v>2058</v>
      </c>
      <c r="T162" t="s">
        <v>2090</v>
      </c>
    </row>
    <row r="163" spans="1:20" x14ac:dyDescent="0.25">
      <c r="A163" s="98" t="s">
        <v>1309</v>
      </c>
      <c r="B163" s="98" t="s">
        <v>1310</v>
      </c>
      <c r="C163" s="98" t="s">
        <v>1136</v>
      </c>
      <c r="D163" s="98" t="s">
        <v>2034</v>
      </c>
      <c r="E163" s="101">
        <v>2755</v>
      </c>
      <c r="F163" s="101">
        <v>219512</v>
      </c>
      <c r="G163" s="98">
        <v>0</v>
      </c>
      <c r="H163" s="101">
        <v>45897</v>
      </c>
      <c r="I163" s="98" t="s">
        <v>2035</v>
      </c>
      <c r="J163" s="98">
        <v>2755</v>
      </c>
      <c r="K163" s="101" t="s">
        <v>2035</v>
      </c>
      <c r="L163" s="98">
        <v>3167</v>
      </c>
      <c r="M163" s="98">
        <v>-412</v>
      </c>
      <c r="N163" s="98">
        <v>-13.01</v>
      </c>
      <c r="O163" s="98" t="s">
        <v>2087</v>
      </c>
      <c r="P163" s="98" t="s">
        <v>2088</v>
      </c>
      <c r="Q163" s="98" t="s">
        <v>2050</v>
      </c>
      <c r="R163" s="98" t="s">
        <v>2089</v>
      </c>
      <c r="S163" t="s">
        <v>2058</v>
      </c>
      <c r="T163" t="s">
        <v>2090</v>
      </c>
    </row>
    <row r="164" spans="1:20" x14ac:dyDescent="0.25">
      <c r="A164" s="98" t="s">
        <v>1311</v>
      </c>
      <c r="B164" s="98" t="s">
        <v>1312</v>
      </c>
      <c r="C164" s="98" t="s">
        <v>1136</v>
      </c>
      <c r="D164" s="98" t="s">
        <v>2034</v>
      </c>
      <c r="E164" s="101">
        <v>4750</v>
      </c>
      <c r="F164" s="101">
        <v>219512</v>
      </c>
      <c r="G164" s="98">
        <v>0</v>
      </c>
      <c r="H164" s="101">
        <v>45762</v>
      </c>
      <c r="I164" s="98" t="s">
        <v>2035</v>
      </c>
      <c r="J164" s="98">
        <v>4750</v>
      </c>
      <c r="K164" s="101" t="s">
        <v>2035</v>
      </c>
      <c r="L164" s="98">
        <v>4318</v>
      </c>
      <c r="M164" s="98">
        <v>432</v>
      </c>
      <c r="N164" s="98">
        <v>10</v>
      </c>
      <c r="O164" s="98" t="s">
        <v>2087</v>
      </c>
      <c r="P164" s="98" t="s">
        <v>2088</v>
      </c>
      <c r="Q164" s="98" t="s">
        <v>2050</v>
      </c>
      <c r="R164" s="98" t="s">
        <v>2092</v>
      </c>
      <c r="S164" t="s">
        <v>2040</v>
      </c>
      <c r="T164" t="s">
        <v>2093</v>
      </c>
    </row>
    <row r="165" spans="1:20" x14ac:dyDescent="0.25">
      <c r="A165" s="98" t="s">
        <v>1313</v>
      </c>
      <c r="B165" s="98" t="s">
        <v>1314</v>
      </c>
      <c r="C165" s="98" t="s">
        <v>1136</v>
      </c>
      <c r="D165" s="98" t="s">
        <v>2034</v>
      </c>
      <c r="E165" s="101">
        <v>5244</v>
      </c>
      <c r="F165" s="101">
        <v>219512</v>
      </c>
      <c r="G165" s="98">
        <v>0</v>
      </c>
      <c r="H165" s="101">
        <v>45897</v>
      </c>
      <c r="I165" s="98" t="s">
        <v>2035</v>
      </c>
      <c r="J165" s="98">
        <v>5244</v>
      </c>
      <c r="K165" s="101" t="s">
        <v>2035</v>
      </c>
      <c r="L165" s="98">
        <v>4560</v>
      </c>
      <c r="M165" s="98">
        <v>684</v>
      </c>
      <c r="N165" s="98">
        <v>15</v>
      </c>
      <c r="O165" s="98" t="s">
        <v>2087</v>
      </c>
      <c r="P165" s="98" t="s">
        <v>2088</v>
      </c>
      <c r="Q165" s="98" t="s">
        <v>2050</v>
      </c>
      <c r="R165" s="98" t="s">
        <v>2092</v>
      </c>
      <c r="S165" t="s">
        <v>2040</v>
      </c>
      <c r="T165" t="s">
        <v>2093</v>
      </c>
    </row>
    <row r="166" spans="1:20" x14ac:dyDescent="0.25">
      <c r="A166" s="98" t="s">
        <v>1315</v>
      </c>
      <c r="B166" s="98" t="s">
        <v>1316</v>
      </c>
      <c r="C166" s="98" t="s">
        <v>1280</v>
      </c>
      <c r="D166" s="98" t="s">
        <v>2034</v>
      </c>
      <c r="E166" s="101">
        <v>72763</v>
      </c>
      <c r="F166" s="101">
        <v>219512</v>
      </c>
      <c r="G166" s="98">
        <v>0</v>
      </c>
      <c r="H166" s="101">
        <v>45769</v>
      </c>
      <c r="I166" s="98" t="s">
        <v>2035</v>
      </c>
      <c r="J166" s="98">
        <v>72763</v>
      </c>
      <c r="K166" s="101" t="s">
        <v>2035</v>
      </c>
      <c r="L166" s="98">
        <v>76228</v>
      </c>
      <c r="M166" s="98">
        <v>-3465</v>
      </c>
      <c r="N166" s="98">
        <v>-4.55</v>
      </c>
      <c r="O166" s="98" t="s">
        <v>2094</v>
      </c>
      <c r="P166" s="98" t="s">
        <v>2095</v>
      </c>
      <c r="Q166" s="98" t="s">
        <v>2076</v>
      </c>
      <c r="R166" s="98" t="s">
        <v>2096</v>
      </c>
      <c r="S166" t="s">
        <v>2040</v>
      </c>
      <c r="T166" t="s">
        <v>2097</v>
      </c>
    </row>
    <row r="167" spans="1:20" x14ac:dyDescent="0.25">
      <c r="A167" s="98" t="s">
        <v>1317</v>
      </c>
      <c r="B167" s="98" t="s">
        <v>1318</v>
      </c>
      <c r="C167" s="98" t="s">
        <v>1280</v>
      </c>
      <c r="D167" s="98" t="s">
        <v>2034</v>
      </c>
      <c r="E167" s="101">
        <v>57090</v>
      </c>
      <c r="F167" s="101">
        <v>219512</v>
      </c>
      <c r="G167" s="98">
        <v>0</v>
      </c>
      <c r="H167" s="101">
        <v>45880</v>
      </c>
      <c r="I167" s="98" t="s">
        <v>2035</v>
      </c>
      <c r="J167" s="98">
        <v>57090</v>
      </c>
      <c r="K167" s="101" t="s">
        <v>2035</v>
      </c>
      <c r="L167" s="98">
        <v>43915</v>
      </c>
      <c r="M167" s="98">
        <v>13175</v>
      </c>
      <c r="N167" s="98">
        <v>30</v>
      </c>
      <c r="O167" s="98" t="s">
        <v>2094</v>
      </c>
      <c r="P167" s="98" t="s">
        <v>2095</v>
      </c>
      <c r="Q167" s="98" t="s">
        <v>2076</v>
      </c>
      <c r="R167" s="98" t="s">
        <v>2096</v>
      </c>
      <c r="S167" t="s">
        <v>2040</v>
      </c>
      <c r="T167" t="s">
        <v>2097</v>
      </c>
    </row>
    <row r="168" spans="1:20" x14ac:dyDescent="0.25">
      <c r="A168" s="98" t="s">
        <v>1319</v>
      </c>
      <c r="B168" s="98" t="s">
        <v>1320</v>
      </c>
      <c r="C168" s="98" t="s">
        <v>1280</v>
      </c>
      <c r="D168" s="98" t="s">
        <v>2034</v>
      </c>
      <c r="E168" s="101">
        <v>67501</v>
      </c>
      <c r="F168" s="101">
        <v>219512</v>
      </c>
      <c r="G168" s="98">
        <v>0</v>
      </c>
      <c r="H168" s="101">
        <v>45769</v>
      </c>
      <c r="I168" s="98" t="s">
        <v>2035</v>
      </c>
      <c r="J168" s="98">
        <v>67501</v>
      </c>
      <c r="K168" s="101" t="s">
        <v>2035</v>
      </c>
      <c r="L168" s="98">
        <v>70716</v>
      </c>
      <c r="M168" s="98">
        <v>-3215</v>
      </c>
      <c r="N168" s="98">
        <v>-4.55</v>
      </c>
      <c r="O168" s="98" t="s">
        <v>2094</v>
      </c>
      <c r="P168" s="98" t="s">
        <v>2095</v>
      </c>
      <c r="Q168" s="98" t="s">
        <v>2076</v>
      </c>
      <c r="R168" s="98" t="s">
        <v>2096</v>
      </c>
      <c r="S168" t="s">
        <v>2040</v>
      </c>
      <c r="T168" t="s">
        <v>2097</v>
      </c>
    </row>
    <row r="169" spans="1:20" x14ac:dyDescent="0.25">
      <c r="A169" s="98" t="s">
        <v>1321</v>
      </c>
      <c r="B169" s="98" t="s">
        <v>1322</v>
      </c>
      <c r="C169" s="98" t="s">
        <v>1280</v>
      </c>
      <c r="D169" s="98" t="s">
        <v>2034</v>
      </c>
      <c r="E169" s="101">
        <v>79433</v>
      </c>
      <c r="F169" s="101">
        <v>219512</v>
      </c>
      <c r="G169" s="98">
        <v>0</v>
      </c>
      <c r="H169" s="101">
        <v>45769</v>
      </c>
      <c r="I169" s="98" t="s">
        <v>2035</v>
      </c>
      <c r="J169" s="98">
        <v>79433</v>
      </c>
      <c r="K169" s="101" t="s">
        <v>2035</v>
      </c>
      <c r="L169" s="98">
        <v>83215</v>
      </c>
      <c r="M169" s="98">
        <v>-3782</v>
      </c>
      <c r="N169" s="98">
        <v>-4.54</v>
      </c>
      <c r="O169" s="98" t="s">
        <v>2094</v>
      </c>
      <c r="P169" s="98" t="s">
        <v>2095</v>
      </c>
      <c r="Q169" s="98" t="s">
        <v>2076</v>
      </c>
      <c r="R169" s="98" t="s">
        <v>2096</v>
      </c>
      <c r="S169" t="s">
        <v>2040</v>
      </c>
      <c r="T169" t="s">
        <v>2097</v>
      </c>
    </row>
    <row r="170" spans="1:20" x14ac:dyDescent="0.25">
      <c r="A170" s="98" t="s">
        <v>940</v>
      </c>
      <c r="B170" s="98" t="s">
        <v>954</v>
      </c>
      <c r="C170" s="98" t="s">
        <v>1280</v>
      </c>
      <c r="D170" s="98" t="s">
        <v>2034</v>
      </c>
      <c r="E170" s="101">
        <v>2928</v>
      </c>
      <c r="F170" s="101">
        <v>219512</v>
      </c>
      <c r="G170" s="98">
        <v>0</v>
      </c>
      <c r="H170" s="101">
        <v>45897</v>
      </c>
      <c r="I170" s="98" t="s">
        <v>2035</v>
      </c>
      <c r="J170" s="98">
        <v>2928</v>
      </c>
      <c r="K170" s="101" t="s">
        <v>2054</v>
      </c>
      <c r="L170" s="98">
        <v>0</v>
      </c>
      <c r="M170" s="98">
        <v>2928</v>
      </c>
      <c r="N170" s="98">
        <v>0</v>
      </c>
      <c r="O170" s="98" t="s">
        <v>2098</v>
      </c>
      <c r="P170" s="98" t="s">
        <v>2095</v>
      </c>
      <c r="Q170" s="98" t="s">
        <v>2076</v>
      </c>
      <c r="R170" s="98" t="s">
        <v>2096</v>
      </c>
      <c r="S170" t="s">
        <v>2040</v>
      </c>
      <c r="T170" t="s">
        <v>2097</v>
      </c>
    </row>
    <row r="171" spans="1:20" x14ac:dyDescent="0.25">
      <c r="A171" s="98" t="s">
        <v>942</v>
      </c>
      <c r="B171" s="98" t="s">
        <v>955</v>
      </c>
      <c r="C171" s="98" t="s">
        <v>1280</v>
      </c>
      <c r="D171" s="98" t="s">
        <v>2034</v>
      </c>
      <c r="E171" s="101">
        <v>9185</v>
      </c>
      <c r="F171" s="101">
        <v>219512</v>
      </c>
      <c r="G171" s="98">
        <v>0</v>
      </c>
      <c r="H171" s="101">
        <v>45897</v>
      </c>
      <c r="I171" s="98" t="s">
        <v>2035</v>
      </c>
      <c r="J171" s="98">
        <v>9185</v>
      </c>
      <c r="K171" s="101" t="s">
        <v>2054</v>
      </c>
      <c r="L171" s="98">
        <v>0</v>
      </c>
      <c r="M171" s="98">
        <v>9185</v>
      </c>
      <c r="N171" s="98">
        <v>0</v>
      </c>
      <c r="O171" s="98" t="s">
        <v>2098</v>
      </c>
      <c r="P171" s="98" t="s">
        <v>2095</v>
      </c>
      <c r="Q171" s="98" t="s">
        <v>2076</v>
      </c>
      <c r="R171" s="98" t="s">
        <v>2096</v>
      </c>
      <c r="S171" t="s">
        <v>2040</v>
      </c>
      <c r="T171" t="s">
        <v>2097</v>
      </c>
    </row>
    <row r="172" spans="1:20" x14ac:dyDescent="0.25">
      <c r="A172" s="98" t="s">
        <v>944</v>
      </c>
      <c r="B172" s="98" t="s">
        <v>956</v>
      </c>
      <c r="C172" s="98" t="s">
        <v>1280</v>
      </c>
      <c r="D172" s="98" t="s">
        <v>2034</v>
      </c>
      <c r="E172" s="101">
        <v>41315</v>
      </c>
      <c r="F172" s="101">
        <v>219512</v>
      </c>
      <c r="G172" s="98">
        <v>0</v>
      </c>
      <c r="H172" s="101">
        <v>45897</v>
      </c>
      <c r="I172" s="98" t="s">
        <v>2035</v>
      </c>
      <c r="J172" s="98">
        <v>41315</v>
      </c>
      <c r="K172" s="101" t="s">
        <v>2054</v>
      </c>
      <c r="L172" s="98">
        <v>0</v>
      </c>
      <c r="M172" s="98">
        <v>41315</v>
      </c>
      <c r="N172" s="98">
        <v>0</v>
      </c>
      <c r="O172" s="98" t="s">
        <v>2098</v>
      </c>
      <c r="P172" s="98" t="s">
        <v>2095</v>
      </c>
      <c r="Q172" s="98" t="s">
        <v>2076</v>
      </c>
      <c r="R172" s="98" t="s">
        <v>2096</v>
      </c>
      <c r="S172" t="s">
        <v>2040</v>
      </c>
      <c r="T172" t="s">
        <v>2097</v>
      </c>
    </row>
    <row r="173" spans="1:20" x14ac:dyDescent="0.25">
      <c r="A173" s="98" t="s">
        <v>426</v>
      </c>
      <c r="B173" s="98" t="s">
        <v>429</v>
      </c>
      <c r="C173" s="98" t="s">
        <v>1280</v>
      </c>
      <c r="D173" s="98" t="s">
        <v>2034</v>
      </c>
      <c r="E173" s="101">
        <v>33438</v>
      </c>
      <c r="F173" s="101">
        <v>219512</v>
      </c>
      <c r="G173" s="98">
        <v>0</v>
      </c>
      <c r="H173" s="101">
        <v>45880</v>
      </c>
      <c r="I173" s="98" t="s">
        <v>2035</v>
      </c>
      <c r="J173" s="98">
        <v>33438</v>
      </c>
      <c r="K173" s="101" t="s">
        <v>2035</v>
      </c>
      <c r="L173" s="98">
        <v>30398</v>
      </c>
      <c r="M173" s="98">
        <v>3040</v>
      </c>
      <c r="N173" s="98">
        <v>10</v>
      </c>
      <c r="O173" s="98" t="s">
        <v>2098</v>
      </c>
      <c r="P173" s="98" t="s">
        <v>2095</v>
      </c>
      <c r="Q173" s="98" t="s">
        <v>2076</v>
      </c>
      <c r="R173" s="98" t="s">
        <v>2096</v>
      </c>
      <c r="S173" t="s">
        <v>2040</v>
      </c>
      <c r="T173" t="s">
        <v>2097</v>
      </c>
    </row>
    <row r="174" spans="1:20" x14ac:dyDescent="0.25">
      <c r="A174" s="98" t="s">
        <v>430</v>
      </c>
      <c r="B174" s="98" t="s">
        <v>432</v>
      </c>
      <c r="C174" s="98" t="s">
        <v>1280</v>
      </c>
      <c r="D174" s="98" t="s">
        <v>2034</v>
      </c>
      <c r="E174" s="101">
        <v>42424</v>
      </c>
      <c r="F174" s="101">
        <v>219512</v>
      </c>
      <c r="G174" s="98">
        <v>0</v>
      </c>
      <c r="H174" s="101">
        <v>45880</v>
      </c>
      <c r="I174" s="98" t="s">
        <v>2035</v>
      </c>
      <c r="J174" s="98">
        <v>42424</v>
      </c>
      <c r="K174" s="101" t="s">
        <v>2035</v>
      </c>
      <c r="L174" s="98">
        <v>38567</v>
      </c>
      <c r="M174" s="98">
        <v>3857</v>
      </c>
      <c r="N174" s="98">
        <v>10</v>
      </c>
      <c r="O174" s="98" t="s">
        <v>2098</v>
      </c>
      <c r="P174" s="98" t="s">
        <v>2095</v>
      </c>
      <c r="Q174" s="98" t="s">
        <v>2076</v>
      </c>
      <c r="R174" s="98" t="s">
        <v>2096</v>
      </c>
      <c r="S174" t="s">
        <v>2040</v>
      </c>
      <c r="T174" t="s">
        <v>2097</v>
      </c>
    </row>
    <row r="175" spans="1:20" x14ac:dyDescent="0.25">
      <c r="A175" s="98" t="s">
        <v>433</v>
      </c>
      <c r="B175" s="98" t="s">
        <v>435</v>
      </c>
      <c r="C175" s="98" t="s">
        <v>1280</v>
      </c>
      <c r="D175" s="98" t="s">
        <v>2034</v>
      </c>
      <c r="E175" s="101">
        <v>50280</v>
      </c>
      <c r="F175" s="101">
        <v>219512</v>
      </c>
      <c r="G175" s="98">
        <v>0</v>
      </c>
      <c r="H175" s="101">
        <v>45880</v>
      </c>
      <c r="I175" s="98" t="s">
        <v>2035</v>
      </c>
      <c r="J175" s="98">
        <v>50280</v>
      </c>
      <c r="K175" s="101" t="s">
        <v>2035</v>
      </c>
      <c r="L175" s="98">
        <v>45709</v>
      </c>
      <c r="M175" s="98">
        <v>4571</v>
      </c>
      <c r="N175" s="98">
        <v>10</v>
      </c>
      <c r="O175" s="98" t="s">
        <v>2098</v>
      </c>
      <c r="P175" s="98" t="s">
        <v>2095</v>
      </c>
      <c r="Q175" s="98" t="s">
        <v>2076</v>
      </c>
      <c r="R175" s="98" t="s">
        <v>2096</v>
      </c>
      <c r="S175" t="s">
        <v>2040</v>
      </c>
      <c r="T175" t="s">
        <v>2097</v>
      </c>
    </row>
    <row r="176" spans="1:20" x14ac:dyDescent="0.25">
      <c r="A176" s="98" t="s">
        <v>1323</v>
      </c>
      <c r="B176" s="98" t="s">
        <v>1324</v>
      </c>
      <c r="C176" s="98" t="s">
        <v>1280</v>
      </c>
      <c r="D176" s="98" t="s">
        <v>2034</v>
      </c>
      <c r="E176" s="101">
        <v>48172</v>
      </c>
      <c r="F176" s="101">
        <v>219512</v>
      </c>
      <c r="G176" s="98">
        <v>0</v>
      </c>
      <c r="H176" s="101">
        <v>45769</v>
      </c>
      <c r="I176" s="98" t="s">
        <v>2035</v>
      </c>
      <c r="J176" s="98">
        <v>48172</v>
      </c>
      <c r="K176" s="101" t="s">
        <v>2035</v>
      </c>
      <c r="L176" s="98">
        <v>50466</v>
      </c>
      <c r="M176" s="98">
        <v>-2294</v>
      </c>
      <c r="N176" s="98">
        <v>-4.55</v>
      </c>
      <c r="O176" s="98" t="s">
        <v>2098</v>
      </c>
      <c r="P176" s="98" t="s">
        <v>2095</v>
      </c>
      <c r="Q176" s="98" t="s">
        <v>2076</v>
      </c>
      <c r="R176" s="98" t="s">
        <v>2096</v>
      </c>
      <c r="S176" t="s">
        <v>2040</v>
      </c>
      <c r="T176" t="s">
        <v>2097</v>
      </c>
    </row>
    <row r="177" spans="1:20" x14ac:dyDescent="0.25">
      <c r="A177" s="98" t="s">
        <v>436</v>
      </c>
      <c r="B177" s="98" t="s">
        <v>1325</v>
      </c>
      <c r="C177" s="98" t="s">
        <v>1280</v>
      </c>
      <c r="D177" s="98" t="s">
        <v>2034</v>
      </c>
      <c r="E177" s="101">
        <v>11505</v>
      </c>
      <c r="F177" s="101">
        <v>219512</v>
      </c>
      <c r="G177" s="98">
        <v>0</v>
      </c>
      <c r="H177" s="101">
        <v>45880</v>
      </c>
      <c r="I177" s="98" t="s">
        <v>2035</v>
      </c>
      <c r="J177" s="98">
        <v>11505</v>
      </c>
      <c r="K177" s="101" t="s">
        <v>2035</v>
      </c>
      <c r="L177" s="98">
        <v>10459</v>
      </c>
      <c r="M177" s="98">
        <v>1046</v>
      </c>
      <c r="N177" s="98">
        <v>10</v>
      </c>
      <c r="O177" s="98" t="s">
        <v>2099</v>
      </c>
      <c r="P177" s="98" t="s">
        <v>2095</v>
      </c>
      <c r="Q177" s="98" t="s">
        <v>2076</v>
      </c>
      <c r="R177" s="98" t="s">
        <v>2096</v>
      </c>
      <c r="S177" t="s">
        <v>2040</v>
      </c>
      <c r="T177" t="s">
        <v>2097</v>
      </c>
    </row>
    <row r="178" spans="1:20" x14ac:dyDescent="0.25">
      <c r="A178" s="98" t="s">
        <v>438</v>
      </c>
      <c r="B178" s="98" t="s">
        <v>1326</v>
      </c>
      <c r="C178" s="98" t="s">
        <v>1280</v>
      </c>
      <c r="D178" s="98" t="s">
        <v>2034</v>
      </c>
      <c r="E178" s="101">
        <v>14366</v>
      </c>
      <c r="F178" s="101">
        <v>219512</v>
      </c>
      <c r="G178" s="98">
        <v>0</v>
      </c>
      <c r="H178" s="101">
        <v>45880</v>
      </c>
      <c r="I178" s="98" t="s">
        <v>2035</v>
      </c>
      <c r="J178" s="98">
        <v>14366</v>
      </c>
      <c r="K178" s="101" t="s">
        <v>2035</v>
      </c>
      <c r="L178" s="98">
        <v>12827</v>
      </c>
      <c r="M178" s="98">
        <v>1539</v>
      </c>
      <c r="N178" s="98">
        <v>12</v>
      </c>
      <c r="O178" s="98" t="s">
        <v>2099</v>
      </c>
      <c r="P178" s="98" t="s">
        <v>2095</v>
      </c>
      <c r="Q178" s="98" t="s">
        <v>2076</v>
      </c>
      <c r="R178" s="98" t="s">
        <v>2096</v>
      </c>
      <c r="S178" t="s">
        <v>2040</v>
      </c>
      <c r="T178" t="s">
        <v>2097</v>
      </c>
    </row>
    <row r="179" spans="1:20" x14ac:dyDescent="0.25">
      <c r="A179" s="98" t="s">
        <v>440</v>
      </c>
      <c r="B179" s="98" t="s">
        <v>1327</v>
      </c>
      <c r="C179" s="98" t="s">
        <v>1280</v>
      </c>
      <c r="D179" s="98" t="s">
        <v>2034</v>
      </c>
      <c r="E179" s="101">
        <v>16769</v>
      </c>
      <c r="F179" s="101">
        <v>219512</v>
      </c>
      <c r="G179" s="98">
        <v>0</v>
      </c>
      <c r="H179" s="101">
        <v>45880</v>
      </c>
      <c r="I179" s="98" t="s">
        <v>2035</v>
      </c>
      <c r="J179" s="98">
        <v>16769</v>
      </c>
      <c r="K179" s="101" t="s">
        <v>2035</v>
      </c>
      <c r="L179" s="98">
        <v>15672</v>
      </c>
      <c r="M179" s="98">
        <v>1097</v>
      </c>
      <c r="N179" s="98">
        <v>7</v>
      </c>
      <c r="O179" s="98" t="s">
        <v>2099</v>
      </c>
      <c r="P179" s="98" t="s">
        <v>2095</v>
      </c>
      <c r="Q179" s="98" t="s">
        <v>2076</v>
      </c>
      <c r="R179" s="98" t="s">
        <v>2096</v>
      </c>
      <c r="S179" t="s">
        <v>2040</v>
      </c>
      <c r="T179" t="s">
        <v>2097</v>
      </c>
    </row>
    <row r="180" spans="1:20" x14ac:dyDescent="0.25">
      <c r="A180" s="98" t="s">
        <v>1328</v>
      </c>
      <c r="B180" s="98" t="s">
        <v>1329</v>
      </c>
      <c r="C180" s="98" t="s">
        <v>1280</v>
      </c>
      <c r="D180" s="98" t="s">
        <v>2034</v>
      </c>
      <c r="E180" s="101">
        <v>19922</v>
      </c>
      <c r="F180" s="101">
        <v>219512</v>
      </c>
      <c r="G180" s="98">
        <v>0</v>
      </c>
      <c r="H180" s="101">
        <v>45897</v>
      </c>
      <c r="I180" s="98" t="s">
        <v>2035</v>
      </c>
      <c r="J180" s="98">
        <v>19922</v>
      </c>
      <c r="K180" s="101" t="s">
        <v>2054</v>
      </c>
      <c r="L180" s="98">
        <v>0</v>
      </c>
      <c r="M180" s="98">
        <v>19922</v>
      </c>
      <c r="N180" s="98">
        <v>0</v>
      </c>
      <c r="O180" s="98" t="s">
        <v>2099</v>
      </c>
      <c r="P180" s="98" t="s">
        <v>2095</v>
      </c>
      <c r="Q180" s="98" t="s">
        <v>2076</v>
      </c>
      <c r="R180" s="98" t="s">
        <v>2096</v>
      </c>
      <c r="S180" t="s">
        <v>2040</v>
      </c>
      <c r="T180" t="s">
        <v>2097</v>
      </c>
    </row>
    <row r="181" spans="1:20" x14ac:dyDescent="0.25">
      <c r="A181" s="98" t="s">
        <v>1330</v>
      </c>
      <c r="B181" s="98" t="s">
        <v>1331</v>
      </c>
      <c r="C181" s="98" t="s">
        <v>1280</v>
      </c>
      <c r="D181" s="98" t="s">
        <v>2034</v>
      </c>
      <c r="E181" s="101">
        <v>24600</v>
      </c>
      <c r="F181" s="101">
        <v>219512</v>
      </c>
      <c r="G181" s="98">
        <v>0</v>
      </c>
      <c r="H181" s="101">
        <v>45766</v>
      </c>
      <c r="I181" s="98" t="s">
        <v>2035</v>
      </c>
      <c r="J181" s="98">
        <v>24600</v>
      </c>
      <c r="K181" s="101" t="s">
        <v>2054</v>
      </c>
      <c r="L181" s="98">
        <v>0</v>
      </c>
      <c r="M181" s="98">
        <v>24600</v>
      </c>
      <c r="N181" s="98">
        <v>0</v>
      </c>
      <c r="O181" s="98" t="s">
        <v>2099</v>
      </c>
      <c r="P181" s="98" t="s">
        <v>2095</v>
      </c>
      <c r="Q181" s="98" t="s">
        <v>2076</v>
      </c>
      <c r="R181" s="98" t="s">
        <v>2096</v>
      </c>
      <c r="S181" t="s">
        <v>2040</v>
      </c>
      <c r="T181" t="s">
        <v>2097</v>
      </c>
    </row>
    <row r="182" spans="1:20" x14ac:dyDescent="0.25">
      <c r="A182" s="98" t="s">
        <v>1332</v>
      </c>
      <c r="B182" s="98" t="s">
        <v>1333</v>
      </c>
      <c r="C182" s="98" t="s">
        <v>1280</v>
      </c>
      <c r="D182" s="98" t="s">
        <v>2034</v>
      </c>
      <c r="E182" s="101">
        <v>18892</v>
      </c>
      <c r="F182" s="101">
        <v>219512</v>
      </c>
      <c r="G182" s="98">
        <v>0</v>
      </c>
      <c r="H182" s="101">
        <v>45897</v>
      </c>
      <c r="I182" s="98" t="s">
        <v>2035</v>
      </c>
      <c r="J182" s="98">
        <v>18892</v>
      </c>
      <c r="K182" s="101" t="s">
        <v>2054</v>
      </c>
      <c r="L182" s="98">
        <v>0</v>
      </c>
      <c r="M182" s="98">
        <v>18892</v>
      </c>
      <c r="N182" s="98">
        <v>0</v>
      </c>
      <c r="O182" s="98" t="s">
        <v>2099</v>
      </c>
      <c r="P182" s="98" t="s">
        <v>2095</v>
      </c>
      <c r="Q182" s="98" t="s">
        <v>2076</v>
      </c>
      <c r="R182" s="98" t="s">
        <v>2096</v>
      </c>
      <c r="S182" t="s">
        <v>2040</v>
      </c>
      <c r="T182" t="s">
        <v>2097</v>
      </c>
    </row>
    <row r="183" spans="1:20" x14ac:dyDescent="0.25">
      <c r="A183" s="98" t="s">
        <v>442</v>
      </c>
      <c r="B183" s="98" t="s">
        <v>1334</v>
      </c>
      <c r="C183" s="98" t="s">
        <v>1280</v>
      </c>
      <c r="D183" s="98" t="s">
        <v>2034</v>
      </c>
      <c r="E183" s="101">
        <v>20496</v>
      </c>
      <c r="F183" s="101">
        <v>219512</v>
      </c>
      <c r="G183" s="98">
        <v>0</v>
      </c>
      <c r="H183" s="101">
        <v>45769</v>
      </c>
      <c r="I183" s="98" t="s">
        <v>2035</v>
      </c>
      <c r="J183" s="98">
        <v>20496</v>
      </c>
      <c r="K183" s="101" t="s">
        <v>2035</v>
      </c>
      <c r="L183" s="98">
        <v>21472</v>
      </c>
      <c r="M183" s="98">
        <v>-976</v>
      </c>
      <c r="N183" s="98">
        <v>-4.55</v>
      </c>
      <c r="O183" s="98" t="s">
        <v>2100</v>
      </c>
      <c r="P183" s="98" t="s">
        <v>2095</v>
      </c>
      <c r="Q183" s="98" t="s">
        <v>2076</v>
      </c>
      <c r="R183" s="98" t="s">
        <v>2096</v>
      </c>
      <c r="S183" t="s">
        <v>2040</v>
      </c>
      <c r="T183" t="s">
        <v>2097</v>
      </c>
    </row>
    <row r="184" spans="1:20" x14ac:dyDescent="0.25">
      <c r="A184" s="98" t="s">
        <v>443</v>
      </c>
      <c r="B184" s="98" t="s">
        <v>1335</v>
      </c>
      <c r="C184" s="98" t="s">
        <v>1280</v>
      </c>
      <c r="D184" s="98" t="s">
        <v>2034</v>
      </c>
      <c r="E184" s="101">
        <v>25962</v>
      </c>
      <c r="F184" s="101">
        <v>219512</v>
      </c>
      <c r="G184" s="98">
        <v>0</v>
      </c>
      <c r="H184" s="101">
        <v>45769</v>
      </c>
      <c r="I184" s="98" t="s">
        <v>2035</v>
      </c>
      <c r="J184" s="98">
        <v>25962</v>
      </c>
      <c r="K184" s="101" t="s">
        <v>2035</v>
      </c>
      <c r="L184" s="98">
        <v>27199</v>
      </c>
      <c r="M184" s="98">
        <v>-1237</v>
      </c>
      <c r="N184" s="98">
        <v>-4.55</v>
      </c>
      <c r="O184" s="98" t="s">
        <v>2100</v>
      </c>
      <c r="P184" s="98" t="s">
        <v>2095</v>
      </c>
      <c r="Q184" s="98" t="s">
        <v>2076</v>
      </c>
      <c r="R184" s="98" t="s">
        <v>2096</v>
      </c>
      <c r="S184" t="s">
        <v>2040</v>
      </c>
      <c r="T184" t="s">
        <v>2097</v>
      </c>
    </row>
    <row r="185" spans="1:20" x14ac:dyDescent="0.25">
      <c r="A185" s="98" t="s">
        <v>444</v>
      </c>
      <c r="B185" s="98" t="s">
        <v>1336</v>
      </c>
      <c r="C185" s="98" t="s">
        <v>1280</v>
      </c>
      <c r="D185" s="98" t="s">
        <v>2034</v>
      </c>
      <c r="E185" s="101">
        <v>30829</v>
      </c>
      <c r="F185" s="101">
        <v>219512</v>
      </c>
      <c r="G185" s="98">
        <v>0</v>
      </c>
      <c r="H185" s="101">
        <v>45769</v>
      </c>
      <c r="I185" s="98" t="s">
        <v>2035</v>
      </c>
      <c r="J185" s="98">
        <v>30829</v>
      </c>
      <c r="K185" s="101" t="s">
        <v>2035</v>
      </c>
      <c r="L185" s="98">
        <v>32297</v>
      </c>
      <c r="M185" s="98">
        <v>-1468</v>
      </c>
      <c r="N185" s="98">
        <v>-4.55</v>
      </c>
      <c r="O185" s="98" t="s">
        <v>2100</v>
      </c>
      <c r="P185" s="98" t="s">
        <v>2095</v>
      </c>
      <c r="Q185" s="98" t="s">
        <v>2076</v>
      </c>
      <c r="R185" s="98" t="s">
        <v>2096</v>
      </c>
      <c r="S185" t="s">
        <v>2040</v>
      </c>
      <c r="T185" t="s">
        <v>2097</v>
      </c>
    </row>
    <row r="186" spans="1:20" x14ac:dyDescent="0.25">
      <c r="A186" s="98" t="s">
        <v>1337</v>
      </c>
      <c r="B186" s="98" t="s">
        <v>1338</v>
      </c>
      <c r="C186" s="98" t="s">
        <v>1280</v>
      </c>
      <c r="D186" s="98" t="s">
        <v>2034</v>
      </c>
      <c r="E186" s="101">
        <v>96027</v>
      </c>
      <c r="F186" s="101">
        <v>219512</v>
      </c>
      <c r="G186" s="98">
        <v>0</v>
      </c>
      <c r="H186" s="101">
        <v>45919</v>
      </c>
      <c r="I186" s="98" t="s">
        <v>2035</v>
      </c>
      <c r="J186" s="98">
        <v>96027</v>
      </c>
      <c r="K186" s="101" t="s">
        <v>2035</v>
      </c>
      <c r="L186" s="98">
        <v>89745</v>
      </c>
      <c r="M186" s="98">
        <v>6282</v>
      </c>
      <c r="N186" s="98">
        <v>7</v>
      </c>
      <c r="O186" s="98" t="s">
        <v>2100</v>
      </c>
      <c r="P186" s="98" t="s">
        <v>2095</v>
      </c>
      <c r="Q186" s="98" t="s">
        <v>2076</v>
      </c>
      <c r="R186" s="98" t="s">
        <v>2096</v>
      </c>
      <c r="S186" t="s">
        <v>2040</v>
      </c>
      <c r="T186" t="s">
        <v>2097</v>
      </c>
    </row>
    <row r="187" spans="1:20" x14ac:dyDescent="0.25">
      <c r="A187" s="98" t="s">
        <v>1339</v>
      </c>
      <c r="B187" s="98" t="s">
        <v>1340</v>
      </c>
      <c r="C187" s="98" t="s">
        <v>1280</v>
      </c>
      <c r="D187" s="98" t="s">
        <v>2034</v>
      </c>
      <c r="E187" s="101">
        <v>121052</v>
      </c>
      <c r="F187" s="101">
        <v>219512</v>
      </c>
      <c r="G187" s="98">
        <v>0</v>
      </c>
      <c r="H187" s="101">
        <v>45919</v>
      </c>
      <c r="I187" s="98" t="s">
        <v>2035</v>
      </c>
      <c r="J187" s="98">
        <v>121052</v>
      </c>
      <c r="K187" s="101" t="s">
        <v>2035</v>
      </c>
      <c r="L187" s="98">
        <v>113133</v>
      </c>
      <c r="M187" s="98">
        <v>7919</v>
      </c>
      <c r="N187" s="98">
        <v>7</v>
      </c>
      <c r="O187" s="98" t="s">
        <v>2100</v>
      </c>
      <c r="P187" s="98" t="s">
        <v>2095</v>
      </c>
      <c r="Q187" s="98" t="s">
        <v>2076</v>
      </c>
      <c r="R187" s="98" t="s">
        <v>2096</v>
      </c>
      <c r="S187" t="s">
        <v>2040</v>
      </c>
      <c r="T187" t="s">
        <v>2097</v>
      </c>
    </row>
    <row r="188" spans="1:20" x14ac:dyDescent="0.25">
      <c r="A188" s="98" t="s">
        <v>1341</v>
      </c>
      <c r="B188" s="98" t="s">
        <v>1342</v>
      </c>
      <c r="C188" s="98" t="s">
        <v>1280</v>
      </c>
      <c r="D188" s="98" t="s">
        <v>2034</v>
      </c>
      <c r="E188" s="101">
        <v>143068</v>
      </c>
      <c r="F188" s="101">
        <v>219512</v>
      </c>
      <c r="G188" s="98">
        <v>0</v>
      </c>
      <c r="H188" s="101">
        <v>45919</v>
      </c>
      <c r="I188" s="98" t="s">
        <v>2035</v>
      </c>
      <c r="J188" s="98">
        <v>143068</v>
      </c>
      <c r="K188" s="101" t="s">
        <v>2035</v>
      </c>
      <c r="L188" s="98">
        <v>133708</v>
      </c>
      <c r="M188" s="98">
        <v>9360</v>
      </c>
      <c r="N188" s="98">
        <v>7</v>
      </c>
      <c r="O188" s="98" t="s">
        <v>2100</v>
      </c>
      <c r="P188" s="98" t="s">
        <v>2095</v>
      </c>
      <c r="Q188" s="98" t="s">
        <v>2076</v>
      </c>
      <c r="R188" s="98" t="s">
        <v>2096</v>
      </c>
      <c r="S188" t="s">
        <v>2040</v>
      </c>
      <c r="T188" t="s">
        <v>2097</v>
      </c>
    </row>
    <row r="189" spans="1:20" x14ac:dyDescent="0.25">
      <c r="A189" s="98" t="s">
        <v>1343</v>
      </c>
      <c r="B189" s="98" t="s">
        <v>1344</v>
      </c>
      <c r="C189" s="98" t="s">
        <v>1280</v>
      </c>
      <c r="D189" s="98" t="s">
        <v>2034</v>
      </c>
      <c r="E189" s="101">
        <v>237213</v>
      </c>
      <c r="F189" s="101">
        <v>219512</v>
      </c>
      <c r="G189" s="98">
        <v>0</v>
      </c>
      <c r="H189" s="101">
        <v>45919</v>
      </c>
      <c r="I189" s="98" t="s">
        <v>2035</v>
      </c>
      <c r="J189" s="98">
        <v>237213</v>
      </c>
      <c r="K189" s="101" t="s">
        <v>2035</v>
      </c>
      <c r="L189" s="98">
        <v>221694</v>
      </c>
      <c r="M189" s="98">
        <v>15519</v>
      </c>
      <c r="N189" s="98">
        <v>7</v>
      </c>
      <c r="O189" s="98" t="s">
        <v>2101</v>
      </c>
      <c r="P189" s="98" t="s">
        <v>2095</v>
      </c>
      <c r="Q189" s="98" t="s">
        <v>2076</v>
      </c>
      <c r="R189" s="98" t="s">
        <v>2096</v>
      </c>
      <c r="S189" t="s">
        <v>2040</v>
      </c>
      <c r="T189" t="s">
        <v>2102</v>
      </c>
    </row>
    <row r="190" spans="1:20" x14ac:dyDescent="0.25">
      <c r="A190" s="98" t="s">
        <v>1345</v>
      </c>
      <c r="B190" s="98" t="s">
        <v>1346</v>
      </c>
      <c r="C190" s="98" t="s">
        <v>1280</v>
      </c>
      <c r="D190" s="98" t="s">
        <v>2034</v>
      </c>
      <c r="E190" s="101">
        <v>233081</v>
      </c>
      <c r="F190" s="101">
        <v>219512</v>
      </c>
      <c r="G190" s="98">
        <v>0</v>
      </c>
      <c r="H190" s="101">
        <v>45880</v>
      </c>
      <c r="I190" s="98" t="s">
        <v>2035</v>
      </c>
      <c r="J190" s="98">
        <v>233081</v>
      </c>
      <c r="K190" s="101" t="s">
        <v>2035</v>
      </c>
      <c r="L190" s="98">
        <v>217833</v>
      </c>
      <c r="M190" s="98">
        <v>15248</v>
      </c>
      <c r="N190" s="98">
        <v>7</v>
      </c>
      <c r="O190" s="98" t="s">
        <v>2101</v>
      </c>
      <c r="P190" s="98" t="s">
        <v>2095</v>
      </c>
      <c r="Q190" s="98" t="s">
        <v>2076</v>
      </c>
      <c r="R190" s="98" t="s">
        <v>2096</v>
      </c>
      <c r="S190" t="s">
        <v>2040</v>
      </c>
      <c r="T190" t="s">
        <v>2102</v>
      </c>
    </row>
    <row r="191" spans="1:20" x14ac:dyDescent="0.25">
      <c r="A191" s="98" t="s">
        <v>1347</v>
      </c>
      <c r="B191" s="98" t="s">
        <v>1348</v>
      </c>
      <c r="C191" s="98" t="s">
        <v>1280</v>
      </c>
      <c r="D191" s="98" t="s">
        <v>2034</v>
      </c>
      <c r="E191" s="101">
        <v>293527</v>
      </c>
      <c r="F191" s="101">
        <v>219512</v>
      </c>
      <c r="G191" s="98">
        <v>0</v>
      </c>
      <c r="H191" s="101">
        <v>45880</v>
      </c>
      <c r="I191" s="98" t="s">
        <v>2035</v>
      </c>
      <c r="J191" s="98">
        <v>293527</v>
      </c>
      <c r="K191" s="101" t="s">
        <v>2035</v>
      </c>
      <c r="L191" s="98">
        <v>274324</v>
      </c>
      <c r="M191" s="98">
        <v>19203</v>
      </c>
      <c r="N191" s="98">
        <v>7</v>
      </c>
      <c r="O191" s="98" t="s">
        <v>2101</v>
      </c>
      <c r="P191" s="98" t="s">
        <v>2095</v>
      </c>
      <c r="Q191" s="98" t="s">
        <v>2076</v>
      </c>
      <c r="R191" s="98" t="s">
        <v>2096</v>
      </c>
      <c r="S191" t="s">
        <v>2040</v>
      </c>
      <c r="T191" t="s">
        <v>2102</v>
      </c>
    </row>
    <row r="192" spans="1:20" x14ac:dyDescent="0.25">
      <c r="A192" s="98" t="s">
        <v>1349</v>
      </c>
      <c r="B192" s="98" t="s">
        <v>1350</v>
      </c>
      <c r="C192" s="98" t="s">
        <v>1280</v>
      </c>
      <c r="D192" s="98" t="s">
        <v>2034</v>
      </c>
      <c r="E192" s="101">
        <v>300595</v>
      </c>
      <c r="F192" s="101">
        <v>219512</v>
      </c>
      <c r="G192" s="98">
        <v>0</v>
      </c>
      <c r="H192" s="101">
        <v>45919</v>
      </c>
      <c r="I192" s="98" t="s">
        <v>2035</v>
      </c>
      <c r="J192" s="98">
        <v>300595</v>
      </c>
      <c r="K192" s="101" t="s">
        <v>2035</v>
      </c>
      <c r="L192" s="98">
        <v>280930</v>
      </c>
      <c r="M192" s="98">
        <v>19665</v>
      </c>
      <c r="N192" s="98">
        <v>7</v>
      </c>
      <c r="O192" s="98" t="s">
        <v>2101</v>
      </c>
      <c r="P192" s="98" t="s">
        <v>2095</v>
      </c>
      <c r="Q192" s="98" t="s">
        <v>2076</v>
      </c>
      <c r="R192" s="98" t="s">
        <v>2096</v>
      </c>
      <c r="S192" t="s">
        <v>2040</v>
      </c>
      <c r="T192" t="s">
        <v>2102</v>
      </c>
    </row>
    <row r="193" spans="1:20" x14ac:dyDescent="0.25">
      <c r="A193" s="98" t="s">
        <v>1351</v>
      </c>
      <c r="B193" s="98" t="s">
        <v>1352</v>
      </c>
      <c r="C193" s="98" t="s">
        <v>1280</v>
      </c>
      <c r="D193" s="98" t="s">
        <v>2034</v>
      </c>
      <c r="E193" s="101">
        <v>355738</v>
      </c>
      <c r="F193" s="101">
        <v>219512</v>
      </c>
      <c r="G193" s="98">
        <v>0</v>
      </c>
      <c r="H193" s="101">
        <v>45919</v>
      </c>
      <c r="I193" s="98" t="s">
        <v>2035</v>
      </c>
      <c r="J193" s="98">
        <v>355738</v>
      </c>
      <c r="K193" s="101" t="s">
        <v>2035</v>
      </c>
      <c r="L193" s="98">
        <v>332465</v>
      </c>
      <c r="M193" s="98">
        <v>23273</v>
      </c>
      <c r="N193" s="98">
        <v>7</v>
      </c>
      <c r="O193" s="98" t="s">
        <v>2101</v>
      </c>
      <c r="P193" s="98" t="s">
        <v>2095</v>
      </c>
      <c r="Q193" s="98" t="s">
        <v>2076</v>
      </c>
      <c r="R193" s="98" t="s">
        <v>2096</v>
      </c>
      <c r="S193" t="s">
        <v>2040</v>
      </c>
      <c r="T193" t="s">
        <v>2102</v>
      </c>
    </row>
    <row r="194" spans="1:20" x14ac:dyDescent="0.25">
      <c r="A194" s="98" t="s">
        <v>1353</v>
      </c>
      <c r="B194" s="98" t="s">
        <v>1354</v>
      </c>
      <c r="C194" s="98" t="s">
        <v>1280</v>
      </c>
      <c r="D194" s="98" t="s">
        <v>2034</v>
      </c>
      <c r="E194" s="101">
        <v>349645</v>
      </c>
      <c r="F194" s="101">
        <v>219512</v>
      </c>
      <c r="G194" s="98">
        <v>0</v>
      </c>
      <c r="H194" s="101">
        <v>45880</v>
      </c>
      <c r="I194" s="98" t="s">
        <v>2035</v>
      </c>
      <c r="J194" s="98">
        <v>349645</v>
      </c>
      <c r="K194" s="101" t="s">
        <v>2035</v>
      </c>
      <c r="L194" s="98">
        <v>326771</v>
      </c>
      <c r="M194" s="98">
        <v>22874</v>
      </c>
      <c r="N194" s="98">
        <v>7</v>
      </c>
      <c r="O194" s="98" t="s">
        <v>2101</v>
      </c>
      <c r="P194" s="98" t="s">
        <v>2095</v>
      </c>
      <c r="Q194" s="98" t="s">
        <v>2076</v>
      </c>
      <c r="R194" s="98" t="s">
        <v>2096</v>
      </c>
      <c r="S194" t="s">
        <v>2040</v>
      </c>
      <c r="T194" t="s">
        <v>2102</v>
      </c>
    </row>
    <row r="195" spans="1:20" x14ac:dyDescent="0.25">
      <c r="A195" s="98" t="s">
        <v>445</v>
      </c>
      <c r="B195" s="98" t="s">
        <v>447</v>
      </c>
      <c r="C195" s="98" t="s">
        <v>1280</v>
      </c>
      <c r="D195" s="98" t="s">
        <v>2034</v>
      </c>
      <c r="E195" s="101">
        <v>9230</v>
      </c>
      <c r="F195" s="101">
        <v>219512</v>
      </c>
      <c r="G195" s="98">
        <v>0</v>
      </c>
      <c r="H195" s="101">
        <v>45919</v>
      </c>
      <c r="I195" s="98" t="s">
        <v>2035</v>
      </c>
      <c r="J195" s="98">
        <v>9230</v>
      </c>
      <c r="K195" s="101" t="s">
        <v>2035</v>
      </c>
      <c r="L195" s="98">
        <v>8626</v>
      </c>
      <c r="M195" s="98">
        <v>604</v>
      </c>
      <c r="N195" s="98">
        <v>7</v>
      </c>
      <c r="O195" s="98" t="s">
        <v>2103</v>
      </c>
      <c r="P195" s="98" t="s">
        <v>2095</v>
      </c>
      <c r="Q195" s="98" t="s">
        <v>2076</v>
      </c>
      <c r="R195" s="98" t="s">
        <v>2096</v>
      </c>
      <c r="S195" t="s">
        <v>2040</v>
      </c>
      <c r="T195" t="s">
        <v>2097</v>
      </c>
    </row>
    <row r="196" spans="1:20" x14ac:dyDescent="0.25">
      <c r="A196" s="98" t="s">
        <v>946</v>
      </c>
      <c r="B196" s="98" t="s">
        <v>957</v>
      </c>
      <c r="C196" s="98" t="s">
        <v>1280</v>
      </c>
      <c r="D196" s="98" t="s">
        <v>2034</v>
      </c>
      <c r="E196" s="101">
        <v>11388</v>
      </c>
      <c r="F196" s="101">
        <v>219512</v>
      </c>
      <c r="G196" s="98">
        <v>0</v>
      </c>
      <c r="H196" s="101">
        <v>45897</v>
      </c>
      <c r="I196" s="98" t="s">
        <v>2035</v>
      </c>
      <c r="J196" s="98">
        <v>11388</v>
      </c>
      <c r="K196" s="101" t="s">
        <v>2054</v>
      </c>
      <c r="L196" s="98">
        <v>0</v>
      </c>
      <c r="M196" s="98">
        <v>11388</v>
      </c>
      <c r="N196" s="98">
        <v>0</v>
      </c>
      <c r="O196" s="98" t="s">
        <v>2103</v>
      </c>
      <c r="P196" s="98" t="s">
        <v>2095</v>
      </c>
      <c r="Q196" s="98" t="s">
        <v>2076</v>
      </c>
      <c r="R196" s="98" t="s">
        <v>2096</v>
      </c>
      <c r="S196" t="s">
        <v>2040</v>
      </c>
      <c r="T196" t="s">
        <v>2097</v>
      </c>
    </row>
    <row r="197" spans="1:20" x14ac:dyDescent="0.25">
      <c r="A197" s="98" t="s">
        <v>448</v>
      </c>
      <c r="B197" s="98" t="s">
        <v>450</v>
      </c>
      <c r="C197" s="98" t="s">
        <v>1280</v>
      </c>
      <c r="D197" s="98" t="s">
        <v>2034</v>
      </c>
      <c r="E197" s="101">
        <v>12355</v>
      </c>
      <c r="F197" s="101">
        <v>219512</v>
      </c>
      <c r="G197" s="98">
        <v>0</v>
      </c>
      <c r="H197" s="101">
        <v>45919</v>
      </c>
      <c r="I197" s="98" t="s">
        <v>2035</v>
      </c>
      <c r="J197" s="98">
        <v>12355</v>
      </c>
      <c r="K197" s="101" t="s">
        <v>2035</v>
      </c>
      <c r="L197" s="98">
        <v>11547</v>
      </c>
      <c r="M197" s="98">
        <v>808</v>
      </c>
      <c r="N197" s="98">
        <v>7</v>
      </c>
      <c r="O197" s="98" t="s">
        <v>2103</v>
      </c>
      <c r="P197" s="98" t="s">
        <v>2095</v>
      </c>
      <c r="Q197" s="98" t="s">
        <v>2076</v>
      </c>
      <c r="R197" s="98" t="s">
        <v>2096</v>
      </c>
      <c r="S197" t="s">
        <v>2040</v>
      </c>
      <c r="T197" t="s">
        <v>2097</v>
      </c>
    </row>
    <row r="198" spans="1:20" x14ac:dyDescent="0.25">
      <c r="A198" s="98" t="s">
        <v>948</v>
      </c>
      <c r="B198" s="98" t="s">
        <v>958</v>
      </c>
      <c r="C198" s="98" t="s">
        <v>1280</v>
      </c>
      <c r="D198" s="98" t="s">
        <v>2034</v>
      </c>
      <c r="E198" s="101">
        <v>15039</v>
      </c>
      <c r="F198" s="101">
        <v>219512</v>
      </c>
      <c r="G198" s="98">
        <v>0</v>
      </c>
      <c r="H198" s="101">
        <v>45897</v>
      </c>
      <c r="I198" s="98" t="s">
        <v>2035</v>
      </c>
      <c r="J198" s="98">
        <v>15039</v>
      </c>
      <c r="K198" s="101" t="s">
        <v>2054</v>
      </c>
      <c r="L198" s="98">
        <v>0</v>
      </c>
      <c r="M198" s="98">
        <v>15039</v>
      </c>
      <c r="N198" s="98">
        <v>0</v>
      </c>
      <c r="O198" s="98" t="s">
        <v>2103</v>
      </c>
      <c r="P198" s="98" t="s">
        <v>2095</v>
      </c>
      <c r="Q198" s="98" t="s">
        <v>2076</v>
      </c>
      <c r="R198" s="98" t="s">
        <v>2096</v>
      </c>
      <c r="S198" t="s">
        <v>2040</v>
      </c>
      <c r="T198" t="s">
        <v>2097</v>
      </c>
    </row>
    <row r="199" spans="1:20" x14ac:dyDescent="0.25">
      <c r="A199" s="98" t="s">
        <v>451</v>
      </c>
      <c r="B199" s="98" t="s">
        <v>453</v>
      </c>
      <c r="C199" s="98" t="s">
        <v>1280</v>
      </c>
      <c r="D199" s="98" t="s">
        <v>2034</v>
      </c>
      <c r="E199" s="101">
        <v>4946</v>
      </c>
      <c r="F199" s="101">
        <v>219512</v>
      </c>
      <c r="G199" s="98">
        <v>0</v>
      </c>
      <c r="H199" s="101">
        <v>45919</v>
      </c>
      <c r="I199" s="98" t="s">
        <v>2035</v>
      </c>
      <c r="J199" s="98">
        <v>4946</v>
      </c>
      <c r="K199" s="101" t="s">
        <v>2035</v>
      </c>
      <c r="L199" s="98">
        <v>4622</v>
      </c>
      <c r="M199" s="98">
        <v>324</v>
      </c>
      <c r="N199" s="98">
        <v>7.01</v>
      </c>
      <c r="O199" s="98" t="s">
        <v>2103</v>
      </c>
      <c r="P199" s="98" t="s">
        <v>2095</v>
      </c>
      <c r="Q199" s="98" t="s">
        <v>2076</v>
      </c>
      <c r="R199" s="98" t="s">
        <v>2096</v>
      </c>
      <c r="S199" t="s">
        <v>2040</v>
      </c>
      <c r="T199" t="s">
        <v>2097</v>
      </c>
    </row>
    <row r="200" spans="1:20" x14ac:dyDescent="0.25">
      <c r="A200" s="98" t="s">
        <v>454</v>
      </c>
      <c r="B200" s="98" t="s">
        <v>456</v>
      </c>
      <c r="C200" s="98" t="s">
        <v>1280</v>
      </c>
      <c r="D200" s="98" t="s">
        <v>2034</v>
      </c>
      <c r="E200" s="101">
        <v>6633</v>
      </c>
      <c r="F200" s="101">
        <v>219512</v>
      </c>
      <c r="G200" s="98">
        <v>0</v>
      </c>
      <c r="H200" s="101">
        <v>45919</v>
      </c>
      <c r="I200" s="98" t="s">
        <v>2035</v>
      </c>
      <c r="J200" s="98">
        <v>6633</v>
      </c>
      <c r="K200" s="101" t="s">
        <v>2035</v>
      </c>
      <c r="L200" s="98">
        <v>6199</v>
      </c>
      <c r="M200" s="98">
        <v>434</v>
      </c>
      <c r="N200" s="98">
        <v>7</v>
      </c>
      <c r="O200" s="98" t="s">
        <v>2103</v>
      </c>
      <c r="P200" s="98" t="s">
        <v>2095</v>
      </c>
      <c r="Q200" s="98" t="s">
        <v>2076</v>
      </c>
      <c r="R200" s="98" t="s">
        <v>2096</v>
      </c>
      <c r="S200" t="s">
        <v>2040</v>
      </c>
      <c r="T200" t="s">
        <v>2097</v>
      </c>
    </row>
    <row r="201" spans="1:20" x14ac:dyDescent="0.25">
      <c r="A201" s="98" t="s">
        <v>950</v>
      </c>
      <c r="B201" s="98" t="s">
        <v>959</v>
      </c>
      <c r="C201" s="98" t="s">
        <v>1280</v>
      </c>
      <c r="D201" s="98" t="s">
        <v>2034</v>
      </c>
      <c r="E201" s="101">
        <v>1701</v>
      </c>
      <c r="F201" s="101">
        <v>219512</v>
      </c>
      <c r="G201" s="98">
        <v>0</v>
      </c>
      <c r="H201" s="101">
        <v>45897</v>
      </c>
      <c r="I201" s="98" t="s">
        <v>2035</v>
      </c>
      <c r="J201" s="98">
        <v>1701</v>
      </c>
      <c r="K201" s="101" t="s">
        <v>2054</v>
      </c>
      <c r="L201" s="98">
        <v>0</v>
      </c>
      <c r="M201" s="98">
        <v>1701</v>
      </c>
      <c r="N201" s="98">
        <v>0</v>
      </c>
      <c r="O201" s="98" t="s">
        <v>2098</v>
      </c>
      <c r="P201" s="98" t="s">
        <v>2095</v>
      </c>
      <c r="Q201" s="98" t="s">
        <v>2076</v>
      </c>
      <c r="R201" s="98" t="s">
        <v>2096</v>
      </c>
      <c r="S201" t="s">
        <v>2040</v>
      </c>
      <c r="T201" t="s">
        <v>2097</v>
      </c>
    </row>
    <row r="202" spans="1:20" x14ac:dyDescent="0.25">
      <c r="A202" s="98" t="s">
        <v>952</v>
      </c>
      <c r="B202" s="98" t="s">
        <v>960</v>
      </c>
      <c r="C202" s="98" t="s">
        <v>1280</v>
      </c>
      <c r="D202" s="98" t="s">
        <v>2034</v>
      </c>
      <c r="E202" s="101">
        <v>2533</v>
      </c>
      <c r="F202" s="101">
        <v>219512</v>
      </c>
      <c r="G202" s="98">
        <v>0</v>
      </c>
      <c r="H202" s="101">
        <v>45897</v>
      </c>
      <c r="I202" s="98" t="s">
        <v>2035</v>
      </c>
      <c r="J202" s="98">
        <v>2533</v>
      </c>
      <c r="K202" s="101" t="s">
        <v>2054</v>
      </c>
      <c r="L202" s="98">
        <v>0</v>
      </c>
      <c r="M202" s="98">
        <v>2533</v>
      </c>
      <c r="N202" s="98">
        <v>0</v>
      </c>
      <c r="O202" s="98" t="s">
        <v>2098</v>
      </c>
      <c r="P202" s="98" t="s">
        <v>2095</v>
      </c>
      <c r="Q202" s="98" t="s">
        <v>2076</v>
      </c>
      <c r="R202" s="98" t="s">
        <v>2096</v>
      </c>
      <c r="S202" t="s">
        <v>2040</v>
      </c>
      <c r="T202" t="s">
        <v>2097</v>
      </c>
    </row>
    <row r="203" spans="1:20" x14ac:dyDescent="0.25">
      <c r="A203" s="98" t="s">
        <v>1355</v>
      </c>
      <c r="B203" s="98" t="s">
        <v>1356</v>
      </c>
      <c r="C203" s="98" t="s">
        <v>1280</v>
      </c>
      <c r="D203" s="98" t="s">
        <v>2034</v>
      </c>
      <c r="E203" s="101">
        <v>4879</v>
      </c>
      <c r="F203" s="101">
        <v>219512</v>
      </c>
      <c r="G203" s="98">
        <v>0</v>
      </c>
      <c r="H203" s="101">
        <v>45762</v>
      </c>
      <c r="I203" s="98" t="s">
        <v>2035</v>
      </c>
      <c r="J203" s="98">
        <v>4879</v>
      </c>
      <c r="K203" s="101" t="s">
        <v>2035</v>
      </c>
      <c r="L203" s="98">
        <v>4435</v>
      </c>
      <c r="M203" s="98">
        <v>444</v>
      </c>
      <c r="N203" s="98">
        <v>10.01</v>
      </c>
      <c r="O203" s="98" t="s">
        <v>2087</v>
      </c>
      <c r="P203" s="98" t="s">
        <v>2104</v>
      </c>
      <c r="Q203" s="98" t="s">
        <v>2050</v>
      </c>
      <c r="R203" s="98" t="s">
        <v>2105</v>
      </c>
      <c r="S203" t="s">
        <v>2040</v>
      </c>
      <c r="T203" t="s">
        <v>2097</v>
      </c>
    </row>
    <row r="204" spans="1:20" x14ac:dyDescent="0.25">
      <c r="A204" s="98" t="s">
        <v>1357</v>
      </c>
      <c r="B204" s="98" t="s">
        <v>1358</v>
      </c>
      <c r="C204" s="98" t="s">
        <v>1280</v>
      </c>
      <c r="D204" s="98" t="s">
        <v>2034</v>
      </c>
      <c r="E204" s="101">
        <v>5914</v>
      </c>
      <c r="F204" s="101">
        <v>219512</v>
      </c>
      <c r="G204" s="98">
        <v>0</v>
      </c>
      <c r="H204" s="101">
        <v>45762</v>
      </c>
      <c r="I204" s="98" t="s">
        <v>2035</v>
      </c>
      <c r="J204" s="98">
        <v>5914</v>
      </c>
      <c r="K204" s="101" t="s">
        <v>2035</v>
      </c>
      <c r="L204" s="98">
        <v>5376</v>
      </c>
      <c r="M204" s="98">
        <v>538</v>
      </c>
      <c r="N204" s="98">
        <v>10.01</v>
      </c>
      <c r="O204" s="98" t="s">
        <v>2087</v>
      </c>
      <c r="P204" s="98" t="s">
        <v>2104</v>
      </c>
      <c r="Q204" s="98" t="s">
        <v>2050</v>
      </c>
      <c r="R204" s="98" t="s">
        <v>2105</v>
      </c>
      <c r="S204" t="s">
        <v>2040</v>
      </c>
      <c r="T204" t="s">
        <v>2097</v>
      </c>
    </row>
    <row r="205" spans="1:20" x14ac:dyDescent="0.25">
      <c r="A205" s="98" t="s">
        <v>1359</v>
      </c>
      <c r="B205" s="98" t="s">
        <v>1360</v>
      </c>
      <c r="C205" s="98" t="s">
        <v>1280</v>
      </c>
      <c r="D205" s="98" t="s">
        <v>2034</v>
      </c>
      <c r="E205" s="101">
        <v>16530</v>
      </c>
      <c r="F205" s="101">
        <v>219512</v>
      </c>
      <c r="G205" s="98">
        <v>0</v>
      </c>
      <c r="H205" s="101">
        <v>45817</v>
      </c>
      <c r="I205" s="98" t="s">
        <v>2035</v>
      </c>
      <c r="J205" s="98">
        <v>16530</v>
      </c>
      <c r="K205" s="101" t="s">
        <v>2035</v>
      </c>
      <c r="L205" s="98">
        <v>19447</v>
      </c>
      <c r="M205" s="98">
        <v>-2917</v>
      </c>
      <c r="N205" s="98">
        <v>-15</v>
      </c>
      <c r="O205" s="98" t="s">
        <v>2087</v>
      </c>
      <c r="P205" s="98" t="s">
        <v>2104</v>
      </c>
      <c r="Q205" s="98" t="s">
        <v>2050</v>
      </c>
      <c r="R205" s="98" t="s">
        <v>2105</v>
      </c>
      <c r="S205" t="s">
        <v>2040</v>
      </c>
      <c r="T205" t="s">
        <v>2097</v>
      </c>
    </row>
    <row r="206" spans="1:20" x14ac:dyDescent="0.25">
      <c r="A206" s="98" t="s">
        <v>1361</v>
      </c>
      <c r="B206" s="98" t="s">
        <v>1362</v>
      </c>
      <c r="C206" s="98" t="s">
        <v>1136</v>
      </c>
      <c r="D206" s="98" t="s">
        <v>2034</v>
      </c>
      <c r="E206" s="101">
        <v>38846</v>
      </c>
      <c r="F206" s="101">
        <v>219512</v>
      </c>
      <c r="G206" s="98">
        <v>0</v>
      </c>
      <c r="H206" s="101">
        <v>45817</v>
      </c>
      <c r="I206" s="98" t="s">
        <v>2035</v>
      </c>
      <c r="J206" s="98">
        <v>38846</v>
      </c>
      <c r="K206" s="101" t="s">
        <v>2035</v>
      </c>
      <c r="L206" s="98">
        <v>36904</v>
      </c>
      <c r="M206" s="98">
        <v>1942</v>
      </c>
      <c r="N206" s="98">
        <v>5.26</v>
      </c>
      <c r="O206" s="98" t="s">
        <v>2106</v>
      </c>
      <c r="P206" s="98" t="s">
        <v>2107</v>
      </c>
      <c r="Q206" s="98" t="s">
        <v>2076</v>
      </c>
      <c r="R206" s="98" t="s">
        <v>2108</v>
      </c>
      <c r="S206" t="s">
        <v>2068</v>
      </c>
      <c r="T206" t="s">
        <v>2109</v>
      </c>
    </row>
    <row r="207" spans="1:20" x14ac:dyDescent="0.25">
      <c r="A207" s="98" t="s">
        <v>1363</v>
      </c>
      <c r="B207" s="98" t="s">
        <v>1364</v>
      </c>
      <c r="C207" s="98" t="s">
        <v>1136</v>
      </c>
      <c r="D207" s="98" t="s">
        <v>2034</v>
      </c>
      <c r="E207" s="101">
        <v>62964</v>
      </c>
      <c r="F207" s="101">
        <v>219512</v>
      </c>
      <c r="G207" s="98">
        <v>0</v>
      </c>
      <c r="H207" s="101">
        <v>45817</v>
      </c>
      <c r="I207" s="98" t="s">
        <v>2035</v>
      </c>
      <c r="J207" s="98">
        <v>62964</v>
      </c>
      <c r="K207" s="101" t="s">
        <v>2035</v>
      </c>
      <c r="L207" s="98">
        <v>59816</v>
      </c>
      <c r="M207" s="98">
        <v>3148</v>
      </c>
      <c r="N207" s="98">
        <v>5.26</v>
      </c>
      <c r="O207" s="98" t="s">
        <v>2106</v>
      </c>
      <c r="P207" s="98" t="s">
        <v>2107</v>
      </c>
      <c r="Q207" s="98" t="s">
        <v>2076</v>
      </c>
      <c r="R207" s="98" t="s">
        <v>2108</v>
      </c>
      <c r="S207" t="s">
        <v>2068</v>
      </c>
      <c r="T207" t="s">
        <v>2109</v>
      </c>
    </row>
    <row r="208" spans="1:20" x14ac:dyDescent="0.25">
      <c r="A208" s="98" t="s">
        <v>1365</v>
      </c>
      <c r="B208" s="98" t="s">
        <v>1366</v>
      </c>
      <c r="C208" s="98" t="s">
        <v>1136</v>
      </c>
      <c r="D208" s="98" t="s">
        <v>2034</v>
      </c>
      <c r="E208" s="101">
        <v>50393</v>
      </c>
      <c r="F208" s="101">
        <v>219512</v>
      </c>
      <c r="G208" s="98">
        <v>0</v>
      </c>
      <c r="H208" s="101">
        <v>45919</v>
      </c>
      <c r="I208" s="98" t="s">
        <v>2035</v>
      </c>
      <c r="J208" s="98">
        <v>50393</v>
      </c>
      <c r="K208" s="101" t="s">
        <v>2035</v>
      </c>
      <c r="L208" s="98">
        <v>43820</v>
      </c>
      <c r="M208" s="98">
        <v>6573</v>
      </c>
      <c r="N208" s="98">
        <v>15</v>
      </c>
      <c r="O208" s="98" t="s">
        <v>2106</v>
      </c>
      <c r="P208" s="98" t="s">
        <v>2107</v>
      </c>
      <c r="Q208" s="98" t="s">
        <v>2076</v>
      </c>
      <c r="R208" s="98" t="s">
        <v>2108</v>
      </c>
      <c r="S208" t="s">
        <v>2068</v>
      </c>
      <c r="T208" t="s">
        <v>2109</v>
      </c>
    </row>
    <row r="209" spans="1:20" x14ac:dyDescent="0.25">
      <c r="A209" s="98" t="s">
        <v>1367</v>
      </c>
      <c r="B209" s="98" t="s">
        <v>1368</v>
      </c>
      <c r="C209" s="98" t="s">
        <v>1136</v>
      </c>
      <c r="D209" s="98" t="s">
        <v>2034</v>
      </c>
      <c r="E209" s="101">
        <v>69668</v>
      </c>
      <c r="F209" s="101">
        <v>219512</v>
      </c>
      <c r="G209" s="98">
        <v>0</v>
      </c>
      <c r="H209" s="101">
        <v>45880</v>
      </c>
      <c r="I209" s="98" t="s">
        <v>2035</v>
      </c>
      <c r="J209" s="98">
        <v>69668</v>
      </c>
      <c r="K209" s="101" t="s">
        <v>2035</v>
      </c>
      <c r="L209" s="98">
        <v>62204</v>
      </c>
      <c r="M209" s="98">
        <v>7464</v>
      </c>
      <c r="N209" s="98">
        <v>12</v>
      </c>
      <c r="O209" s="98" t="s">
        <v>2110</v>
      </c>
      <c r="P209" s="98" t="s">
        <v>2107</v>
      </c>
      <c r="Q209" s="98" t="s">
        <v>2076</v>
      </c>
      <c r="R209" s="98" t="s">
        <v>2111</v>
      </c>
      <c r="S209" t="s">
        <v>2068</v>
      </c>
      <c r="T209" t="s">
        <v>2109</v>
      </c>
    </row>
    <row r="210" spans="1:20" x14ac:dyDescent="0.25">
      <c r="A210" s="98" t="s">
        <v>21</v>
      </c>
      <c r="B210" s="98" t="s">
        <v>1369</v>
      </c>
      <c r="C210" s="98" t="s">
        <v>1136</v>
      </c>
      <c r="D210" s="98" t="s">
        <v>2034</v>
      </c>
      <c r="E210" s="101">
        <v>40310</v>
      </c>
      <c r="F210" s="101">
        <v>219512</v>
      </c>
      <c r="G210" s="98">
        <v>0</v>
      </c>
      <c r="H210" s="101">
        <v>45880</v>
      </c>
      <c r="I210" s="98" t="s">
        <v>2035</v>
      </c>
      <c r="J210" s="98">
        <v>40310</v>
      </c>
      <c r="K210" s="101" t="s">
        <v>2035</v>
      </c>
      <c r="L210" s="98">
        <v>38760</v>
      </c>
      <c r="M210" s="98">
        <v>1550</v>
      </c>
      <c r="N210" s="98">
        <v>4</v>
      </c>
      <c r="O210" s="98" t="s">
        <v>2110</v>
      </c>
      <c r="P210" s="98" t="s">
        <v>2107</v>
      </c>
      <c r="Q210" s="98" t="s">
        <v>2076</v>
      </c>
      <c r="R210" s="98" t="s">
        <v>2111</v>
      </c>
      <c r="S210" t="s">
        <v>2068</v>
      </c>
      <c r="T210" t="s">
        <v>2109</v>
      </c>
    </row>
    <row r="211" spans="1:20" x14ac:dyDescent="0.25">
      <c r="A211" s="98" t="s">
        <v>22</v>
      </c>
      <c r="B211" s="98" t="s">
        <v>1370</v>
      </c>
      <c r="C211" s="98" t="s">
        <v>1136</v>
      </c>
      <c r="D211" s="98" t="s">
        <v>2034</v>
      </c>
      <c r="E211" s="101">
        <v>31964</v>
      </c>
      <c r="F211" s="101">
        <v>219512</v>
      </c>
      <c r="G211" s="98">
        <v>0</v>
      </c>
      <c r="H211" s="101">
        <v>45880</v>
      </c>
      <c r="I211" s="98" t="s">
        <v>2035</v>
      </c>
      <c r="J211" s="98">
        <v>31964</v>
      </c>
      <c r="K211" s="101" t="s">
        <v>2035</v>
      </c>
      <c r="L211" s="98">
        <v>29058</v>
      </c>
      <c r="M211" s="98">
        <v>2906</v>
      </c>
      <c r="N211" s="98">
        <v>10</v>
      </c>
      <c r="O211" s="98" t="s">
        <v>2110</v>
      </c>
      <c r="P211" s="98" t="s">
        <v>2107</v>
      </c>
      <c r="Q211" s="98" t="s">
        <v>2076</v>
      </c>
      <c r="R211" s="98" t="s">
        <v>2111</v>
      </c>
      <c r="S211" t="s">
        <v>2068</v>
      </c>
      <c r="T211" t="s">
        <v>2109</v>
      </c>
    </row>
    <row r="212" spans="1:20" x14ac:dyDescent="0.25">
      <c r="A212" s="98" t="s">
        <v>23</v>
      </c>
      <c r="B212" s="98" t="s">
        <v>1371</v>
      </c>
      <c r="C212" s="98" t="s">
        <v>1136</v>
      </c>
      <c r="D212" s="98" t="s">
        <v>2034</v>
      </c>
      <c r="E212" s="101">
        <v>44975</v>
      </c>
      <c r="F212" s="101">
        <v>219512</v>
      </c>
      <c r="G212" s="98">
        <v>0</v>
      </c>
      <c r="H212" s="101">
        <v>45880</v>
      </c>
      <c r="I212" s="98" t="s">
        <v>2035</v>
      </c>
      <c r="J212" s="98">
        <v>44975</v>
      </c>
      <c r="K212" s="101" t="s">
        <v>2035</v>
      </c>
      <c r="L212" s="98">
        <v>40886</v>
      </c>
      <c r="M212" s="98">
        <v>4089</v>
      </c>
      <c r="N212" s="98">
        <v>10</v>
      </c>
      <c r="O212" s="98" t="s">
        <v>2110</v>
      </c>
      <c r="P212" s="98" t="s">
        <v>2107</v>
      </c>
      <c r="Q212" s="98" t="s">
        <v>2076</v>
      </c>
      <c r="R212" s="98" t="s">
        <v>2111</v>
      </c>
      <c r="S212" t="s">
        <v>2068</v>
      </c>
      <c r="T212" t="s">
        <v>2109</v>
      </c>
    </row>
    <row r="213" spans="1:20" x14ac:dyDescent="0.25">
      <c r="A213" s="98" t="s">
        <v>1372</v>
      </c>
      <c r="B213" s="98" t="s">
        <v>1373</v>
      </c>
      <c r="C213" s="98" t="s">
        <v>1136</v>
      </c>
      <c r="D213" s="98" t="s">
        <v>2034</v>
      </c>
      <c r="E213" s="101">
        <v>42758</v>
      </c>
      <c r="F213" s="101">
        <v>219512</v>
      </c>
      <c r="G213" s="98">
        <v>0</v>
      </c>
      <c r="H213" s="101">
        <v>45880</v>
      </c>
      <c r="I213" s="98" t="s">
        <v>2035</v>
      </c>
      <c r="J213" s="98">
        <v>42758</v>
      </c>
      <c r="K213" s="101" t="s">
        <v>2035</v>
      </c>
      <c r="L213" s="98">
        <v>38871</v>
      </c>
      <c r="M213" s="98">
        <v>3887</v>
      </c>
      <c r="N213" s="98">
        <v>10</v>
      </c>
      <c r="O213" s="98" t="s">
        <v>2110</v>
      </c>
      <c r="P213" s="98" t="s">
        <v>2107</v>
      </c>
      <c r="Q213" s="98" t="s">
        <v>2076</v>
      </c>
      <c r="R213" s="98" t="s">
        <v>2111</v>
      </c>
      <c r="S213" t="s">
        <v>2068</v>
      </c>
      <c r="T213" t="s">
        <v>2109</v>
      </c>
    </row>
    <row r="214" spans="1:20" x14ac:dyDescent="0.25">
      <c r="A214" s="98" t="s">
        <v>1374</v>
      </c>
      <c r="B214" s="98" t="s">
        <v>1375</v>
      </c>
      <c r="C214" s="98" t="s">
        <v>1136</v>
      </c>
      <c r="D214" s="98" t="s">
        <v>2034</v>
      </c>
      <c r="E214" s="101">
        <v>33231</v>
      </c>
      <c r="F214" s="101">
        <v>219512</v>
      </c>
      <c r="G214" s="98">
        <v>0</v>
      </c>
      <c r="H214" s="101">
        <v>45880</v>
      </c>
      <c r="I214" s="98" t="s">
        <v>2035</v>
      </c>
      <c r="J214" s="98">
        <v>33231</v>
      </c>
      <c r="K214" s="101" t="s">
        <v>2035</v>
      </c>
      <c r="L214" s="98">
        <v>30210</v>
      </c>
      <c r="M214" s="98">
        <v>3021</v>
      </c>
      <c r="N214" s="98">
        <v>10</v>
      </c>
      <c r="O214" s="98" t="s">
        <v>2110</v>
      </c>
      <c r="P214" s="98" t="s">
        <v>2107</v>
      </c>
      <c r="Q214" s="98" t="s">
        <v>2076</v>
      </c>
      <c r="R214" s="98" t="s">
        <v>2111</v>
      </c>
      <c r="S214" t="s">
        <v>2068</v>
      </c>
      <c r="T214" t="s">
        <v>2109</v>
      </c>
    </row>
    <row r="215" spans="1:20" x14ac:dyDescent="0.25">
      <c r="A215" s="98" t="s">
        <v>1376</v>
      </c>
      <c r="B215" s="98" t="s">
        <v>1377</v>
      </c>
      <c r="C215" s="98" t="s">
        <v>1136</v>
      </c>
      <c r="D215" s="98" t="s">
        <v>2034</v>
      </c>
      <c r="E215" s="101">
        <v>44936</v>
      </c>
      <c r="F215" s="101">
        <v>219512</v>
      </c>
      <c r="G215" s="98">
        <v>0</v>
      </c>
      <c r="H215" s="101">
        <v>45769</v>
      </c>
      <c r="I215" s="98" t="s">
        <v>2035</v>
      </c>
      <c r="J215" s="98">
        <v>44936</v>
      </c>
      <c r="K215" s="101" t="s">
        <v>2035</v>
      </c>
      <c r="L215" s="98">
        <v>47076</v>
      </c>
      <c r="M215" s="98">
        <v>-2140</v>
      </c>
      <c r="N215" s="98">
        <v>-4.55</v>
      </c>
      <c r="O215" s="98" t="s">
        <v>2110</v>
      </c>
      <c r="P215" s="98" t="s">
        <v>2107</v>
      </c>
      <c r="Q215" s="98" t="s">
        <v>2076</v>
      </c>
      <c r="R215" s="98" t="s">
        <v>2111</v>
      </c>
      <c r="S215" t="s">
        <v>2068</v>
      </c>
      <c r="T215" t="s">
        <v>2109</v>
      </c>
    </row>
    <row r="216" spans="1:20" x14ac:dyDescent="0.25">
      <c r="A216" s="98" t="s">
        <v>1378</v>
      </c>
      <c r="B216" s="98" t="s">
        <v>1379</v>
      </c>
      <c r="C216" s="98" t="s">
        <v>1136</v>
      </c>
      <c r="D216" s="98" t="s">
        <v>2034</v>
      </c>
      <c r="E216" s="101">
        <v>44640</v>
      </c>
      <c r="F216" s="101">
        <v>219512</v>
      </c>
      <c r="G216" s="98">
        <v>0</v>
      </c>
      <c r="H216" s="101">
        <v>45880</v>
      </c>
      <c r="I216" s="98" t="s">
        <v>2035</v>
      </c>
      <c r="J216" s="98">
        <v>44640</v>
      </c>
      <c r="K216" s="101" t="s">
        <v>2035</v>
      </c>
      <c r="L216" s="98">
        <v>41333</v>
      </c>
      <c r="M216" s="98">
        <v>3307</v>
      </c>
      <c r="N216" s="98">
        <v>8</v>
      </c>
      <c r="O216" s="98" t="s">
        <v>2110</v>
      </c>
      <c r="P216" s="98" t="s">
        <v>2107</v>
      </c>
      <c r="Q216" s="98" t="s">
        <v>2076</v>
      </c>
      <c r="R216" s="98" t="s">
        <v>2111</v>
      </c>
      <c r="S216" t="s">
        <v>2068</v>
      </c>
      <c r="T216" t="s">
        <v>2109</v>
      </c>
    </row>
    <row r="217" spans="1:20" x14ac:dyDescent="0.25">
      <c r="A217" s="98" t="s">
        <v>1380</v>
      </c>
      <c r="B217" s="98" t="s">
        <v>1381</v>
      </c>
      <c r="C217" s="98" t="s">
        <v>1136</v>
      </c>
      <c r="D217" s="98" t="s">
        <v>2034</v>
      </c>
      <c r="E217" s="101">
        <v>34412</v>
      </c>
      <c r="F217" s="101">
        <v>219512</v>
      </c>
      <c r="G217" s="98">
        <v>0</v>
      </c>
      <c r="H217" s="101">
        <v>45880</v>
      </c>
      <c r="I217" s="98" t="s">
        <v>2035</v>
      </c>
      <c r="J217" s="98">
        <v>34412</v>
      </c>
      <c r="K217" s="101" t="s">
        <v>2035</v>
      </c>
      <c r="L217" s="98">
        <v>31863</v>
      </c>
      <c r="M217" s="98">
        <v>2549</v>
      </c>
      <c r="N217" s="98">
        <v>8</v>
      </c>
      <c r="O217" s="98" t="s">
        <v>2110</v>
      </c>
      <c r="P217" s="98" t="s">
        <v>2107</v>
      </c>
      <c r="Q217" s="98" t="s">
        <v>2076</v>
      </c>
      <c r="R217" s="98" t="s">
        <v>2111</v>
      </c>
      <c r="S217" t="s">
        <v>2068</v>
      </c>
      <c r="T217" t="s">
        <v>2109</v>
      </c>
    </row>
    <row r="218" spans="1:20" x14ac:dyDescent="0.25">
      <c r="A218" s="98" t="s">
        <v>1382</v>
      </c>
      <c r="B218" s="98" t="s">
        <v>1383</v>
      </c>
      <c r="C218" s="98" t="s">
        <v>1136</v>
      </c>
      <c r="D218" s="98" t="s">
        <v>2034</v>
      </c>
      <c r="E218" s="101">
        <v>47663</v>
      </c>
      <c r="F218" s="101">
        <v>219512</v>
      </c>
      <c r="G218" s="98">
        <v>0</v>
      </c>
      <c r="H218" s="101">
        <v>45880</v>
      </c>
      <c r="I218" s="98" t="s">
        <v>2035</v>
      </c>
      <c r="J218" s="98">
        <v>47663</v>
      </c>
      <c r="K218" s="101" t="s">
        <v>2035</v>
      </c>
      <c r="L218" s="98">
        <v>43330</v>
      </c>
      <c r="M218" s="98">
        <v>4333</v>
      </c>
      <c r="N218" s="98">
        <v>10</v>
      </c>
      <c r="O218" s="98" t="s">
        <v>2110</v>
      </c>
      <c r="P218" s="98" t="s">
        <v>2107</v>
      </c>
      <c r="Q218" s="98" t="s">
        <v>2076</v>
      </c>
      <c r="R218" s="98" t="s">
        <v>2111</v>
      </c>
      <c r="S218" t="s">
        <v>2068</v>
      </c>
      <c r="T218" t="s">
        <v>2109</v>
      </c>
    </row>
    <row r="219" spans="1:20" x14ac:dyDescent="0.25">
      <c r="A219" s="98" t="s">
        <v>1384</v>
      </c>
      <c r="B219" s="98" t="s">
        <v>1385</v>
      </c>
      <c r="C219" s="98" t="s">
        <v>1136</v>
      </c>
      <c r="D219" s="98" t="s">
        <v>2034</v>
      </c>
      <c r="E219" s="101">
        <v>42160</v>
      </c>
      <c r="F219" s="101">
        <v>219512</v>
      </c>
      <c r="G219" s="98">
        <v>0</v>
      </c>
      <c r="H219" s="101">
        <v>45880</v>
      </c>
      <c r="I219" s="98" t="s">
        <v>2035</v>
      </c>
      <c r="J219" s="98">
        <v>42160</v>
      </c>
      <c r="K219" s="101" t="s">
        <v>2035</v>
      </c>
      <c r="L219" s="98">
        <v>41333</v>
      </c>
      <c r="M219" s="98">
        <v>827</v>
      </c>
      <c r="N219" s="98">
        <v>2</v>
      </c>
      <c r="O219" s="98" t="s">
        <v>2110</v>
      </c>
      <c r="P219" s="98" t="s">
        <v>2107</v>
      </c>
      <c r="Q219" s="98" t="s">
        <v>2076</v>
      </c>
      <c r="R219" s="98" t="s">
        <v>2111</v>
      </c>
      <c r="S219" t="s">
        <v>2068</v>
      </c>
      <c r="T219" t="s">
        <v>2109</v>
      </c>
    </row>
    <row r="220" spans="1:20" x14ac:dyDescent="0.25">
      <c r="A220" s="98" t="s">
        <v>1386</v>
      </c>
      <c r="B220" s="98" t="s">
        <v>1387</v>
      </c>
      <c r="C220" s="98" t="s">
        <v>1136</v>
      </c>
      <c r="D220" s="98" t="s">
        <v>2034</v>
      </c>
      <c r="E220" s="101">
        <v>32500</v>
      </c>
      <c r="F220" s="101">
        <v>219512</v>
      </c>
      <c r="G220" s="98">
        <v>0</v>
      </c>
      <c r="H220" s="101">
        <v>45880</v>
      </c>
      <c r="I220" s="98" t="s">
        <v>2035</v>
      </c>
      <c r="J220" s="98">
        <v>32500</v>
      </c>
      <c r="K220" s="101" t="s">
        <v>2035</v>
      </c>
      <c r="L220" s="98">
        <v>31863</v>
      </c>
      <c r="M220" s="98">
        <v>637</v>
      </c>
      <c r="N220" s="98">
        <v>2</v>
      </c>
      <c r="O220" s="98" t="s">
        <v>2110</v>
      </c>
      <c r="P220" s="98" t="s">
        <v>2107</v>
      </c>
      <c r="Q220" s="98" t="s">
        <v>2076</v>
      </c>
      <c r="R220" s="98" t="s">
        <v>2111</v>
      </c>
      <c r="S220" t="s">
        <v>2068</v>
      </c>
      <c r="T220" t="s">
        <v>2109</v>
      </c>
    </row>
    <row r="221" spans="1:20" x14ac:dyDescent="0.25">
      <c r="A221" s="98" t="s">
        <v>1388</v>
      </c>
      <c r="B221" s="98" t="s">
        <v>1389</v>
      </c>
      <c r="C221" s="98" t="s">
        <v>1136</v>
      </c>
      <c r="D221" s="98" t="s">
        <v>2034</v>
      </c>
      <c r="E221" s="101">
        <v>45497</v>
      </c>
      <c r="F221" s="101">
        <v>219512</v>
      </c>
      <c r="G221" s="98">
        <v>0</v>
      </c>
      <c r="H221" s="101">
        <v>45880</v>
      </c>
      <c r="I221" s="98" t="s">
        <v>2035</v>
      </c>
      <c r="J221" s="98">
        <v>45497</v>
      </c>
      <c r="K221" s="101" t="s">
        <v>2035</v>
      </c>
      <c r="L221" s="98">
        <v>43330</v>
      </c>
      <c r="M221" s="98">
        <v>2167</v>
      </c>
      <c r="N221" s="98">
        <v>5</v>
      </c>
      <c r="O221" s="98" t="s">
        <v>2110</v>
      </c>
      <c r="P221" s="98" t="s">
        <v>2107</v>
      </c>
      <c r="Q221" s="98" t="s">
        <v>2076</v>
      </c>
      <c r="R221" s="98" t="s">
        <v>2111</v>
      </c>
      <c r="S221" t="s">
        <v>2068</v>
      </c>
      <c r="T221" t="s">
        <v>2109</v>
      </c>
    </row>
    <row r="222" spans="1:20" x14ac:dyDescent="0.25">
      <c r="A222" s="98" t="s">
        <v>24</v>
      </c>
      <c r="B222" s="98" t="s">
        <v>1390</v>
      </c>
      <c r="C222" s="98" t="s">
        <v>1136</v>
      </c>
      <c r="D222" s="98" t="s">
        <v>2034</v>
      </c>
      <c r="E222" s="101">
        <v>38557</v>
      </c>
      <c r="F222" s="101">
        <v>219512</v>
      </c>
      <c r="G222" s="98">
        <v>0</v>
      </c>
      <c r="H222" s="101">
        <v>45919</v>
      </c>
      <c r="I222" s="98" t="s">
        <v>2035</v>
      </c>
      <c r="J222" s="98">
        <v>38557</v>
      </c>
      <c r="K222" s="101" t="s">
        <v>2035</v>
      </c>
      <c r="L222" s="98">
        <v>35052</v>
      </c>
      <c r="M222" s="98">
        <v>3505</v>
      </c>
      <c r="N222" s="98">
        <v>10</v>
      </c>
      <c r="O222" s="98" t="s">
        <v>2110</v>
      </c>
      <c r="P222" s="98" t="s">
        <v>2107</v>
      </c>
      <c r="Q222" s="98" t="s">
        <v>2076</v>
      </c>
      <c r="R222" s="98" t="s">
        <v>2111</v>
      </c>
      <c r="S222" t="s">
        <v>2060</v>
      </c>
      <c r="T222" t="s">
        <v>2109</v>
      </c>
    </row>
    <row r="223" spans="1:20" x14ac:dyDescent="0.25">
      <c r="A223" s="98" t="s">
        <v>1391</v>
      </c>
      <c r="B223" s="98" t="s">
        <v>1392</v>
      </c>
      <c r="C223" s="98" t="s">
        <v>1136</v>
      </c>
      <c r="D223" s="98" t="s">
        <v>2034</v>
      </c>
      <c r="E223" s="101">
        <v>42191</v>
      </c>
      <c r="F223" s="101">
        <v>219512</v>
      </c>
      <c r="G223" s="98">
        <v>0</v>
      </c>
      <c r="H223" s="101">
        <v>45769</v>
      </c>
      <c r="I223" s="98" t="s">
        <v>2035</v>
      </c>
      <c r="J223" s="98">
        <v>42191</v>
      </c>
      <c r="K223" s="101" t="s">
        <v>2035</v>
      </c>
      <c r="L223" s="98">
        <v>44200</v>
      </c>
      <c r="M223" s="98">
        <v>-2009</v>
      </c>
      <c r="N223" s="98">
        <v>-4.55</v>
      </c>
      <c r="O223" s="98" t="s">
        <v>2110</v>
      </c>
      <c r="P223" s="98" t="s">
        <v>2107</v>
      </c>
      <c r="Q223" s="98" t="s">
        <v>2076</v>
      </c>
      <c r="R223" s="98" t="s">
        <v>2111</v>
      </c>
      <c r="S223" t="s">
        <v>2068</v>
      </c>
      <c r="T223" t="s">
        <v>2109</v>
      </c>
    </row>
    <row r="224" spans="1:20" x14ac:dyDescent="0.25">
      <c r="A224" s="98" t="s">
        <v>1393</v>
      </c>
      <c r="B224" s="98" t="s">
        <v>1394</v>
      </c>
      <c r="C224" s="98" t="s">
        <v>1136</v>
      </c>
      <c r="D224" s="98" t="s">
        <v>2034</v>
      </c>
      <c r="E224" s="101">
        <v>53108</v>
      </c>
      <c r="F224" s="101">
        <v>219512</v>
      </c>
      <c r="G224" s="98">
        <v>0</v>
      </c>
      <c r="H224" s="101">
        <v>45769</v>
      </c>
      <c r="I224" s="98" t="s">
        <v>2035</v>
      </c>
      <c r="J224" s="98">
        <v>53108</v>
      </c>
      <c r="K224" s="101" t="s">
        <v>2035</v>
      </c>
      <c r="L224" s="98">
        <v>55637</v>
      </c>
      <c r="M224" s="98">
        <v>-2529</v>
      </c>
      <c r="N224" s="98">
        <v>-4.55</v>
      </c>
      <c r="O224" s="98" t="s">
        <v>2110</v>
      </c>
      <c r="P224" s="98" t="s">
        <v>2107</v>
      </c>
      <c r="Q224" s="98" t="s">
        <v>2076</v>
      </c>
      <c r="R224" s="98" t="s">
        <v>2111</v>
      </c>
      <c r="S224" t="s">
        <v>2068</v>
      </c>
      <c r="T224" t="s">
        <v>2109</v>
      </c>
    </row>
    <row r="225" spans="1:20" x14ac:dyDescent="0.25">
      <c r="A225" s="98" t="s">
        <v>1395</v>
      </c>
      <c r="B225" s="98" t="s">
        <v>1396</v>
      </c>
      <c r="C225" s="98" t="s">
        <v>1136</v>
      </c>
      <c r="D225" s="98" t="s">
        <v>2034</v>
      </c>
      <c r="E225" s="101">
        <v>37404</v>
      </c>
      <c r="F225" s="101">
        <v>219512</v>
      </c>
      <c r="G225" s="98">
        <v>0</v>
      </c>
      <c r="H225" s="101">
        <v>45769</v>
      </c>
      <c r="I225" s="98" t="s">
        <v>2035</v>
      </c>
      <c r="J225" s="98">
        <v>37404</v>
      </c>
      <c r="K225" s="101" t="s">
        <v>2035</v>
      </c>
      <c r="L225" s="98">
        <v>39185</v>
      </c>
      <c r="M225" s="98">
        <v>-1781</v>
      </c>
      <c r="N225" s="98">
        <v>-4.55</v>
      </c>
      <c r="O225" s="98" t="s">
        <v>2110</v>
      </c>
      <c r="P225" s="98" t="s">
        <v>2107</v>
      </c>
      <c r="Q225" s="98" t="s">
        <v>2076</v>
      </c>
      <c r="R225" s="98" t="s">
        <v>2111</v>
      </c>
      <c r="S225" t="s">
        <v>2060</v>
      </c>
      <c r="T225" t="s">
        <v>2109</v>
      </c>
    </row>
    <row r="226" spans="1:20" x14ac:dyDescent="0.25">
      <c r="A226" s="98" t="s">
        <v>1397</v>
      </c>
      <c r="B226" s="98" t="s">
        <v>1398</v>
      </c>
      <c r="C226" s="98" t="s">
        <v>1136</v>
      </c>
      <c r="D226" s="98" t="s">
        <v>2034</v>
      </c>
      <c r="E226" s="101">
        <v>38876</v>
      </c>
      <c r="F226" s="101">
        <v>219512</v>
      </c>
      <c r="G226" s="98">
        <v>0</v>
      </c>
      <c r="H226" s="101">
        <v>45880</v>
      </c>
      <c r="I226" s="98" t="s">
        <v>2035</v>
      </c>
      <c r="J226" s="98">
        <v>38876</v>
      </c>
      <c r="K226" s="101" t="s">
        <v>2035</v>
      </c>
      <c r="L226" s="98">
        <v>33514</v>
      </c>
      <c r="M226" s="98">
        <v>5362</v>
      </c>
      <c r="N226" s="98">
        <v>16</v>
      </c>
      <c r="O226" s="98" t="s">
        <v>2110</v>
      </c>
      <c r="P226" s="98" t="s">
        <v>2107</v>
      </c>
      <c r="Q226" s="98" t="s">
        <v>2076</v>
      </c>
      <c r="R226" s="98" t="s">
        <v>2111</v>
      </c>
      <c r="S226" t="s">
        <v>2060</v>
      </c>
      <c r="T226" t="s">
        <v>2109</v>
      </c>
    </row>
    <row r="227" spans="1:20" x14ac:dyDescent="0.25">
      <c r="A227" s="98" t="s">
        <v>1399</v>
      </c>
      <c r="B227" s="98" t="s">
        <v>1400</v>
      </c>
      <c r="C227" s="98" t="s">
        <v>1136</v>
      </c>
      <c r="D227" s="98" t="s">
        <v>2034</v>
      </c>
      <c r="E227" s="101">
        <v>33514</v>
      </c>
      <c r="F227" s="101">
        <v>219512</v>
      </c>
      <c r="G227" s="98">
        <v>0</v>
      </c>
      <c r="H227" s="101">
        <v>45769</v>
      </c>
      <c r="I227" s="98" t="s">
        <v>2035</v>
      </c>
      <c r="J227" s="98">
        <v>33514</v>
      </c>
      <c r="K227" s="101" t="s">
        <v>2035</v>
      </c>
      <c r="L227" s="98">
        <v>35110</v>
      </c>
      <c r="M227" s="98">
        <v>-1596</v>
      </c>
      <c r="N227" s="98">
        <v>-4.55</v>
      </c>
      <c r="O227" s="98" t="s">
        <v>2110</v>
      </c>
      <c r="P227" s="98" t="s">
        <v>2107</v>
      </c>
      <c r="Q227" s="98" t="s">
        <v>2076</v>
      </c>
      <c r="R227" s="98" t="s">
        <v>2111</v>
      </c>
      <c r="S227" t="s">
        <v>2060</v>
      </c>
      <c r="T227" t="s">
        <v>2109</v>
      </c>
    </row>
    <row r="228" spans="1:20" x14ac:dyDescent="0.25">
      <c r="A228" s="98" t="s">
        <v>1401</v>
      </c>
      <c r="B228" s="98" t="s">
        <v>1402</v>
      </c>
      <c r="C228" s="98" t="s">
        <v>1136</v>
      </c>
      <c r="D228" s="98" t="s">
        <v>2034</v>
      </c>
      <c r="E228" s="101">
        <v>64678</v>
      </c>
      <c r="F228" s="101">
        <v>219512</v>
      </c>
      <c r="G228" s="98">
        <v>0</v>
      </c>
      <c r="H228" s="101">
        <v>45769</v>
      </c>
      <c r="I228" s="98" t="s">
        <v>2035</v>
      </c>
      <c r="J228" s="98">
        <v>64678</v>
      </c>
      <c r="K228" s="101" t="s">
        <v>2035</v>
      </c>
      <c r="L228" s="98">
        <v>67758</v>
      </c>
      <c r="M228" s="98">
        <v>-3080</v>
      </c>
      <c r="N228" s="98">
        <v>-4.55</v>
      </c>
      <c r="O228" s="98" t="s">
        <v>2110</v>
      </c>
      <c r="P228" s="98" t="s">
        <v>2107</v>
      </c>
      <c r="Q228" s="98" t="s">
        <v>2076</v>
      </c>
      <c r="R228" s="98" t="s">
        <v>2111</v>
      </c>
      <c r="S228" t="s">
        <v>2068</v>
      </c>
      <c r="T228" t="s">
        <v>2109</v>
      </c>
    </row>
    <row r="229" spans="1:20" x14ac:dyDescent="0.25">
      <c r="A229" s="98" t="s">
        <v>1403</v>
      </c>
      <c r="B229" s="98" t="s">
        <v>1404</v>
      </c>
      <c r="C229" s="98" t="s">
        <v>1136</v>
      </c>
      <c r="D229" s="98" t="s">
        <v>2034</v>
      </c>
      <c r="E229" s="101">
        <v>42643</v>
      </c>
      <c r="F229" s="101">
        <v>219512</v>
      </c>
      <c r="G229" s="98">
        <v>0</v>
      </c>
      <c r="H229" s="101">
        <v>45769</v>
      </c>
      <c r="I229" s="98" t="s">
        <v>2035</v>
      </c>
      <c r="J229" s="98">
        <v>42643</v>
      </c>
      <c r="K229" s="101" t="s">
        <v>2035</v>
      </c>
      <c r="L229" s="98">
        <v>44673</v>
      </c>
      <c r="M229" s="98">
        <v>-2030</v>
      </c>
      <c r="N229" s="98">
        <v>-4.54</v>
      </c>
      <c r="O229" s="98" t="s">
        <v>2110</v>
      </c>
      <c r="P229" s="98" t="s">
        <v>2107</v>
      </c>
      <c r="Q229" s="98" t="s">
        <v>2076</v>
      </c>
      <c r="R229" s="98" t="s">
        <v>2111</v>
      </c>
      <c r="S229" t="s">
        <v>2068</v>
      </c>
      <c r="T229" t="s">
        <v>2109</v>
      </c>
    </row>
    <row r="230" spans="1:20" x14ac:dyDescent="0.25">
      <c r="A230" s="98" t="s">
        <v>1405</v>
      </c>
      <c r="B230" s="98" t="s">
        <v>1406</v>
      </c>
      <c r="C230" s="98" t="s">
        <v>1136</v>
      </c>
      <c r="D230" s="98" t="s">
        <v>2034</v>
      </c>
      <c r="E230" s="101">
        <v>62649</v>
      </c>
      <c r="F230" s="101">
        <v>219512</v>
      </c>
      <c r="G230" s="98">
        <v>0</v>
      </c>
      <c r="H230" s="101">
        <v>45769</v>
      </c>
      <c r="I230" s="98" t="s">
        <v>2035</v>
      </c>
      <c r="J230" s="98">
        <v>62649</v>
      </c>
      <c r="K230" s="101" t="s">
        <v>2035</v>
      </c>
      <c r="L230" s="98">
        <v>65633</v>
      </c>
      <c r="M230" s="98">
        <v>-2984</v>
      </c>
      <c r="N230" s="98">
        <v>-4.55</v>
      </c>
      <c r="O230" s="98" t="s">
        <v>2110</v>
      </c>
      <c r="P230" s="98" t="s">
        <v>2107</v>
      </c>
      <c r="Q230" s="98" t="s">
        <v>2076</v>
      </c>
      <c r="R230" s="98" t="s">
        <v>2111</v>
      </c>
      <c r="S230" t="s">
        <v>2068</v>
      </c>
      <c r="T230" t="s">
        <v>2109</v>
      </c>
    </row>
    <row r="231" spans="1:20" x14ac:dyDescent="0.25">
      <c r="A231" s="98" t="s">
        <v>1407</v>
      </c>
      <c r="B231" s="98" t="s">
        <v>1408</v>
      </c>
      <c r="C231" s="98" t="s">
        <v>1136</v>
      </c>
      <c r="D231" s="98" t="s">
        <v>2034</v>
      </c>
      <c r="E231" s="101">
        <v>44308</v>
      </c>
      <c r="F231" s="101">
        <v>219512</v>
      </c>
      <c r="G231" s="98">
        <v>0</v>
      </c>
      <c r="H231" s="101">
        <v>45769</v>
      </c>
      <c r="I231" s="98" t="s">
        <v>2035</v>
      </c>
      <c r="J231" s="98">
        <v>44308</v>
      </c>
      <c r="K231" s="101" t="s">
        <v>2035</v>
      </c>
      <c r="L231" s="98">
        <v>46418</v>
      </c>
      <c r="M231" s="98">
        <v>-2110</v>
      </c>
      <c r="N231" s="98">
        <v>-4.55</v>
      </c>
      <c r="O231" s="98" t="s">
        <v>2110</v>
      </c>
      <c r="P231" s="98" t="s">
        <v>2107</v>
      </c>
      <c r="Q231" s="98" t="s">
        <v>2076</v>
      </c>
      <c r="R231" s="98" t="s">
        <v>2111</v>
      </c>
      <c r="S231" t="s">
        <v>2068</v>
      </c>
      <c r="T231" t="s">
        <v>2109</v>
      </c>
    </row>
    <row r="232" spans="1:20" x14ac:dyDescent="0.25">
      <c r="A232" s="98" t="s">
        <v>1409</v>
      </c>
      <c r="B232" s="98" t="s">
        <v>1410</v>
      </c>
      <c r="C232" s="98" t="s">
        <v>1136</v>
      </c>
      <c r="D232" s="98" t="s">
        <v>2034</v>
      </c>
      <c r="E232" s="101">
        <v>58848</v>
      </c>
      <c r="F232" s="101">
        <v>219512</v>
      </c>
      <c r="G232" s="98">
        <v>0</v>
      </c>
      <c r="H232" s="101">
        <v>45769</v>
      </c>
      <c r="I232" s="98" t="s">
        <v>2035</v>
      </c>
      <c r="J232" s="98">
        <v>58848</v>
      </c>
      <c r="K232" s="101" t="s">
        <v>2035</v>
      </c>
      <c r="L232" s="98">
        <v>61651</v>
      </c>
      <c r="M232" s="98">
        <v>-2803</v>
      </c>
      <c r="N232" s="98">
        <v>-4.55</v>
      </c>
      <c r="O232" s="98" t="s">
        <v>2110</v>
      </c>
      <c r="P232" s="98" t="s">
        <v>2107</v>
      </c>
      <c r="Q232" s="98" t="s">
        <v>2076</v>
      </c>
      <c r="R232" s="98" t="s">
        <v>2111</v>
      </c>
      <c r="S232" t="s">
        <v>2068</v>
      </c>
      <c r="T232" t="s">
        <v>2109</v>
      </c>
    </row>
    <row r="233" spans="1:20" x14ac:dyDescent="0.25">
      <c r="A233" s="98" t="s">
        <v>1411</v>
      </c>
      <c r="B233" s="98" t="s">
        <v>1412</v>
      </c>
      <c r="C233" s="98" t="s">
        <v>1136</v>
      </c>
      <c r="D233" s="98" t="s">
        <v>2034</v>
      </c>
      <c r="E233" s="101">
        <v>52769</v>
      </c>
      <c r="F233" s="101">
        <v>219512</v>
      </c>
      <c r="G233" s="98">
        <v>0</v>
      </c>
      <c r="H233" s="101">
        <v>45769</v>
      </c>
      <c r="I233" s="98" t="s">
        <v>2035</v>
      </c>
      <c r="J233" s="98">
        <v>52769</v>
      </c>
      <c r="K233" s="101" t="s">
        <v>2035</v>
      </c>
      <c r="L233" s="98">
        <v>55282</v>
      </c>
      <c r="M233" s="98">
        <v>-2513</v>
      </c>
      <c r="N233" s="98">
        <v>-4.55</v>
      </c>
      <c r="O233" s="98" t="s">
        <v>2110</v>
      </c>
      <c r="P233" s="98" t="s">
        <v>2107</v>
      </c>
      <c r="Q233" s="98" t="s">
        <v>2076</v>
      </c>
      <c r="R233" s="98" t="s">
        <v>2111</v>
      </c>
      <c r="S233" t="s">
        <v>2060</v>
      </c>
      <c r="T233" t="s">
        <v>2109</v>
      </c>
    </row>
    <row r="234" spans="1:20" x14ac:dyDescent="0.25">
      <c r="A234" s="98" t="s">
        <v>1413</v>
      </c>
      <c r="B234" s="98" t="s">
        <v>1414</v>
      </c>
      <c r="C234" s="98" t="s">
        <v>1136</v>
      </c>
      <c r="D234" s="98" t="s">
        <v>2034</v>
      </c>
      <c r="E234" s="101">
        <v>35860</v>
      </c>
      <c r="F234" s="101">
        <v>219512</v>
      </c>
      <c r="G234" s="98">
        <v>0</v>
      </c>
      <c r="H234" s="101">
        <v>45919</v>
      </c>
      <c r="I234" s="98" t="s">
        <v>2035</v>
      </c>
      <c r="J234" s="98">
        <v>35860</v>
      </c>
      <c r="K234" s="101" t="s">
        <v>2035</v>
      </c>
      <c r="L234" s="98">
        <v>33514</v>
      </c>
      <c r="M234" s="98">
        <v>2346</v>
      </c>
      <c r="N234" s="98">
        <v>7</v>
      </c>
      <c r="O234" s="98" t="s">
        <v>2110</v>
      </c>
      <c r="P234" s="98" t="s">
        <v>2107</v>
      </c>
      <c r="Q234" s="98" t="s">
        <v>2076</v>
      </c>
      <c r="R234" s="98" t="s">
        <v>2111</v>
      </c>
      <c r="S234" t="s">
        <v>2060</v>
      </c>
      <c r="T234" t="s">
        <v>2109</v>
      </c>
    </row>
    <row r="235" spans="1:20" x14ac:dyDescent="0.25">
      <c r="A235" s="98" t="s">
        <v>1415</v>
      </c>
      <c r="B235" s="98" t="s">
        <v>1416</v>
      </c>
      <c r="C235" s="98" t="s">
        <v>1136</v>
      </c>
      <c r="D235" s="98" t="s">
        <v>2034</v>
      </c>
      <c r="E235" s="101">
        <v>46361</v>
      </c>
      <c r="F235" s="101">
        <v>219512</v>
      </c>
      <c r="G235" s="98">
        <v>0</v>
      </c>
      <c r="H235" s="101">
        <v>45769</v>
      </c>
      <c r="I235" s="98" t="s">
        <v>2035</v>
      </c>
      <c r="J235" s="98">
        <v>46361</v>
      </c>
      <c r="K235" s="101" t="s">
        <v>2035</v>
      </c>
      <c r="L235" s="98">
        <v>48568</v>
      </c>
      <c r="M235" s="98">
        <v>-2207</v>
      </c>
      <c r="N235" s="98">
        <v>-4.54</v>
      </c>
      <c r="O235" s="98" t="s">
        <v>2110</v>
      </c>
      <c r="P235" s="98" t="s">
        <v>2107</v>
      </c>
      <c r="Q235" s="98" t="s">
        <v>2076</v>
      </c>
      <c r="R235" s="98" t="s">
        <v>2111</v>
      </c>
      <c r="S235" t="s">
        <v>2068</v>
      </c>
      <c r="T235" t="s">
        <v>2109</v>
      </c>
    </row>
    <row r="236" spans="1:20" x14ac:dyDescent="0.25">
      <c r="A236" s="98" t="s">
        <v>1417</v>
      </c>
      <c r="B236" s="98" t="s">
        <v>1418</v>
      </c>
      <c r="C236" s="98" t="s">
        <v>1136</v>
      </c>
      <c r="D236" s="98" t="s">
        <v>2034</v>
      </c>
      <c r="E236" s="101">
        <v>65795</v>
      </c>
      <c r="F236" s="101">
        <v>219512</v>
      </c>
      <c r="G236" s="98">
        <v>0</v>
      </c>
      <c r="H236" s="101">
        <v>45769</v>
      </c>
      <c r="I236" s="98" t="s">
        <v>2035</v>
      </c>
      <c r="J236" s="98">
        <v>65795</v>
      </c>
      <c r="K236" s="101" t="s">
        <v>2035</v>
      </c>
      <c r="L236" s="98">
        <v>68928</v>
      </c>
      <c r="M236" s="98">
        <v>-3133</v>
      </c>
      <c r="N236" s="98">
        <v>-4.55</v>
      </c>
      <c r="O236" s="98" t="s">
        <v>2110</v>
      </c>
      <c r="P236" s="98" t="s">
        <v>2107</v>
      </c>
      <c r="Q236" s="98" t="s">
        <v>2076</v>
      </c>
      <c r="R236" s="98" t="s">
        <v>2111</v>
      </c>
      <c r="S236" t="s">
        <v>2068</v>
      </c>
      <c r="T236" t="s">
        <v>2109</v>
      </c>
    </row>
    <row r="237" spans="1:20" x14ac:dyDescent="0.25">
      <c r="A237" s="98" t="s">
        <v>1419</v>
      </c>
      <c r="B237" s="98" t="s">
        <v>1420</v>
      </c>
      <c r="C237" s="98" t="s">
        <v>1136</v>
      </c>
      <c r="D237" s="98" t="s">
        <v>2034</v>
      </c>
      <c r="E237" s="101">
        <v>43500</v>
      </c>
      <c r="F237" s="101">
        <v>219512</v>
      </c>
      <c r="G237" s="98">
        <v>0</v>
      </c>
      <c r="H237" s="101">
        <v>45769</v>
      </c>
      <c r="I237" s="98" t="s">
        <v>2035</v>
      </c>
      <c r="J237" s="98">
        <v>43500</v>
      </c>
      <c r="K237" s="101" t="s">
        <v>2035</v>
      </c>
      <c r="L237" s="98">
        <v>45572</v>
      </c>
      <c r="M237" s="98">
        <v>-2072</v>
      </c>
      <c r="N237" s="98">
        <v>-4.55</v>
      </c>
      <c r="O237" s="98" t="s">
        <v>2110</v>
      </c>
      <c r="P237" s="98" t="s">
        <v>2107</v>
      </c>
      <c r="Q237" s="98" t="s">
        <v>2076</v>
      </c>
      <c r="R237" s="98" t="s">
        <v>2111</v>
      </c>
      <c r="S237" t="s">
        <v>2068</v>
      </c>
      <c r="T237" t="s">
        <v>2109</v>
      </c>
    </row>
    <row r="238" spans="1:20" x14ac:dyDescent="0.25">
      <c r="A238" s="98" t="s">
        <v>1421</v>
      </c>
      <c r="B238" s="98" t="s">
        <v>1422</v>
      </c>
      <c r="C238" s="98" t="s">
        <v>1136</v>
      </c>
      <c r="D238" s="98" t="s">
        <v>2034</v>
      </c>
      <c r="E238" s="101">
        <v>69085</v>
      </c>
      <c r="F238" s="101">
        <v>219512</v>
      </c>
      <c r="G238" s="98">
        <v>0</v>
      </c>
      <c r="H238" s="101">
        <v>45880</v>
      </c>
      <c r="I238" s="98" t="s">
        <v>2035</v>
      </c>
      <c r="J238" s="98">
        <v>69085</v>
      </c>
      <c r="K238" s="101" t="s">
        <v>2035</v>
      </c>
      <c r="L238" s="98">
        <v>65795</v>
      </c>
      <c r="M238" s="98">
        <v>3290</v>
      </c>
      <c r="N238" s="98">
        <v>5</v>
      </c>
      <c r="O238" s="98" t="s">
        <v>2110</v>
      </c>
      <c r="P238" s="98" t="s">
        <v>2107</v>
      </c>
      <c r="Q238" s="98" t="s">
        <v>2076</v>
      </c>
      <c r="R238" s="98" t="s">
        <v>2111</v>
      </c>
      <c r="S238" t="s">
        <v>2068</v>
      </c>
      <c r="T238" t="s">
        <v>2109</v>
      </c>
    </row>
    <row r="239" spans="1:20" x14ac:dyDescent="0.25">
      <c r="A239" s="98" t="s">
        <v>1423</v>
      </c>
      <c r="B239" s="98" t="s">
        <v>1424</v>
      </c>
      <c r="C239" s="98" t="s">
        <v>1136</v>
      </c>
      <c r="D239" s="98" t="s">
        <v>2034</v>
      </c>
      <c r="E239" s="101">
        <v>29054</v>
      </c>
      <c r="F239" s="101">
        <v>219512</v>
      </c>
      <c r="G239" s="98">
        <v>0</v>
      </c>
      <c r="H239" s="101">
        <v>45919</v>
      </c>
      <c r="I239" s="98" t="s">
        <v>2035</v>
      </c>
      <c r="J239" s="98">
        <v>29054</v>
      </c>
      <c r="K239" s="101" t="s">
        <v>2035</v>
      </c>
      <c r="L239" s="98">
        <v>27153</v>
      </c>
      <c r="M239" s="98">
        <v>1901</v>
      </c>
      <c r="N239" s="98">
        <v>7</v>
      </c>
      <c r="O239" s="98" t="s">
        <v>2106</v>
      </c>
      <c r="P239" s="98" t="s">
        <v>2107</v>
      </c>
      <c r="Q239" s="98" t="s">
        <v>2076</v>
      </c>
      <c r="R239" s="98" t="s">
        <v>2108</v>
      </c>
      <c r="S239" t="s">
        <v>2067</v>
      </c>
      <c r="T239" t="s">
        <v>2109</v>
      </c>
    </row>
    <row r="240" spans="1:20" x14ac:dyDescent="0.25">
      <c r="A240" s="98" t="s">
        <v>865</v>
      </c>
      <c r="B240" s="98" t="s">
        <v>1425</v>
      </c>
      <c r="C240" s="98" t="s">
        <v>1136</v>
      </c>
      <c r="D240" s="98" t="s">
        <v>2034</v>
      </c>
      <c r="E240" s="101">
        <v>28200</v>
      </c>
      <c r="F240" s="101">
        <v>219512</v>
      </c>
      <c r="G240" s="98">
        <v>0</v>
      </c>
      <c r="H240" s="101">
        <v>45919</v>
      </c>
      <c r="I240" s="98" t="s">
        <v>2035</v>
      </c>
      <c r="J240" s="98">
        <v>28200</v>
      </c>
      <c r="K240" s="101" t="s">
        <v>2035</v>
      </c>
      <c r="L240" s="98">
        <v>26355</v>
      </c>
      <c r="M240" s="98">
        <v>1845</v>
      </c>
      <c r="N240" s="98">
        <v>7</v>
      </c>
      <c r="O240" s="98" t="s">
        <v>2106</v>
      </c>
      <c r="P240" s="98" t="s">
        <v>2107</v>
      </c>
      <c r="Q240" s="98" t="s">
        <v>2076</v>
      </c>
      <c r="R240" s="98" t="s">
        <v>2108</v>
      </c>
      <c r="S240" t="s">
        <v>2068</v>
      </c>
      <c r="T240" t="s">
        <v>2109</v>
      </c>
    </row>
    <row r="241" spans="1:20" x14ac:dyDescent="0.25">
      <c r="A241" s="98" t="s">
        <v>866</v>
      </c>
      <c r="B241" s="98" t="s">
        <v>1426</v>
      </c>
      <c r="C241" s="98" t="s">
        <v>1136</v>
      </c>
      <c r="D241" s="98" t="s">
        <v>2034</v>
      </c>
      <c r="E241" s="101">
        <v>17194</v>
      </c>
      <c r="F241" s="101">
        <v>219512</v>
      </c>
      <c r="G241" s="98">
        <v>0</v>
      </c>
      <c r="H241" s="101">
        <v>45919</v>
      </c>
      <c r="I241" s="98" t="s">
        <v>2035</v>
      </c>
      <c r="J241" s="98">
        <v>17194</v>
      </c>
      <c r="K241" s="101" t="s">
        <v>2035</v>
      </c>
      <c r="L241" s="98">
        <v>16069</v>
      </c>
      <c r="M241" s="98">
        <v>1125</v>
      </c>
      <c r="N241" s="98">
        <v>7</v>
      </c>
      <c r="O241" s="98" t="s">
        <v>2106</v>
      </c>
      <c r="P241" s="98" t="s">
        <v>2107</v>
      </c>
      <c r="Q241" s="98" t="s">
        <v>2076</v>
      </c>
      <c r="R241" s="98" t="s">
        <v>2108</v>
      </c>
      <c r="S241" t="s">
        <v>2068</v>
      </c>
      <c r="T241" t="s">
        <v>2109</v>
      </c>
    </row>
    <row r="242" spans="1:20" x14ac:dyDescent="0.25">
      <c r="A242" s="98" t="s">
        <v>867</v>
      </c>
      <c r="B242" s="98" t="s">
        <v>1427</v>
      </c>
      <c r="C242" s="98" t="s">
        <v>1136</v>
      </c>
      <c r="D242" s="98" t="s">
        <v>2034</v>
      </c>
      <c r="E242" s="101">
        <v>21839</v>
      </c>
      <c r="F242" s="101">
        <v>219512</v>
      </c>
      <c r="G242" s="98">
        <v>0</v>
      </c>
      <c r="H242" s="101">
        <v>45919</v>
      </c>
      <c r="I242" s="98" t="s">
        <v>2035</v>
      </c>
      <c r="J242" s="98">
        <v>21839</v>
      </c>
      <c r="K242" s="101" t="s">
        <v>2035</v>
      </c>
      <c r="L242" s="98">
        <v>20410</v>
      </c>
      <c r="M242" s="98">
        <v>1429</v>
      </c>
      <c r="N242" s="98">
        <v>7</v>
      </c>
      <c r="O242" s="98" t="s">
        <v>2106</v>
      </c>
      <c r="P242" s="98" t="s">
        <v>2107</v>
      </c>
      <c r="Q242" s="98" t="s">
        <v>2076</v>
      </c>
      <c r="R242" s="98" t="s">
        <v>2108</v>
      </c>
      <c r="S242" t="s">
        <v>2068</v>
      </c>
      <c r="T242" t="s">
        <v>2109</v>
      </c>
    </row>
    <row r="243" spans="1:20" x14ac:dyDescent="0.25">
      <c r="A243" s="98" t="s">
        <v>868</v>
      </c>
      <c r="B243" s="98" t="s">
        <v>1428</v>
      </c>
      <c r="C243" s="98" t="s">
        <v>1136</v>
      </c>
      <c r="D243" s="98" t="s">
        <v>2034</v>
      </c>
      <c r="E243" s="101">
        <v>30734</v>
      </c>
      <c r="F243" s="101">
        <v>219512</v>
      </c>
      <c r="G243" s="98">
        <v>0</v>
      </c>
      <c r="H243" s="101">
        <v>45919</v>
      </c>
      <c r="I243" s="98" t="s">
        <v>2035</v>
      </c>
      <c r="J243" s="98">
        <v>30734</v>
      </c>
      <c r="K243" s="101" t="s">
        <v>2035</v>
      </c>
      <c r="L243" s="98">
        <v>28723</v>
      </c>
      <c r="M243" s="98">
        <v>2011</v>
      </c>
      <c r="N243" s="98">
        <v>7</v>
      </c>
      <c r="O243" s="98" t="s">
        <v>2106</v>
      </c>
      <c r="P243" s="98" t="s">
        <v>2107</v>
      </c>
      <c r="Q243" s="98" t="s">
        <v>2076</v>
      </c>
      <c r="R243" s="98" t="s">
        <v>2108</v>
      </c>
      <c r="S243" t="s">
        <v>2068</v>
      </c>
      <c r="T243" t="s">
        <v>2109</v>
      </c>
    </row>
    <row r="244" spans="1:20" x14ac:dyDescent="0.25">
      <c r="A244" s="98" t="s">
        <v>869</v>
      </c>
      <c r="B244" s="98" t="s">
        <v>1429</v>
      </c>
      <c r="C244" s="98" t="s">
        <v>1136</v>
      </c>
      <c r="D244" s="98" t="s">
        <v>2034</v>
      </c>
      <c r="E244" s="101">
        <v>20146</v>
      </c>
      <c r="F244" s="101">
        <v>219512</v>
      </c>
      <c r="G244" s="98">
        <v>0</v>
      </c>
      <c r="H244" s="101">
        <v>45919</v>
      </c>
      <c r="I244" s="98" t="s">
        <v>2035</v>
      </c>
      <c r="J244" s="98">
        <v>20146</v>
      </c>
      <c r="K244" s="101" t="s">
        <v>2035</v>
      </c>
      <c r="L244" s="98">
        <v>19187</v>
      </c>
      <c r="M244" s="98">
        <v>959</v>
      </c>
      <c r="N244" s="98">
        <v>5</v>
      </c>
      <c r="O244" s="98" t="s">
        <v>2106</v>
      </c>
      <c r="P244" s="98" t="s">
        <v>2107</v>
      </c>
      <c r="Q244" s="98" t="s">
        <v>2076</v>
      </c>
      <c r="R244" s="98" t="s">
        <v>2108</v>
      </c>
      <c r="S244" t="s">
        <v>2068</v>
      </c>
      <c r="T244" t="s">
        <v>2109</v>
      </c>
    </row>
    <row r="245" spans="1:20" x14ac:dyDescent="0.25">
      <c r="A245" s="98" t="s">
        <v>870</v>
      </c>
      <c r="B245" s="98" t="s">
        <v>1430</v>
      </c>
      <c r="C245" s="98" t="s">
        <v>1136</v>
      </c>
      <c r="D245" s="98" t="s">
        <v>2034</v>
      </c>
      <c r="E245" s="101">
        <v>12002</v>
      </c>
      <c r="F245" s="101">
        <v>219512</v>
      </c>
      <c r="G245" s="98">
        <v>0</v>
      </c>
      <c r="H245" s="101">
        <v>45919</v>
      </c>
      <c r="I245" s="98" t="s">
        <v>2035</v>
      </c>
      <c r="J245" s="98">
        <v>12002</v>
      </c>
      <c r="K245" s="101" t="s">
        <v>2035</v>
      </c>
      <c r="L245" s="98">
        <v>11430</v>
      </c>
      <c r="M245" s="98">
        <v>572</v>
      </c>
      <c r="N245" s="98">
        <v>5</v>
      </c>
      <c r="O245" s="98" t="s">
        <v>2106</v>
      </c>
      <c r="P245" s="98" t="s">
        <v>2107</v>
      </c>
      <c r="Q245" s="98" t="s">
        <v>2076</v>
      </c>
      <c r="R245" s="98" t="s">
        <v>2108</v>
      </c>
      <c r="S245" t="s">
        <v>2068</v>
      </c>
      <c r="T245" t="s">
        <v>2109</v>
      </c>
    </row>
    <row r="246" spans="1:20" x14ac:dyDescent="0.25">
      <c r="A246" s="98" t="s">
        <v>871</v>
      </c>
      <c r="B246" s="98" t="s">
        <v>1431</v>
      </c>
      <c r="C246" s="98" t="s">
        <v>1136</v>
      </c>
      <c r="D246" s="98" t="s">
        <v>2034</v>
      </c>
      <c r="E246" s="101">
        <v>15098</v>
      </c>
      <c r="F246" s="101">
        <v>219512</v>
      </c>
      <c r="G246" s="98">
        <v>0</v>
      </c>
      <c r="H246" s="101">
        <v>45919</v>
      </c>
      <c r="I246" s="98" t="s">
        <v>2035</v>
      </c>
      <c r="J246" s="98">
        <v>15098</v>
      </c>
      <c r="K246" s="101" t="s">
        <v>2035</v>
      </c>
      <c r="L246" s="98">
        <v>14379</v>
      </c>
      <c r="M246" s="98">
        <v>719</v>
      </c>
      <c r="N246" s="98">
        <v>5</v>
      </c>
      <c r="O246" s="98" t="s">
        <v>2106</v>
      </c>
      <c r="P246" s="98" t="s">
        <v>2107</v>
      </c>
      <c r="Q246" s="98" t="s">
        <v>2076</v>
      </c>
      <c r="R246" s="98" t="s">
        <v>2108</v>
      </c>
      <c r="S246" t="s">
        <v>2068</v>
      </c>
      <c r="T246" t="s">
        <v>2109</v>
      </c>
    </row>
    <row r="247" spans="1:20" x14ac:dyDescent="0.25">
      <c r="A247" s="98" t="s">
        <v>872</v>
      </c>
      <c r="B247" s="98" t="s">
        <v>1432</v>
      </c>
      <c r="C247" s="98" t="s">
        <v>1136</v>
      </c>
      <c r="D247" s="98" t="s">
        <v>2034</v>
      </c>
      <c r="E247" s="101">
        <v>21191</v>
      </c>
      <c r="F247" s="101">
        <v>219512</v>
      </c>
      <c r="G247" s="98">
        <v>0</v>
      </c>
      <c r="H247" s="101">
        <v>45919</v>
      </c>
      <c r="I247" s="98" t="s">
        <v>2035</v>
      </c>
      <c r="J247" s="98">
        <v>21191</v>
      </c>
      <c r="K247" s="101" t="s">
        <v>2035</v>
      </c>
      <c r="L247" s="98">
        <v>20182</v>
      </c>
      <c r="M247" s="98">
        <v>1009</v>
      </c>
      <c r="N247" s="98">
        <v>5</v>
      </c>
      <c r="O247" s="98" t="s">
        <v>2106</v>
      </c>
      <c r="P247" s="98" t="s">
        <v>2107</v>
      </c>
      <c r="Q247" s="98" t="s">
        <v>2076</v>
      </c>
      <c r="R247" s="98" t="s">
        <v>2108</v>
      </c>
      <c r="S247" t="s">
        <v>2068</v>
      </c>
      <c r="T247" t="s">
        <v>2109</v>
      </c>
    </row>
    <row r="248" spans="1:20" x14ac:dyDescent="0.25">
      <c r="A248" s="98" t="s">
        <v>873</v>
      </c>
      <c r="B248" s="98" t="s">
        <v>1433</v>
      </c>
      <c r="C248" s="98" t="s">
        <v>1136</v>
      </c>
      <c r="D248" s="98" t="s">
        <v>2034</v>
      </c>
      <c r="E248" s="101">
        <v>15369</v>
      </c>
      <c r="F248" s="101">
        <v>219512</v>
      </c>
      <c r="G248" s="98">
        <v>0</v>
      </c>
      <c r="H248" s="101">
        <v>45919</v>
      </c>
      <c r="I248" s="98" t="s">
        <v>2035</v>
      </c>
      <c r="J248" s="98">
        <v>15369</v>
      </c>
      <c r="K248" s="101" t="s">
        <v>2035</v>
      </c>
      <c r="L248" s="98">
        <v>14637</v>
      </c>
      <c r="M248" s="98">
        <v>732</v>
      </c>
      <c r="N248" s="98">
        <v>5</v>
      </c>
      <c r="O248" s="98" t="s">
        <v>2106</v>
      </c>
      <c r="P248" s="98" t="s">
        <v>2107</v>
      </c>
      <c r="Q248" s="98" t="s">
        <v>2076</v>
      </c>
      <c r="R248" s="98" t="s">
        <v>2108</v>
      </c>
      <c r="S248" t="s">
        <v>2060</v>
      </c>
      <c r="T248" t="s">
        <v>2109</v>
      </c>
    </row>
    <row r="249" spans="1:20" x14ac:dyDescent="0.25">
      <c r="A249" s="98" t="s">
        <v>874</v>
      </c>
      <c r="B249" s="98" t="s">
        <v>1434</v>
      </c>
      <c r="C249" s="98" t="s">
        <v>1136</v>
      </c>
      <c r="D249" s="98" t="s">
        <v>2034</v>
      </c>
      <c r="E249" s="101">
        <v>25041</v>
      </c>
      <c r="F249" s="101">
        <v>219512</v>
      </c>
      <c r="G249" s="98">
        <v>0</v>
      </c>
      <c r="H249" s="101">
        <v>45919</v>
      </c>
      <c r="I249" s="98" t="s">
        <v>2035</v>
      </c>
      <c r="J249" s="98">
        <v>25041</v>
      </c>
      <c r="K249" s="101" t="s">
        <v>2035</v>
      </c>
      <c r="L249" s="98">
        <v>23849</v>
      </c>
      <c r="M249" s="98">
        <v>1192</v>
      </c>
      <c r="N249" s="98">
        <v>5</v>
      </c>
      <c r="O249" s="98" t="s">
        <v>2106</v>
      </c>
      <c r="P249" s="98" t="s">
        <v>2107</v>
      </c>
      <c r="Q249" s="98" t="s">
        <v>2076</v>
      </c>
      <c r="R249" s="98" t="s">
        <v>2108</v>
      </c>
      <c r="S249" t="s">
        <v>2060</v>
      </c>
      <c r="T249" t="s">
        <v>2109</v>
      </c>
    </row>
    <row r="250" spans="1:20" x14ac:dyDescent="0.25">
      <c r="A250" s="98" t="s">
        <v>25</v>
      </c>
      <c r="B250" s="98" t="s">
        <v>1435</v>
      </c>
      <c r="C250" s="98" t="s">
        <v>1136</v>
      </c>
      <c r="D250" s="98" t="s">
        <v>2034</v>
      </c>
      <c r="E250" s="101">
        <v>24680</v>
      </c>
      <c r="F250" s="101">
        <v>219512</v>
      </c>
      <c r="G250" s="98">
        <v>0</v>
      </c>
      <c r="H250" s="101">
        <v>45919</v>
      </c>
      <c r="I250" s="98" t="s">
        <v>2035</v>
      </c>
      <c r="J250" s="98">
        <v>24680</v>
      </c>
      <c r="K250" s="101" t="s">
        <v>2035</v>
      </c>
      <c r="L250" s="98">
        <v>23065</v>
      </c>
      <c r="M250" s="98">
        <v>1615</v>
      </c>
      <c r="N250" s="98">
        <v>7</v>
      </c>
      <c r="O250" s="98" t="s">
        <v>2106</v>
      </c>
      <c r="P250" s="98" t="s">
        <v>2107</v>
      </c>
      <c r="Q250" s="98" t="s">
        <v>2076</v>
      </c>
      <c r="R250" s="98" t="s">
        <v>2108</v>
      </c>
      <c r="S250" t="s">
        <v>2068</v>
      </c>
      <c r="T250" t="s">
        <v>2109</v>
      </c>
    </row>
    <row r="251" spans="1:20" x14ac:dyDescent="0.25">
      <c r="A251" s="98" t="s">
        <v>26</v>
      </c>
      <c r="B251" s="98" t="s">
        <v>1436</v>
      </c>
      <c r="C251" s="98" t="s">
        <v>1136</v>
      </c>
      <c r="D251" s="98" t="s">
        <v>2034</v>
      </c>
      <c r="E251" s="101">
        <v>15256</v>
      </c>
      <c r="F251" s="101">
        <v>219512</v>
      </c>
      <c r="G251" s="98">
        <v>0</v>
      </c>
      <c r="H251" s="101">
        <v>45919</v>
      </c>
      <c r="I251" s="98" t="s">
        <v>2035</v>
      </c>
      <c r="J251" s="98">
        <v>15256</v>
      </c>
      <c r="K251" s="101" t="s">
        <v>2035</v>
      </c>
      <c r="L251" s="98">
        <v>14258</v>
      </c>
      <c r="M251" s="98">
        <v>998</v>
      </c>
      <c r="N251" s="98">
        <v>7</v>
      </c>
      <c r="O251" s="98" t="s">
        <v>2106</v>
      </c>
      <c r="P251" s="98" t="s">
        <v>2107</v>
      </c>
      <c r="Q251" s="98" t="s">
        <v>2076</v>
      </c>
      <c r="R251" s="98" t="s">
        <v>2108</v>
      </c>
      <c r="S251" t="s">
        <v>2068</v>
      </c>
      <c r="T251" t="s">
        <v>2109</v>
      </c>
    </row>
    <row r="252" spans="1:20" x14ac:dyDescent="0.25">
      <c r="A252" s="98" t="s">
        <v>27</v>
      </c>
      <c r="B252" s="98" t="s">
        <v>1424</v>
      </c>
      <c r="C252" s="98" t="s">
        <v>1136</v>
      </c>
      <c r="D252" s="98" t="s">
        <v>2034</v>
      </c>
      <c r="E252" s="101">
        <v>18967</v>
      </c>
      <c r="F252" s="101">
        <v>219512</v>
      </c>
      <c r="G252" s="98">
        <v>0</v>
      </c>
      <c r="H252" s="101">
        <v>45919</v>
      </c>
      <c r="I252" s="98" t="s">
        <v>2035</v>
      </c>
      <c r="J252" s="98">
        <v>18967</v>
      </c>
      <c r="K252" s="101" t="s">
        <v>2035</v>
      </c>
      <c r="L252" s="98">
        <v>17726</v>
      </c>
      <c r="M252" s="98">
        <v>1241</v>
      </c>
      <c r="N252" s="98">
        <v>7</v>
      </c>
      <c r="O252" s="98" t="s">
        <v>2106</v>
      </c>
      <c r="P252" s="98" t="s">
        <v>2107</v>
      </c>
      <c r="Q252" s="98" t="s">
        <v>2076</v>
      </c>
      <c r="R252" s="98" t="s">
        <v>2108</v>
      </c>
      <c r="S252" t="s">
        <v>2068</v>
      </c>
      <c r="T252" t="s">
        <v>2109</v>
      </c>
    </row>
    <row r="253" spans="1:20" x14ac:dyDescent="0.25">
      <c r="A253" s="98" t="s">
        <v>28</v>
      </c>
      <c r="B253" s="98" t="s">
        <v>1437</v>
      </c>
      <c r="C253" s="98" t="s">
        <v>1136</v>
      </c>
      <c r="D253" s="98" t="s">
        <v>2034</v>
      </c>
      <c r="E253" s="101">
        <v>26837</v>
      </c>
      <c r="F253" s="101">
        <v>219512</v>
      </c>
      <c r="G253" s="98">
        <v>0</v>
      </c>
      <c r="H253" s="101">
        <v>45919</v>
      </c>
      <c r="I253" s="98" t="s">
        <v>2035</v>
      </c>
      <c r="J253" s="98">
        <v>26837</v>
      </c>
      <c r="K253" s="101" t="s">
        <v>2035</v>
      </c>
      <c r="L253" s="98">
        <v>25081</v>
      </c>
      <c r="M253" s="98">
        <v>1756</v>
      </c>
      <c r="N253" s="98">
        <v>7</v>
      </c>
      <c r="O253" s="98" t="s">
        <v>2106</v>
      </c>
      <c r="P253" s="98" t="s">
        <v>2107</v>
      </c>
      <c r="Q253" s="98" t="s">
        <v>2076</v>
      </c>
      <c r="R253" s="98" t="s">
        <v>2108</v>
      </c>
      <c r="S253" t="s">
        <v>2068</v>
      </c>
      <c r="T253" t="s">
        <v>2109</v>
      </c>
    </row>
    <row r="254" spans="1:20" x14ac:dyDescent="0.25">
      <c r="A254" s="98" t="s">
        <v>29</v>
      </c>
      <c r="B254" s="98" t="s">
        <v>1438</v>
      </c>
      <c r="C254" s="98" t="s">
        <v>1136</v>
      </c>
      <c r="D254" s="98" t="s">
        <v>2034</v>
      </c>
      <c r="E254" s="101">
        <v>18518</v>
      </c>
      <c r="F254" s="101">
        <v>219512</v>
      </c>
      <c r="G254" s="98">
        <v>0</v>
      </c>
      <c r="H254" s="101">
        <v>45919</v>
      </c>
      <c r="I254" s="98" t="s">
        <v>2035</v>
      </c>
      <c r="J254" s="98">
        <v>18518</v>
      </c>
      <c r="K254" s="101" t="s">
        <v>2035</v>
      </c>
      <c r="L254" s="98">
        <v>17307</v>
      </c>
      <c r="M254" s="98">
        <v>1211</v>
      </c>
      <c r="N254" s="98">
        <v>7</v>
      </c>
      <c r="O254" s="98" t="s">
        <v>2106</v>
      </c>
      <c r="P254" s="98" t="s">
        <v>2107</v>
      </c>
      <c r="Q254" s="98" t="s">
        <v>2076</v>
      </c>
      <c r="R254" s="98" t="s">
        <v>2108</v>
      </c>
      <c r="S254" t="s">
        <v>2060</v>
      </c>
      <c r="T254" t="s">
        <v>2109</v>
      </c>
    </row>
    <row r="255" spans="1:20" x14ac:dyDescent="0.25">
      <c r="A255" s="98" t="s">
        <v>30</v>
      </c>
      <c r="B255" s="98" t="s">
        <v>1439</v>
      </c>
      <c r="C255" s="98" t="s">
        <v>1136</v>
      </c>
      <c r="D255" s="98" t="s">
        <v>2034</v>
      </c>
      <c r="E255" s="101">
        <v>30835</v>
      </c>
      <c r="F255" s="101">
        <v>219512</v>
      </c>
      <c r="G255" s="98">
        <v>0</v>
      </c>
      <c r="H255" s="101">
        <v>45919</v>
      </c>
      <c r="I255" s="98" t="s">
        <v>2035</v>
      </c>
      <c r="J255" s="98">
        <v>30835</v>
      </c>
      <c r="K255" s="101" t="s">
        <v>2035</v>
      </c>
      <c r="L255" s="98">
        <v>28818</v>
      </c>
      <c r="M255" s="98">
        <v>2017</v>
      </c>
      <c r="N255" s="98">
        <v>7</v>
      </c>
      <c r="O255" s="98" t="s">
        <v>2106</v>
      </c>
      <c r="P255" s="98" t="s">
        <v>2107</v>
      </c>
      <c r="Q255" s="98" t="s">
        <v>2076</v>
      </c>
      <c r="R255" s="98" t="s">
        <v>2108</v>
      </c>
      <c r="S255" t="s">
        <v>2060</v>
      </c>
      <c r="T255" t="s">
        <v>2109</v>
      </c>
    </row>
    <row r="256" spans="1:20" x14ac:dyDescent="0.25">
      <c r="A256" s="98" t="s">
        <v>1440</v>
      </c>
      <c r="B256" s="98" t="s">
        <v>1441</v>
      </c>
      <c r="C256" s="98" t="s">
        <v>1136</v>
      </c>
      <c r="D256" s="98" t="s">
        <v>2034</v>
      </c>
      <c r="E256" s="101">
        <v>25803</v>
      </c>
      <c r="F256" s="101">
        <v>219512</v>
      </c>
      <c r="G256" s="98">
        <v>0</v>
      </c>
      <c r="H256" s="101">
        <v>45919</v>
      </c>
      <c r="I256" s="98" t="s">
        <v>2035</v>
      </c>
      <c r="J256" s="98">
        <v>25803</v>
      </c>
      <c r="K256" s="101" t="s">
        <v>2035</v>
      </c>
      <c r="L256" s="98">
        <v>24115</v>
      </c>
      <c r="M256" s="98">
        <v>1688</v>
      </c>
      <c r="N256" s="98">
        <v>7</v>
      </c>
      <c r="O256" s="98" t="s">
        <v>2106</v>
      </c>
      <c r="P256" s="98" t="s">
        <v>2107</v>
      </c>
      <c r="Q256" s="98" t="s">
        <v>2076</v>
      </c>
      <c r="R256" s="98" t="s">
        <v>2108</v>
      </c>
      <c r="S256" t="s">
        <v>2068</v>
      </c>
      <c r="T256" t="s">
        <v>2109</v>
      </c>
    </row>
    <row r="257" spans="1:20" x14ac:dyDescent="0.25">
      <c r="A257" s="98" t="s">
        <v>1442</v>
      </c>
      <c r="B257" s="98" t="s">
        <v>1443</v>
      </c>
      <c r="C257" s="98" t="s">
        <v>1136</v>
      </c>
      <c r="D257" s="98" t="s">
        <v>2034</v>
      </c>
      <c r="E257" s="101">
        <v>19504</v>
      </c>
      <c r="F257" s="101">
        <v>219512</v>
      </c>
      <c r="G257" s="98">
        <v>0</v>
      </c>
      <c r="H257" s="101">
        <v>45919</v>
      </c>
      <c r="I257" s="98" t="s">
        <v>2035</v>
      </c>
      <c r="J257" s="98">
        <v>19504</v>
      </c>
      <c r="K257" s="101" t="s">
        <v>2035</v>
      </c>
      <c r="L257" s="98">
        <v>18228</v>
      </c>
      <c r="M257" s="98">
        <v>1276</v>
      </c>
      <c r="N257" s="98">
        <v>7</v>
      </c>
      <c r="O257" s="98" t="s">
        <v>2106</v>
      </c>
      <c r="P257" s="98" t="s">
        <v>2107</v>
      </c>
      <c r="Q257" s="98" t="s">
        <v>2076</v>
      </c>
      <c r="R257" s="98" t="s">
        <v>2108</v>
      </c>
      <c r="S257" t="s">
        <v>2068</v>
      </c>
      <c r="T257" t="s">
        <v>2109</v>
      </c>
    </row>
    <row r="258" spans="1:20" x14ac:dyDescent="0.25">
      <c r="A258" s="98" t="s">
        <v>1444</v>
      </c>
      <c r="B258" s="98" t="s">
        <v>1445</v>
      </c>
      <c r="C258" s="98" t="s">
        <v>1136</v>
      </c>
      <c r="D258" s="98" t="s">
        <v>2034</v>
      </c>
      <c r="E258" s="101">
        <v>28202</v>
      </c>
      <c r="F258" s="101">
        <v>219512</v>
      </c>
      <c r="G258" s="98">
        <v>0</v>
      </c>
      <c r="H258" s="101">
        <v>45919</v>
      </c>
      <c r="I258" s="98" t="s">
        <v>2035</v>
      </c>
      <c r="J258" s="98">
        <v>28202</v>
      </c>
      <c r="K258" s="101" t="s">
        <v>2035</v>
      </c>
      <c r="L258" s="98">
        <v>26357</v>
      </c>
      <c r="M258" s="98">
        <v>1845</v>
      </c>
      <c r="N258" s="98">
        <v>7</v>
      </c>
      <c r="O258" s="98" t="s">
        <v>2106</v>
      </c>
      <c r="P258" s="98" t="s">
        <v>2107</v>
      </c>
      <c r="Q258" s="98" t="s">
        <v>2076</v>
      </c>
      <c r="R258" s="98" t="s">
        <v>2108</v>
      </c>
      <c r="S258" t="s">
        <v>2068</v>
      </c>
      <c r="T258" t="s">
        <v>2109</v>
      </c>
    </row>
    <row r="259" spans="1:20" x14ac:dyDescent="0.25">
      <c r="A259" s="98" t="s">
        <v>1446</v>
      </c>
      <c r="B259" s="98" t="s">
        <v>1447</v>
      </c>
      <c r="C259" s="98" t="s">
        <v>1136</v>
      </c>
      <c r="D259" s="98" t="s">
        <v>2034</v>
      </c>
      <c r="E259" s="101">
        <v>18982</v>
      </c>
      <c r="F259" s="101">
        <v>219512</v>
      </c>
      <c r="G259" s="98">
        <v>0</v>
      </c>
      <c r="H259" s="101">
        <v>45919</v>
      </c>
      <c r="I259" s="98" t="s">
        <v>2035</v>
      </c>
      <c r="J259" s="98">
        <v>18982</v>
      </c>
      <c r="K259" s="101" t="s">
        <v>2035</v>
      </c>
      <c r="L259" s="98">
        <v>17740</v>
      </c>
      <c r="M259" s="98">
        <v>1242</v>
      </c>
      <c r="N259" s="98">
        <v>7</v>
      </c>
      <c r="O259" s="98" t="s">
        <v>2106</v>
      </c>
      <c r="P259" s="98" t="s">
        <v>2107</v>
      </c>
      <c r="Q259" s="98" t="s">
        <v>2076</v>
      </c>
      <c r="R259" s="98" t="s">
        <v>2108</v>
      </c>
      <c r="S259" t="s">
        <v>2060</v>
      </c>
      <c r="T259" t="s">
        <v>2109</v>
      </c>
    </row>
    <row r="260" spans="1:20" x14ac:dyDescent="0.25">
      <c r="A260" s="98" t="s">
        <v>31</v>
      </c>
      <c r="B260" s="98" t="s">
        <v>1448</v>
      </c>
      <c r="C260" s="98" t="s">
        <v>1136</v>
      </c>
      <c r="D260" s="98" t="s">
        <v>2034</v>
      </c>
      <c r="E260" s="101">
        <v>26806</v>
      </c>
      <c r="F260" s="101">
        <v>219512</v>
      </c>
      <c r="G260" s="98">
        <v>0</v>
      </c>
      <c r="H260" s="101">
        <v>45919</v>
      </c>
      <c r="I260" s="98" t="s">
        <v>2035</v>
      </c>
      <c r="J260" s="98">
        <v>26806</v>
      </c>
      <c r="K260" s="101" t="s">
        <v>2035</v>
      </c>
      <c r="L260" s="98">
        <v>25052</v>
      </c>
      <c r="M260" s="98">
        <v>1754</v>
      </c>
      <c r="N260" s="98">
        <v>7</v>
      </c>
      <c r="O260" s="98" t="s">
        <v>2106</v>
      </c>
      <c r="P260" s="98" t="s">
        <v>2107</v>
      </c>
      <c r="Q260" s="98" t="s">
        <v>2076</v>
      </c>
      <c r="R260" s="98" t="s">
        <v>2108</v>
      </c>
      <c r="S260" t="s">
        <v>2068</v>
      </c>
      <c r="T260" t="s">
        <v>2109</v>
      </c>
    </row>
    <row r="261" spans="1:20" x14ac:dyDescent="0.25">
      <c r="A261" s="98" t="s">
        <v>32</v>
      </c>
      <c r="B261" s="98" t="s">
        <v>1449</v>
      </c>
      <c r="C261" s="98" t="s">
        <v>1136</v>
      </c>
      <c r="D261" s="98" t="s">
        <v>2034</v>
      </c>
      <c r="E261" s="101">
        <v>20262</v>
      </c>
      <c r="F261" s="101">
        <v>219512</v>
      </c>
      <c r="G261" s="98">
        <v>0</v>
      </c>
      <c r="H261" s="101">
        <v>45919</v>
      </c>
      <c r="I261" s="98" t="s">
        <v>2035</v>
      </c>
      <c r="J261" s="98">
        <v>20262</v>
      </c>
      <c r="K261" s="101" t="s">
        <v>2035</v>
      </c>
      <c r="L261" s="98">
        <v>18936</v>
      </c>
      <c r="M261" s="98">
        <v>1326</v>
      </c>
      <c r="N261" s="98">
        <v>7</v>
      </c>
      <c r="O261" s="98" t="s">
        <v>2106</v>
      </c>
      <c r="P261" s="98" t="s">
        <v>2107</v>
      </c>
      <c r="Q261" s="98" t="s">
        <v>2076</v>
      </c>
      <c r="R261" s="98" t="s">
        <v>2108</v>
      </c>
      <c r="S261" t="s">
        <v>2068</v>
      </c>
      <c r="T261" t="s">
        <v>2109</v>
      </c>
    </row>
    <row r="262" spans="1:20" x14ac:dyDescent="0.25">
      <c r="A262" s="98" t="s">
        <v>33</v>
      </c>
      <c r="B262" s="98" t="s">
        <v>1450</v>
      </c>
      <c r="C262" s="98" t="s">
        <v>1136</v>
      </c>
      <c r="D262" s="98" t="s">
        <v>2034</v>
      </c>
      <c r="E262" s="101">
        <v>29008</v>
      </c>
      <c r="F262" s="101">
        <v>219512</v>
      </c>
      <c r="G262" s="98">
        <v>0</v>
      </c>
      <c r="H262" s="101">
        <v>45919</v>
      </c>
      <c r="I262" s="98" t="s">
        <v>2035</v>
      </c>
      <c r="J262" s="98">
        <v>29008</v>
      </c>
      <c r="K262" s="101" t="s">
        <v>2035</v>
      </c>
      <c r="L262" s="98">
        <v>27110</v>
      </c>
      <c r="M262" s="98">
        <v>1898</v>
      </c>
      <c r="N262" s="98">
        <v>7</v>
      </c>
      <c r="O262" s="98" t="s">
        <v>2106</v>
      </c>
      <c r="P262" s="98" t="s">
        <v>2107</v>
      </c>
      <c r="Q262" s="98" t="s">
        <v>2076</v>
      </c>
      <c r="R262" s="98" t="s">
        <v>2108</v>
      </c>
      <c r="S262" t="s">
        <v>2068</v>
      </c>
      <c r="T262" t="s">
        <v>2109</v>
      </c>
    </row>
    <row r="263" spans="1:20" x14ac:dyDescent="0.25">
      <c r="A263" s="98" t="s">
        <v>1451</v>
      </c>
      <c r="B263" s="98" t="s">
        <v>1452</v>
      </c>
      <c r="C263" s="98" t="s">
        <v>1136</v>
      </c>
      <c r="D263" s="98" t="s">
        <v>2034</v>
      </c>
      <c r="E263" s="101">
        <v>18936</v>
      </c>
      <c r="F263" s="101">
        <v>219512</v>
      </c>
      <c r="G263" s="98">
        <v>0</v>
      </c>
      <c r="H263" s="101">
        <v>45880</v>
      </c>
      <c r="I263" s="98" t="s">
        <v>2035</v>
      </c>
      <c r="J263" s="98">
        <v>18936</v>
      </c>
      <c r="K263" s="101" t="s">
        <v>2035</v>
      </c>
      <c r="L263" s="98">
        <v>17697</v>
      </c>
      <c r="M263" s="98">
        <v>1239</v>
      </c>
      <c r="N263" s="98">
        <v>7</v>
      </c>
      <c r="O263" s="98" t="s">
        <v>2106</v>
      </c>
      <c r="P263" s="98" t="s">
        <v>2107</v>
      </c>
      <c r="Q263" s="98" t="s">
        <v>2076</v>
      </c>
      <c r="R263" s="98" t="s">
        <v>2108</v>
      </c>
      <c r="S263" t="s">
        <v>2068</v>
      </c>
      <c r="T263" t="s">
        <v>2109</v>
      </c>
    </row>
    <row r="264" spans="1:20" x14ac:dyDescent="0.25">
      <c r="A264" s="98" t="s">
        <v>1453</v>
      </c>
      <c r="B264" s="98" t="s">
        <v>1454</v>
      </c>
      <c r="C264" s="98" t="s">
        <v>1136</v>
      </c>
      <c r="D264" s="98" t="s">
        <v>2034</v>
      </c>
      <c r="E264" s="101">
        <v>25803</v>
      </c>
      <c r="F264" s="101">
        <v>219512</v>
      </c>
      <c r="G264" s="98">
        <v>0</v>
      </c>
      <c r="H264" s="101">
        <v>45919</v>
      </c>
      <c r="I264" s="98" t="s">
        <v>2035</v>
      </c>
      <c r="J264" s="98">
        <v>25803</v>
      </c>
      <c r="K264" s="101" t="s">
        <v>2035</v>
      </c>
      <c r="L264" s="98">
        <v>24115</v>
      </c>
      <c r="M264" s="98">
        <v>1688</v>
      </c>
      <c r="N264" s="98">
        <v>7</v>
      </c>
      <c r="O264" s="98" t="s">
        <v>2106</v>
      </c>
      <c r="P264" s="98" t="s">
        <v>2107</v>
      </c>
      <c r="Q264" s="98" t="s">
        <v>2076</v>
      </c>
      <c r="R264" s="98" t="s">
        <v>2108</v>
      </c>
      <c r="S264" t="s">
        <v>2068</v>
      </c>
      <c r="T264" t="s">
        <v>2109</v>
      </c>
    </row>
    <row r="265" spans="1:20" x14ac:dyDescent="0.25">
      <c r="A265" s="98" t="s">
        <v>1455</v>
      </c>
      <c r="B265" s="98" t="s">
        <v>1456</v>
      </c>
      <c r="C265" s="98" t="s">
        <v>1136</v>
      </c>
      <c r="D265" s="98" t="s">
        <v>2034</v>
      </c>
      <c r="E265" s="101">
        <v>15994</v>
      </c>
      <c r="F265" s="101">
        <v>219512</v>
      </c>
      <c r="G265" s="98">
        <v>0</v>
      </c>
      <c r="H265" s="101">
        <v>45919</v>
      </c>
      <c r="I265" s="98" t="s">
        <v>2035</v>
      </c>
      <c r="J265" s="98">
        <v>15994</v>
      </c>
      <c r="K265" s="101" t="s">
        <v>2035</v>
      </c>
      <c r="L265" s="98">
        <v>14948</v>
      </c>
      <c r="M265" s="98">
        <v>1046</v>
      </c>
      <c r="N265" s="98">
        <v>7</v>
      </c>
      <c r="O265" s="98" t="s">
        <v>2106</v>
      </c>
      <c r="P265" s="98" t="s">
        <v>2107</v>
      </c>
      <c r="Q265" s="98" t="s">
        <v>2076</v>
      </c>
      <c r="R265" s="98" t="s">
        <v>2108</v>
      </c>
      <c r="S265" t="s">
        <v>2068</v>
      </c>
      <c r="T265" t="s">
        <v>2109</v>
      </c>
    </row>
    <row r="266" spans="1:20" x14ac:dyDescent="0.25">
      <c r="A266" s="98" t="s">
        <v>1457</v>
      </c>
      <c r="B266" s="98" t="s">
        <v>1458</v>
      </c>
      <c r="C266" s="98" t="s">
        <v>1136</v>
      </c>
      <c r="D266" s="98" t="s">
        <v>2034</v>
      </c>
      <c r="E266" s="101">
        <v>20262</v>
      </c>
      <c r="F266" s="101">
        <v>219512</v>
      </c>
      <c r="G266" s="98">
        <v>0</v>
      </c>
      <c r="H266" s="101">
        <v>45919</v>
      </c>
      <c r="I266" s="98" t="s">
        <v>2035</v>
      </c>
      <c r="J266" s="98">
        <v>20262</v>
      </c>
      <c r="K266" s="101" t="s">
        <v>2035</v>
      </c>
      <c r="L266" s="98">
        <v>18936</v>
      </c>
      <c r="M266" s="98">
        <v>1326</v>
      </c>
      <c r="N266" s="98">
        <v>7</v>
      </c>
      <c r="O266" s="98" t="s">
        <v>2106</v>
      </c>
      <c r="P266" s="98" t="s">
        <v>2107</v>
      </c>
      <c r="Q266" s="98" t="s">
        <v>2076</v>
      </c>
      <c r="R266" s="98" t="s">
        <v>2108</v>
      </c>
      <c r="S266" t="s">
        <v>2068</v>
      </c>
      <c r="T266" t="s">
        <v>2109</v>
      </c>
    </row>
    <row r="267" spans="1:20" x14ac:dyDescent="0.25">
      <c r="A267" s="98" t="s">
        <v>1459</v>
      </c>
      <c r="B267" s="98" t="s">
        <v>1460</v>
      </c>
      <c r="C267" s="98" t="s">
        <v>1136</v>
      </c>
      <c r="D267" s="98" t="s">
        <v>2034</v>
      </c>
      <c r="E267" s="101">
        <v>28739</v>
      </c>
      <c r="F267" s="101">
        <v>219512</v>
      </c>
      <c r="G267" s="98">
        <v>0</v>
      </c>
      <c r="H267" s="101">
        <v>45919</v>
      </c>
      <c r="I267" s="98" t="s">
        <v>2035</v>
      </c>
      <c r="J267" s="98">
        <v>28739</v>
      </c>
      <c r="K267" s="101" t="s">
        <v>2035</v>
      </c>
      <c r="L267" s="98">
        <v>26859</v>
      </c>
      <c r="M267" s="98">
        <v>1880</v>
      </c>
      <c r="N267" s="98">
        <v>7</v>
      </c>
      <c r="O267" s="98" t="s">
        <v>2106</v>
      </c>
      <c r="P267" s="98" t="s">
        <v>2107</v>
      </c>
      <c r="Q267" s="98" t="s">
        <v>2076</v>
      </c>
      <c r="R267" s="98" t="s">
        <v>2108</v>
      </c>
      <c r="S267" t="s">
        <v>2068</v>
      </c>
      <c r="T267" t="s">
        <v>2109</v>
      </c>
    </row>
    <row r="268" spans="1:20" x14ac:dyDescent="0.25">
      <c r="A268" s="98" t="s">
        <v>1461</v>
      </c>
      <c r="B268" s="98" t="s">
        <v>1462</v>
      </c>
      <c r="C268" s="98" t="s">
        <v>1136</v>
      </c>
      <c r="D268" s="98" t="s">
        <v>2034</v>
      </c>
      <c r="E268" s="101">
        <v>51488</v>
      </c>
      <c r="F268" s="101">
        <v>219512</v>
      </c>
      <c r="G268" s="98">
        <v>0</v>
      </c>
      <c r="H268" s="101">
        <v>45769</v>
      </c>
      <c r="I268" s="98" t="s">
        <v>2035</v>
      </c>
      <c r="J268" s="98">
        <v>51488</v>
      </c>
      <c r="K268" s="101" t="s">
        <v>2035</v>
      </c>
      <c r="L268" s="98">
        <v>53940</v>
      </c>
      <c r="M268" s="98">
        <v>-2452</v>
      </c>
      <c r="N268" s="98">
        <v>-4.55</v>
      </c>
      <c r="O268" s="98" t="s">
        <v>2106</v>
      </c>
      <c r="P268" s="98" t="s">
        <v>2107</v>
      </c>
      <c r="Q268" s="98" t="s">
        <v>2076</v>
      </c>
      <c r="R268" s="98" t="s">
        <v>2108</v>
      </c>
      <c r="S268" t="s">
        <v>2068</v>
      </c>
      <c r="T268" t="s">
        <v>2109</v>
      </c>
    </row>
    <row r="269" spans="1:20" x14ac:dyDescent="0.25">
      <c r="A269" s="98" t="s">
        <v>1463</v>
      </c>
      <c r="B269" s="98" t="s">
        <v>1464</v>
      </c>
      <c r="C269" s="98" t="s">
        <v>1136</v>
      </c>
      <c r="D269" s="98" t="s">
        <v>2034</v>
      </c>
      <c r="E269" s="101">
        <v>52049</v>
      </c>
      <c r="F269" s="101">
        <v>219512</v>
      </c>
      <c r="G269" s="98">
        <v>0</v>
      </c>
      <c r="H269" s="101">
        <v>45769</v>
      </c>
      <c r="I269" s="98" t="s">
        <v>2035</v>
      </c>
      <c r="J269" s="98">
        <v>52049</v>
      </c>
      <c r="K269" s="101" t="s">
        <v>2035</v>
      </c>
      <c r="L269" s="98">
        <v>54527</v>
      </c>
      <c r="M269" s="98">
        <v>-2478</v>
      </c>
      <c r="N269" s="98">
        <v>-4.54</v>
      </c>
      <c r="O269" s="98" t="s">
        <v>2106</v>
      </c>
      <c r="P269" s="98" t="s">
        <v>2107</v>
      </c>
      <c r="Q269" s="98" t="s">
        <v>2076</v>
      </c>
      <c r="R269" s="98" t="s">
        <v>2108</v>
      </c>
      <c r="S269" t="s">
        <v>2068</v>
      </c>
      <c r="T269" t="s">
        <v>2109</v>
      </c>
    </row>
    <row r="270" spans="1:20" x14ac:dyDescent="0.25">
      <c r="A270" s="98" t="s">
        <v>1465</v>
      </c>
      <c r="B270" s="98" t="s">
        <v>1466</v>
      </c>
      <c r="C270" s="98" t="s">
        <v>1136</v>
      </c>
      <c r="D270" s="98" t="s">
        <v>2034</v>
      </c>
      <c r="E270" s="101">
        <v>43986</v>
      </c>
      <c r="F270" s="101">
        <v>219512</v>
      </c>
      <c r="G270" s="98">
        <v>0</v>
      </c>
      <c r="H270" s="101">
        <v>45919</v>
      </c>
      <c r="I270" s="98" t="s">
        <v>2035</v>
      </c>
      <c r="J270" s="98">
        <v>43986</v>
      </c>
      <c r="K270" s="101" t="s">
        <v>2035</v>
      </c>
      <c r="L270" s="98">
        <v>41108</v>
      </c>
      <c r="M270" s="98">
        <v>2878</v>
      </c>
      <c r="N270" s="98">
        <v>7</v>
      </c>
      <c r="O270" s="98" t="s">
        <v>2106</v>
      </c>
      <c r="P270" s="98" t="s">
        <v>2107</v>
      </c>
      <c r="Q270" s="98" t="s">
        <v>2076</v>
      </c>
      <c r="R270" s="98" t="s">
        <v>2108</v>
      </c>
      <c r="S270" t="s">
        <v>2060</v>
      </c>
      <c r="T270" t="s">
        <v>2109</v>
      </c>
    </row>
    <row r="271" spans="1:20" x14ac:dyDescent="0.25">
      <c r="A271" s="98" t="s">
        <v>1467</v>
      </c>
      <c r="B271" s="98" t="s">
        <v>1468</v>
      </c>
      <c r="C271" s="98" t="s">
        <v>1136</v>
      </c>
      <c r="D271" s="98" t="s">
        <v>2034</v>
      </c>
      <c r="E271" s="101">
        <v>17240</v>
      </c>
      <c r="F271" s="101">
        <v>219512</v>
      </c>
      <c r="G271" s="98">
        <v>0</v>
      </c>
      <c r="H271" s="101">
        <v>45919</v>
      </c>
      <c r="I271" s="98" t="s">
        <v>2035</v>
      </c>
      <c r="J271" s="98">
        <v>17240</v>
      </c>
      <c r="K271" s="101" t="s">
        <v>2035</v>
      </c>
      <c r="L271" s="98">
        <v>16112</v>
      </c>
      <c r="M271" s="98">
        <v>1128</v>
      </c>
      <c r="N271" s="98">
        <v>7</v>
      </c>
      <c r="O271" s="98" t="s">
        <v>2106</v>
      </c>
      <c r="P271" s="98" t="s">
        <v>2107</v>
      </c>
      <c r="Q271" s="98" t="s">
        <v>2076</v>
      </c>
      <c r="R271" s="98" t="s">
        <v>2112</v>
      </c>
      <c r="S271" t="s">
        <v>2068</v>
      </c>
      <c r="T271" t="s">
        <v>2109</v>
      </c>
    </row>
    <row r="272" spans="1:20" x14ac:dyDescent="0.25">
      <c r="A272" s="98" t="s">
        <v>34</v>
      </c>
      <c r="B272" s="98" t="s">
        <v>1469</v>
      </c>
      <c r="C272" s="98" t="s">
        <v>1179</v>
      </c>
      <c r="D272" s="98" t="s">
        <v>2034</v>
      </c>
      <c r="E272" s="101">
        <v>17834</v>
      </c>
      <c r="F272" s="101">
        <v>219512</v>
      </c>
      <c r="G272" s="98">
        <v>0</v>
      </c>
      <c r="H272" s="101">
        <v>45919</v>
      </c>
      <c r="I272" s="98" t="s">
        <v>2035</v>
      </c>
      <c r="J272" s="98">
        <v>17834</v>
      </c>
      <c r="K272" s="101" t="s">
        <v>2035</v>
      </c>
      <c r="L272" s="98">
        <v>16667</v>
      </c>
      <c r="M272" s="98">
        <v>1167</v>
      </c>
      <c r="N272" s="98">
        <v>7</v>
      </c>
      <c r="O272" s="98" t="s">
        <v>2106</v>
      </c>
      <c r="P272" s="98" t="s">
        <v>2107</v>
      </c>
      <c r="Q272" s="98" t="s">
        <v>2076</v>
      </c>
      <c r="R272" s="98" t="s">
        <v>2112</v>
      </c>
      <c r="S272" t="s">
        <v>2068</v>
      </c>
      <c r="T272" t="s">
        <v>2109</v>
      </c>
    </row>
    <row r="273" spans="1:20" x14ac:dyDescent="0.25">
      <c r="A273" s="98" t="s">
        <v>35</v>
      </c>
      <c r="B273" s="98" t="s">
        <v>1470</v>
      </c>
      <c r="C273" s="98" t="s">
        <v>1136</v>
      </c>
      <c r="D273" s="98" t="s">
        <v>2034</v>
      </c>
      <c r="E273" s="101">
        <v>24577</v>
      </c>
      <c r="F273" s="101">
        <v>219512</v>
      </c>
      <c r="G273" s="98">
        <v>0</v>
      </c>
      <c r="H273" s="101">
        <v>45919</v>
      </c>
      <c r="I273" s="98" t="s">
        <v>2035</v>
      </c>
      <c r="J273" s="98">
        <v>24577</v>
      </c>
      <c r="K273" s="101" t="s">
        <v>2035</v>
      </c>
      <c r="L273" s="98">
        <v>22969</v>
      </c>
      <c r="M273" s="98">
        <v>1608</v>
      </c>
      <c r="N273" s="98">
        <v>7</v>
      </c>
      <c r="O273" s="98" t="s">
        <v>2106</v>
      </c>
      <c r="P273" s="98" t="s">
        <v>2107</v>
      </c>
      <c r="Q273" s="98" t="s">
        <v>2076</v>
      </c>
      <c r="R273" s="98" t="s">
        <v>2112</v>
      </c>
      <c r="S273" t="s">
        <v>2068</v>
      </c>
      <c r="T273" t="s">
        <v>2113</v>
      </c>
    </row>
    <row r="274" spans="1:20" x14ac:dyDescent="0.25">
      <c r="A274" s="98" t="s">
        <v>1471</v>
      </c>
      <c r="B274" s="98" t="s">
        <v>1472</v>
      </c>
      <c r="C274" s="98" t="s">
        <v>1136</v>
      </c>
      <c r="D274" s="98" t="s">
        <v>2034</v>
      </c>
      <c r="E274" s="101">
        <v>25873</v>
      </c>
      <c r="F274" s="101">
        <v>219512</v>
      </c>
      <c r="G274" s="98">
        <v>0</v>
      </c>
      <c r="H274" s="101">
        <v>45919</v>
      </c>
      <c r="I274" s="98" t="s">
        <v>2035</v>
      </c>
      <c r="J274" s="98">
        <v>25873</v>
      </c>
      <c r="K274" s="101" t="s">
        <v>2035</v>
      </c>
      <c r="L274" s="98">
        <v>24180</v>
      </c>
      <c r="M274" s="98">
        <v>1693</v>
      </c>
      <c r="N274" s="98">
        <v>7</v>
      </c>
      <c r="O274" s="98" t="s">
        <v>2106</v>
      </c>
      <c r="P274" s="98" t="s">
        <v>2107</v>
      </c>
      <c r="Q274" s="98" t="s">
        <v>2076</v>
      </c>
      <c r="R274" s="98" t="s">
        <v>2112</v>
      </c>
      <c r="S274" t="s">
        <v>2068</v>
      </c>
      <c r="T274" t="s">
        <v>2109</v>
      </c>
    </row>
    <row r="275" spans="1:20" x14ac:dyDescent="0.25">
      <c r="A275" s="98" t="s">
        <v>1473</v>
      </c>
      <c r="B275" s="98" t="s">
        <v>1474</v>
      </c>
      <c r="C275" s="98" t="s">
        <v>1136</v>
      </c>
      <c r="D275" s="98" t="s">
        <v>2034</v>
      </c>
      <c r="E275" s="101">
        <v>29304</v>
      </c>
      <c r="F275" s="101">
        <v>219512</v>
      </c>
      <c r="G275" s="98">
        <v>0</v>
      </c>
      <c r="H275" s="101">
        <v>45919</v>
      </c>
      <c r="I275" s="98" t="s">
        <v>2035</v>
      </c>
      <c r="J275" s="98">
        <v>29304</v>
      </c>
      <c r="K275" s="101" t="s">
        <v>2035</v>
      </c>
      <c r="L275" s="98">
        <v>27387</v>
      </c>
      <c r="M275" s="98">
        <v>1917</v>
      </c>
      <c r="N275" s="98">
        <v>7</v>
      </c>
      <c r="O275" s="98" t="s">
        <v>2106</v>
      </c>
      <c r="P275" s="98" t="s">
        <v>2107</v>
      </c>
      <c r="Q275" s="98" t="s">
        <v>2076</v>
      </c>
      <c r="R275" s="98" t="s">
        <v>2112</v>
      </c>
      <c r="S275" t="s">
        <v>2068</v>
      </c>
      <c r="T275" t="s">
        <v>2109</v>
      </c>
    </row>
    <row r="276" spans="1:20" x14ac:dyDescent="0.25">
      <c r="A276" s="98" t="s">
        <v>1475</v>
      </c>
      <c r="B276" s="98" t="s">
        <v>1476</v>
      </c>
      <c r="C276" s="98" t="s">
        <v>1136</v>
      </c>
      <c r="D276" s="98" t="s">
        <v>2034</v>
      </c>
      <c r="E276" s="101">
        <v>52047</v>
      </c>
      <c r="F276" s="101">
        <v>219512</v>
      </c>
      <c r="G276" s="98">
        <v>0</v>
      </c>
      <c r="H276" s="101">
        <v>45919</v>
      </c>
      <c r="I276" s="98" t="s">
        <v>2035</v>
      </c>
      <c r="J276" s="98">
        <v>52047</v>
      </c>
      <c r="K276" s="101" t="s">
        <v>2035</v>
      </c>
      <c r="L276" s="98">
        <v>48642</v>
      </c>
      <c r="M276" s="98">
        <v>3405</v>
      </c>
      <c r="N276" s="98">
        <v>7</v>
      </c>
      <c r="O276" s="98" t="s">
        <v>2106</v>
      </c>
      <c r="P276" s="98" t="s">
        <v>2107</v>
      </c>
      <c r="Q276" s="98" t="s">
        <v>2076</v>
      </c>
      <c r="R276" s="98" t="s">
        <v>2112</v>
      </c>
      <c r="S276" t="s">
        <v>2068</v>
      </c>
      <c r="T276" t="s">
        <v>2114</v>
      </c>
    </row>
    <row r="277" spans="1:20" x14ac:dyDescent="0.25">
      <c r="A277" s="98" t="s">
        <v>36</v>
      </c>
      <c r="B277" s="98" t="s">
        <v>1477</v>
      </c>
      <c r="C277" s="98" t="s">
        <v>1136</v>
      </c>
      <c r="D277" s="98" t="s">
        <v>2034</v>
      </c>
      <c r="E277" s="101">
        <v>24015</v>
      </c>
      <c r="F277" s="101">
        <v>219512</v>
      </c>
      <c r="G277" s="98">
        <v>0</v>
      </c>
      <c r="H277" s="101">
        <v>45919</v>
      </c>
      <c r="I277" s="98" t="s">
        <v>2035</v>
      </c>
      <c r="J277" s="98">
        <v>24015</v>
      </c>
      <c r="K277" s="101" t="s">
        <v>2035</v>
      </c>
      <c r="L277" s="98">
        <v>22444</v>
      </c>
      <c r="M277" s="98">
        <v>1571</v>
      </c>
      <c r="N277" s="98">
        <v>7</v>
      </c>
      <c r="O277" s="98" t="s">
        <v>2115</v>
      </c>
      <c r="P277" s="98" t="s">
        <v>2107</v>
      </c>
      <c r="Q277" s="98" t="s">
        <v>2076</v>
      </c>
      <c r="R277" s="98" t="s">
        <v>2116</v>
      </c>
      <c r="S277" t="s">
        <v>2068</v>
      </c>
      <c r="T277" t="s">
        <v>2109</v>
      </c>
    </row>
    <row r="278" spans="1:20" x14ac:dyDescent="0.25">
      <c r="A278" s="98" t="s">
        <v>37</v>
      </c>
      <c r="B278" s="98" t="s">
        <v>1478</v>
      </c>
      <c r="C278" s="98" t="s">
        <v>1136</v>
      </c>
      <c r="D278" s="98" t="s">
        <v>2034</v>
      </c>
      <c r="E278" s="101">
        <v>17641</v>
      </c>
      <c r="F278" s="101">
        <v>219512</v>
      </c>
      <c r="G278" s="98">
        <v>0</v>
      </c>
      <c r="H278" s="101">
        <v>45919</v>
      </c>
      <c r="I278" s="98" t="s">
        <v>2035</v>
      </c>
      <c r="J278" s="98">
        <v>17641</v>
      </c>
      <c r="K278" s="101" t="s">
        <v>2035</v>
      </c>
      <c r="L278" s="98">
        <v>16487</v>
      </c>
      <c r="M278" s="98">
        <v>1154</v>
      </c>
      <c r="N278" s="98">
        <v>7</v>
      </c>
      <c r="O278" s="98" t="s">
        <v>2115</v>
      </c>
      <c r="P278" s="98" t="s">
        <v>2107</v>
      </c>
      <c r="Q278" s="98" t="s">
        <v>2076</v>
      </c>
      <c r="R278" s="98" t="s">
        <v>2116</v>
      </c>
      <c r="S278" t="s">
        <v>2068</v>
      </c>
      <c r="T278" t="s">
        <v>2109</v>
      </c>
    </row>
    <row r="279" spans="1:20" x14ac:dyDescent="0.25">
      <c r="A279" s="98" t="s">
        <v>38</v>
      </c>
      <c r="B279" s="98" t="s">
        <v>1479</v>
      </c>
      <c r="C279" s="98" t="s">
        <v>1136</v>
      </c>
      <c r="D279" s="98" t="s">
        <v>2034</v>
      </c>
      <c r="E279" s="101">
        <v>28414</v>
      </c>
      <c r="F279" s="101">
        <v>219512</v>
      </c>
      <c r="G279" s="98">
        <v>0</v>
      </c>
      <c r="H279" s="101">
        <v>45919</v>
      </c>
      <c r="I279" s="98" t="s">
        <v>2035</v>
      </c>
      <c r="J279" s="98">
        <v>28414</v>
      </c>
      <c r="K279" s="101" t="s">
        <v>2035</v>
      </c>
      <c r="L279" s="98">
        <v>26555</v>
      </c>
      <c r="M279" s="98">
        <v>1859</v>
      </c>
      <c r="N279" s="98">
        <v>7</v>
      </c>
      <c r="O279" s="98" t="s">
        <v>2115</v>
      </c>
      <c r="P279" s="98" t="s">
        <v>2107</v>
      </c>
      <c r="Q279" s="98" t="s">
        <v>2076</v>
      </c>
      <c r="R279" s="98" t="s">
        <v>2116</v>
      </c>
      <c r="S279" t="s">
        <v>2060</v>
      </c>
      <c r="T279" t="s">
        <v>2109</v>
      </c>
    </row>
    <row r="280" spans="1:20" x14ac:dyDescent="0.25">
      <c r="A280" s="98" t="s">
        <v>39</v>
      </c>
      <c r="B280" s="98" t="s">
        <v>1480</v>
      </c>
      <c r="C280" s="98" t="s">
        <v>1136</v>
      </c>
      <c r="D280" s="98" t="s">
        <v>2034</v>
      </c>
      <c r="E280" s="101">
        <v>23927</v>
      </c>
      <c r="F280" s="101">
        <v>219512</v>
      </c>
      <c r="G280" s="98">
        <v>0</v>
      </c>
      <c r="H280" s="101">
        <v>45919</v>
      </c>
      <c r="I280" s="98" t="s">
        <v>2035</v>
      </c>
      <c r="J280" s="98">
        <v>23927</v>
      </c>
      <c r="K280" s="101" t="s">
        <v>2035</v>
      </c>
      <c r="L280" s="98">
        <v>22362</v>
      </c>
      <c r="M280" s="98">
        <v>1565</v>
      </c>
      <c r="N280" s="98">
        <v>7</v>
      </c>
      <c r="O280" s="98" t="s">
        <v>2115</v>
      </c>
      <c r="P280" s="98" t="s">
        <v>2107</v>
      </c>
      <c r="Q280" s="98" t="s">
        <v>2076</v>
      </c>
      <c r="R280" s="98" t="s">
        <v>2116</v>
      </c>
      <c r="S280" t="s">
        <v>2060</v>
      </c>
      <c r="T280" t="s">
        <v>2109</v>
      </c>
    </row>
    <row r="281" spans="1:20" x14ac:dyDescent="0.25">
      <c r="A281" s="98" t="s">
        <v>40</v>
      </c>
      <c r="B281" s="98" t="s">
        <v>1481</v>
      </c>
      <c r="C281" s="98" t="s">
        <v>1136</v>
      </c>
      <c r="D281" s="98" t="s">
        <v>2034</v>
      </c>
      <c r="E281" s="101">
        <v>20320</v>
      </c>
      <c r="F281" s="101">
        <v>219512</v>
      </c>
      <c r="G281" s="98">
        <v>0</v>
      </c>
      <c r="H281" s="101">
        <v>45919</v>
      </c>
      <c r="I281" s="98" t="s">
        <v>2035</v>
      </c>
      <c r="J281" s="98">
        <v>20320</v>
      </c>
      <c r="K281" s="101" t="s">
        <v>2035</v>
      </c>
      <c r="L281" s="98">
        <v>18991</v>
      </c>
      <c r="M281" s="98">
        <v>1329</v>
      </c>
      <c r="N281" s="98">
        <v>7</v>
      </c>
      <c r="O281" s="98" t="s">
        <v>2115</v>
      </c>
      <c r="P281" s="98" t="s">
        <v>2107</v>
      </c>
      <c r="Q281" s="98" t="s">
        <v>2076</v>
      </c>
      <c r="R281" s="98" t="s">
        <v>2116</v>
      </c>
      <c r="S281" t="s">
        <v>2060</v>
      </c>
      <c r="T281" t="s">
        <v>2109</v>
      </c>
    </row>
    <row r="282" spans="1:20" x14ac:dyDescent="0.25">
      <c r="A282" s="98" t="s">
        <v>41</v>
      </c>
      <c r="B282" s="98" t="s">
        <v>1482</v>
      </c>
      <c r="C282" s="98" t="s">
        <v>1136</v>
      </c>
      <c r="D282" s="98" t="s">
        <v>2034</v>
      </c>
      <c r="E282" s="101">
        <v>35048</v>
      </c>
      <c r="F282" s="101">
        <v>219512</v>
      </c>
      <c r="G282" s="98">
        <v>0</v>
      </c>
      <c r="H282" s="101">
        <v>45817</v>
      </c>
      <c r="I282" s="98" t="s">
        <v>2035</v>
      </c>
      <c r="J282" s="98">
        <v>35048</v>
      </c>
      <c r="K282" s="101" t="s">
        <v>2035</v>
      </c>
      <c r="L282" s="98">
        <v>46730</v>
      </c>
      <c r="M282" s="98">
        <v>-11682</v>
      </c>
      <c r="N282" s="98">
        <v>-25</v>
      </c>
      <c r="O282" s="98" t="s">
        <v>2115</v>
      </c>
      <c r="P282" s="98" t="s">
        <v>2107</v>
      </c>
      <c r="Q282" s="98" t="s">
        <v>2076</v>
      </c>
      <c r="R282" s="98" t="s">
        <v>2116</v>
      </c>
      <c r="S282" t="s">
        <v>2060</v>
      </c>
      <c r="T282" t="s">
        <v>2109</v>
      </c>
    </row>
    <row r="283" spans="1:20" x14ac:dyDescent="0.25">
      <c r="A283" s="98" t="s">
        <v>42</v>
      </c>
      <c r="B283" s="98" t="s">
        <v>1483</v>
      </c>
      <c r="C283" s="98" t="s">
        <v>1136</v>
      </c>
      <c r="D283" s="98" t="s">
        <v>2034</v>
      </c>
      <c r="E283" s="101">
        <v>32354</v>
      </c>
      <c r="F283" s="101">
        <v>219512</v>
      </c>
      <c r="G283" s="98">
        <v>0</v>
      </c>
      <c r="H283" s="101">
        <v>45817</v>
      </c>
      <c r="I283" s="98" t="s">
        <v>2035</v>
      </c>
      <c r="J283" s="98">
        <v>32354</v>
      </c>
      <c r="K283" s="101" t="s">
        <v>2035</v>
      </c>
      <c r="L283" s="98">
        <v>35949</v>
      </c>
      <c r="M283" s="98">
        <v>-3595</v>
      </c>
      <c r="N283" s="98">
        <v>-10</v>
      </c>
      <c r="O283" s="98" t="s">
        <v>2115</v>
      </c>
      <c r="P283" s="98" t="s">
        <v>2107</v>
      </c>
      <c r="Q283" s="98" t="s">
        <v>2076</v>
      </c>
      <c r="R283" s="98" t="s">
        <v>2116</v>
      </c>
      <c r="S283" t="s">
        <v>2060</v>
      </c>
      <c r="T283" t="s">
        <v>2109</v>
      </c>
    </row>
    <row r="284" spans="1:20" x14ac:dyDescent="0.25">
      <c r="A284" s="98" t="s">
        <v>43</v>
      </c>
      <c r="B284" s="98" t="s">
        <v>1484</v>
      </c>
      <c r="C284" s="98" t="s">
        <v>1136</v>
      </c>
      <c r="D284" s="98" t="s">
        <v>2034</v>
      </c>
      <c r="E284" s="101">
        <v>34144</v>
      </c>
      <c r="F284" s="101">
        <v>219512</v>
      </c>
      <c r="G284" s="98">
        <v>0</v>
      </c>
      <c r="H284" s="101">
        <v>45919</v>
      </c>
      <c r="I284" s="98" t="s">
        <v>2035</v>
      </c>
      <c r="J284" s="98">
        <v>34144</v>
      </c>
      <c r="K284" s="101" t="s">
        <v>2035</v>
      </c>
      <c r="L284" s="98">
        <v>31910</v>
      </c>
      <c r="M284" s="98">
        <v>2234</v>
      </c>
      <c r="N284" s="98">
        <v>7</v>
      </c>
      <c r="O284" s="98" t="s">
        <v>2115</v>
      </c>
      <c r="P284" s="98" t="s">
        <v>2107</v>
      </c>
      <c r="Q284" s="98" t="s">
        <v>2076</v>
      </c>
      <c r="R284" s="98" t="s">
        <v>2116</v>
      </c>
      <c r="S284" t="s">
        <v>2068</v>
      </c>
      <c r="T284" t="s">
        <v>2109</v>
      </c>
    </row>
    <row r="285" spans="1:20" x14ac:dyDescent="0.25">
      <c r="A285" s="98" t="s">
        <v>44</v>
      </c>
      <c r="B285" s="98" t="s">
        <v>1485</v>
      </c>
      <c r="C285" s="98" t="s">
        <v>1136</v>
      </c>
      <c r="D285" s="98" t="s">
        <v>2034</v>
      </c>
      <c r="E285" s="101">
        <v>41415</v>
      </c>
      <c r="F285" s="101">
        <v>219512</v>
      </c>
      <c r="G285" s="98">
        <v>0</v>
      </c>
      <c r="H285" s="101">
        <v>45919</v>
      </c>
      <c r="I285" s="98" t="s">
        <v>2035</v>
      </c>
      <c r="J285" s="98">
        <v>41415</v>
      </c>
      <c r="K285" s="101" t="s">
        <v>2035</v>
      </c>
      <c r="L285" s="98">
        <v>38706</v>
      </c>
      <c r="M285" s="98">
        <v>2709</v>
      </c>
      <c r="N285" s="98">
        <v>7</v>
      </c>
      <c r="O285" s="98" t="s">
        <v>2115</v>
      </c>
      <c r="P285" s="98" t="s">
        <v>2107</v>
      </c>
      <c r="Q285" s="98" t="s">
        <v>2076</v>
      </c>
      <c r="R285" s="98" t="s">
        <v>2116</v>
      </c>
      <c r="S285" t="s">
        <v>2068</v>
      </c>
      <c r="T285" t="s">
        <v>2109</v>
      </c>
    </row>
    <row r="286" spans="1:20" x14ac:dyDescent="0.25">
      <c r="A286" s="98" t="s">
        <v>45</v>
      </c>
      <c r="B286" s="98" t="s">
        <v>1486</v>
      </c>
      <c r="C286" s="98" t="s">
        <v>1136</v>
      </c>
      <c r="D286" s="98" t="s">
        <v>2034</v>
      </c>
      <c r="E286" s="101">
        <v>31013</v>
      </c>
      <c r="F286" s="101">
        <v>219512</v>
      </c>
      <c r="G286" s="98">
        <v>0</v>
      </c>
      <c r="H286" s="101">
        <v>45919</v>
      </c>
      <c r="I286" s="98" t="s">
        <v>2035</v>
      </c>
      <c r="J286" s="98">
        <v>31013</v>
      </c>
      <c r="K286" s="101" t="s">
        <v>2035</v>
      </c>
      <c r="L286" s="98">
        <v>28984</v>
      </c>
      <c r="M286" s="98">
        <v>2029</v>
      </c>
      <c r="N286" s="98">
        <v>7</v>
      </c>
      <c r="O286" s="98" t="s">
        <v>2115</v>
      </c>
      <c r="P286" s="98" t="s">
        <v>2107</v>
      </c>
      <c r="Q286" s="98" t="s">
        <v>2076</v>
      </c>
      <c r="R286" s="98" t="s">
        <v>2116</v>
      </c>
      <c r="S286" t="s">
        <v>2060</v>
      </c>
      <c r="T286" t="s">
        <v>2109</v>
      </c>
    </row>
    <row r="287" spans="1:20" x14ac:dyDescent="0.25">
      <c r="A287" s="98" t="s">
        <v>46</v>
      </c>
      <c r="B287" s="98" t="s">
        <v>1487</v>
      </c>
      <c r="C287" s="98" t="s">
        <v>1136</v>
      </c>
      <c r="D287" s="98" t="s">
        <v>2034</v>
      </c>
      <c r="E287" s="101">
        <v>22285</v>
      </c>
      <c r="F287" s="101">
        <v>219512</v>
      </c>
      <c r="G287" s="98">
        <v>0</v>
      </c>
      <c r="H287" s="101">
        <v>45919</v>
      </c>
      <c r="I287" s="98" t="s">
        <v>2035</v>
      </c>
      <c r="J287" s="98">
        <v>22285</v>
      </c>
      <c r="K287" s="101" t="s">
        <v>2035</v>
      </c>
      <c r="L287" s="98">
        <v>20827</v>
      </c>
      <c r="M287" s="98">
        <v>1458</v>
      </c>
      <c r="N287" s="98">
        <v>7</v>
      </c>
      <c r="O287" s="98" t="s">
        <v>2115</v>
      </c>
      <c r="P287" s="98" t="s">
        <v>2107</v>
      </c>
      <c r="Q287" s="98" t="s">
        <v>2076</v>
      </c>
      <c r="R287" s="98" t="s">
        <v>2116</v>
      </c>
      <c r="S287" t="s">
        <v>2058</v>
      </c>
      <c r="T287" t="s">
        <v>2109</v>
      </c>
    </row>
    <row r="288" spans="1:20" x14ac:dyDescent="0.25">
      <c r="A288" s="98" t="s">
        <v>47</v>
      </c>
      <c r="B288" s="98" t="s">
        <v>1488</v>
      </c>
      <c r="C288" s="98" t="s">
        <v>1136</v>
      </c>
      <c r="D288" s="98" t="s">
        <v>2034</v>
      </c>
      <c r="E288" s="101">
        <v>20850</v>
      </c>
      <c r="F288" s="101">
        <v>219512</v>
      </c>
      <c r="G288" s="98">
        <v>0</v>
      </c>
      <c r="H288" s="101">
        <v>45919</v>
      </c>
      <c r="I288" s="98" t="s">
        <v>2035</v>
      </c>
      <c r="J288" s="98">
        <v>20850</v>
      </c>
      <c r="K288" s="101" t="s">
        <v>2035</v>
      </c>
      <c r="L288" s="98">
        <v>19486</v>
      </c>
      <c r="M288" s="98">
        <v>1364</v>
      </c>
      <c r="N288" s="98">
        <v>7</v>
      </c>
      <c r="O288" s="98" t="s">
        <v>2115</v>
      </c>
      <c r="P288" s="98" t="s">
        <v>2107</v>
      </c>
      <c r="Q288" s="98" t="s">
        <v>2076</v>
      </c>
      <c r="R288" s="98" t="s">
        <v>2116</v>
      </c>
      <c r="S288" t="s">
        <v>2058</v>
      </c>
      <c r="T288" t="s">
        <v>2109</v>
      </c>
    </row>
    <row r="289" spans="1:20" x14ac:dyDescent="0.25">
      <c r="A289" s="98" t="s">
        <v>48</v>
      </c>
      <c r="B289" s="98" t="s">
        <v>1489</v>
      </c>
      <c r="C289" s="98" t="s">
        <v>1136</v>
      </c>
      <c r="D289" s="98" t="s">
        <v>2034</v>
      </c>
      <c r="E289" s="101">
        <v>24738</v>
      </c>
      <c r="F289" s="101">
        <v>219512</v>
      </c>
      <c r="G289" s="98">
        <v>0</v>
      </c>
      <c r="H289" s="101">
        <v>45919</v>
      </c>
      <c r="I289" s="98" t="s">
        <v>2035</v>
      </c>
      <c r="J289" s="98">
        <v>24738</v>
      </c>
      <c r="K289" s="101" t="s">
        <v>2035</v>
      </c>
      <c r="L289" s="98">
        <v>23120</v>
      </c>
      <c r="M289" s="98">
        <v>1618</v>
      </c>
      <c r="N289" s="98">
        <v>7</v>
      </c>
      <c r="O289" s="98" t="s">
        <v>2115</v>
      </c>
      <c r="P289" s="98" t="s">
        <v>2107</v>
      </c>
      <c r="Q289" s="98" t="s">
        <v>2076</v>
      </c>
      <c r="R289" s="98" t="s">
        <v>2116</v>
      </c>
      <c r="S289" t="s">
        <v>2058</v>
      </c>
      <c r="T289" t="s">
        <v>2109</v>
      </c>
    </row>
    <row r="290" spans="1:20" x14ac:dyDescent="0.25">
      <c r="A290" s="98" t="s">
        <v>998</v>
      </c>
      <c r="B290" s="98" t="s">
        <v>1006</v>
      </c>
      <c r="C290" s="98" t="s">
        <v>1136</v>
      </c>
      <c r="D290" s="98" t="s">
        <v>2034</v>
      </c>
      <c r="E290" s="101">
        <v>56097</v>
      </c>
      <c r="F290" s="101">
        <v>219512</v>
      </c>
      <c r="G290" s="98">
        <v>0</v>
      </c>
      <c r="H290" s="101">
        <v>45919</v>
      </c>
      <c r="I290" s="98" t="s">
        <v>2035</v>
      </c>
      <c r="J290" s="98">
        <v>56097</v>
      </c>
      <c r="K290" s="101" t="s">
        <v>2035</v>
      </c>
      <c r="L290" s="98">
        <v>49643</v>
      </c>
      <c r="M290" s="98">
        <v>6454</v>
      </c>
      <c r="N290" s="98">
        <v>13</v>
      </c>
      <c r="O290" s="98" t="s">
        <v>2115</v>
      </c>
      <c r="P290" s="98" t="s">
        <v>2107</v>
      </c>
      <c r="Q290" s="98" t="s">
        <v>2076</v>
      </c>
      <c r="R290" s="98" t="s">
        <v>2116</v>
      </c>
      <c r="S290" t="s">
        <v>2047</v>
      </c>
      <c r="T290" t="s">
        <v>2109</v>
      </c>
    </row>
    <row r="291" spans="1:20" x14ac:dyDescent="0.25">
      <c r="A291" s="98" t="s">
        <v>2117</v>
      </c>
      <c r="B291" s="98" t="s">
        <v>2118</v>
      </c>
      <c r="C291" s="98" t="s">
        <v>1136</v>
      </c>
      <c r="D291" s="98" t="s">
        <v>2034</v>
      </c>
      <c r="E291" s="101">
        <v>81096</v>
      </c>
      <c r="F291" s="101">
        <v>219512</v>
      </c>
      <c r="G291" s="98">
        <v>0</v>
      </c>
      <c r="H291" s="101">
        <v>45919</v>
      </c>
      <c r="I291" s="98" t="s">
        <v>2035</v>
      </c>
      <c r="J291" s="98">
        <v>81096</v>
      </c>
      <c r="K291" s="101" t="s">
        <v>2054</v>
      </c>
      <c r="L291" s="98">
        <v>0</v>
      </c>
      <c r="M291" s="98">
        <v>81096</v>
      </c>
      <c r="N291" s="98">
        <v>0</v>
      </c>
      <c r="O291" s="98" t="s">
        <v>2115</v>
      </c>
      <c r="P291" s="98" t="s">
        <v>2107</v>
      </c>
      <c r="Q291" s="98" t="s">
        <v>2076</v>
      </c>
      <c r="R291" s="98" t="s">
        <v>2116</v>
      </c>
      <c r="S291" t="s">
        <v>2047</v>
      </c>
      <c r="T291" t="s">
        <v>2109</v>
      </c>
    </row>
    <row r="292" spans="1:20" x14ac:dyDescent="0.25">
      <c r="A292" s="98" t="s">
        <v>2119</v>
      </c>
      <c r="B292" s="98" t="s">
        <v>2120</v>
      </c>
      <c r="C292" s="98" t="s">
        <v>1136</v>
      </c>
      <c r="D292" s="98" t="s">
        <v>2034</v>
      </c>
      <c r="E292" s="101">
        <v>110765</v>
      </c>
      <c r="F292" s="101">
        <v>219512</v>
      </c>
      <c r="G292" s="98">
        <v>0</v>
      </c>
      <c r="H292" s="101">
        <v>45919</v>
      </c>
      <c r="I292" s="98" t="s">
        <v>2035</v>
      </c>
      <c r="J292" s="98">
        <v>110765</v>
      </c>
      <c r="K292" s="101" t="s">
        <v>2054</v>
      </c>
      <c r="L292" s="98">
        <v>0</v>
      </c>
      <c r="M292" s="98">
        <v>110765</v>
      </c>
      <c r="N292" s="98">
        <v>0</v>
      </c>
      <c r="O292" s="98" t="s">
        <v>2115</v>
      </c>
      <c r="P292" s="98" t="s">
        <v>2107</v>
      </c>
      <c r="Q292" s="98" t="s">
        <v>2076</v>
      </c>
      <c r="R292" s="98" t="s">
        <v>2116</v>
      </c>
      <c r="S292" t="s">
        <v>2056</v>
      </c>
      <c r="T292" t="s">
        <v>2109</v>
      </c>
    </row>
    <row r="293" spans="1:20" x14ac:dyDescent="0.25">
      <c r="A293" s="98" t="s">
        <v>2011</v>
      </c>
      <c r="B293" s="98" t="s">
        <v>2121</v>
      </c>
      <c r="C293" s="98" t="s">
        <v>1136</v>
      </c>
      <c r="D293" s="98" t="s">
        <v>2034</v>
      </c>
      <c r="E293" s="101">
        <v>44331</v>
      </c>
      <c r="F293" s="101">
        <v>219512</v>
      </c>
      <c r="G293" s="98">
        <v>0</v>
      </c>
      <c r="H293" s="101">
        <v>45919</v>
      </c>
      <c r="I293" s="98" t="s">
        <v>2035</v>
      </c>
      <c r="J293" s="98">
        <v>44331</v>
      </c>
      <c r="K293" s="101" t="s">
        <v>2054</v>
      </c>
      <c r="L293" s="98">
        <v>0</v>
      </c>
      <c r="M293" s="98">
        <v>44331</v>
      </c>
      <c r="N293" s="98">
        <v>0</v>
      </c>
      <c r="O293" s="98" t="s">
        <v>2115</v>
      </c>
      <c r="P293" s="98" t="s">
        <v>2107</v>
      </c>
      <c r="Q293" s="98" t="s">
        <v>2076</v>
      </c>
      <c r="R293" s="98" t="s">
        <v>2116</v>
      </c>
      <c r="S293" t="s">
        <v>2060</v>
      </c>
      <c r="T293" t="s">
        <v>2109</v>
      </c>
    </row>
    <row r="294" spans="1:20" x14ac:dyDescent="0.25">
      <c r="A294" s="98" t="s">
        <v>2012</v>
      </c>
      <c r="B294" s="98" t="s">
        <v>2122</v>
      </c>
      <c r="C294" s="98" t="s">
        <v>1136</v>
      </c>
      <c r="D294" s="98" t="s">
        <v>2034</v>
      </c>
      <c r="E294" s="101">
        <v>48196</v>
      </c>
      <c r="F294" s="101">
        <v>219512</v>
      </c>
      <c r="G294" s="98">
        <v>0</v>
      </c>
      <c r="H294" s="101">
        <v>45919</v>
      </c>
      <c r="I294" s="98" t="s">
        <v>2035</v>
      </c>
      <c r="J294" s="98">
        <v>48196</v>
      </c>
      <c r="K294" s="101" t="s">
        <v>2054</v>
      </c>
      <c r="L294" s="98">
        <v>0</v>
      </c>
      <c r="M294" s="98">
        <v>48196</v>
      </c>
      <c r="N294" s="98">
        <v>0</v>
      </c>
      <c r="O294" s="98" t="s">
        <v>2115</v>
      </c>
      <c r="P294" s="98" t="s">
        <v>2107</v>
      </c>
      <c r="Q294" s="98" t="s">
        <v>2076</v>
      </c>
      <c r="R294" s="98" t="s">
        <v>2116</v>
      </c>
      <c r="S294" t="s">
        <v>2060</v>
      </c>
      <c r="T294" t="s">
        <v>2109</v>
      </c>
    </row>
    <row r="295" spans="1:20" x14ac:dyDescent="0.25">
      <c r="A295" s="98" t="s">
        <v>2013</v>
      </c>
      <c r="B295" s="98" t="s">
        <v>2123</v>
      </c>
      <c r="C295" s="98" t="s">
        <v>1136</v>
      </c>
      <c r="D295" s="98" t="s">
        <v>2034</v>
      </c>
      <c r="E295" s="101">
        <v>50027</v>
      </c>
      <c r="F295" s="101">
        <v>219512</v>
      </c>
      <c r="G295" s="98">
        <v>0</v>
      </c>
      <c r="H295" s="101">
        <v>45919</v>
      </c>
      <c r="I295" s="98" t="s">
        <v>2035</v>
      </c>
      <c r="J295" s="98">
        <v>50027</v>
      </c>
      <c r="K295" s="101" t="s">
        <v>2054</v>
      </c>
      <c r="L295" s="98">
        <v>0</v>
      </c>
      <c r="M295" s="98">
        <v>50027</v>
      </c>
      <c r="N295" s="98">
        <v>0</v>
      </c>
      <c r="O295" s="98" t="s">
        <v>2115</v>
      </c>
      <c r="P295" s="98" t="s">
        <v>2107</v>
      </c>
      <c r="Q295" s="98" t="s">
        <v>2076</v>
      </c>
      <c r="R295" s="98" t="s">
        <v>2116</v>
      </c>
      <c r="S295" t="s">
        <v>2060</v>
      </c>
      <c r="T295" t="s">
        <v>2109</v>
      </c>
    </row>
    <row r="296" spans="1:20" x14ac:dyDescent="0.25">
      <c r="A296" s="98" t="s">
        <v>2014</v>
      </c>
      <c r="B296" s="98" t="s">
        <v>2124</v>
      </c>
      <c r="C296" s="98" t="s">
        <v>1136</v>
      </c>
      <c r="D296" s="98" t="s">
        <v>2034</v>
      </c>
      <c r="E296" s="101">
        <v>48961</v>
      </c>
      <c r="F296" s="101">
        <v>219512</v>
      </c>
      <c r="G296" s="98">
        <v>0</v>
      </c>
      <c r="H296" s="101">
        <v>45919</v>
      </c>
      <c r="I296" s="98" t="s">
        <v>2035</v>
      </c>
      <c r="J296" s="98">
        <v>48961</v>
      </c>
      <c r="K296" s="101" t="s">
        <v>2054</v>
      </c>
      <c r="L296" s="98">
        <v>0</v>
      </c>
      <c r="M296" s="98">
        <v>48961</v>
      </c>
      <c r="N296" s="98">
        <v>0</v>
      </c>
      <c r="O296" s="98" t="s">
        <v>2115</v>
      </c>
      <c r="P296" s="98" t="s">
        <v>2107</v>
      </c>
      <c r="Q296" s="98" t="s">
        <v>2076</v>
      </c>
      <c r="R296" s="98" t="s">
        <v>2116</v>
      </c>
      <c r="S296" t="s">
        <v>2060</v>
      </c>
      <c r="T296" t="s">
        <v>2109</v>
      </c>
    </row>
    <row r="297" spans="1:20" x14ac:dyDescent="0.25">
      <c r="A297" s="98" t="s">
        <v>2125</v>
      </c>
      <c r="B297" s="98" t="s">
        <v>2126</v>
      </c>
      <c r="C297" s="98" t="s">
        <v>1136</v>
      </c>
      <c r="D297" s="98" t="s">
        <v>2034</v>
      </c>
      <c r="E297" s="101">
        <v>93203</v>
      </c>
      <c r="F297" s="101">
        <v>219512</v>
      </c>
      <c r="G297" s="98">
        <v>0</v>
      </c>
      <c r="H297" s="101">
        <v>45919</v>
      </c>
      <c r="I297" s="98" t="s">
        <v>2035</v>
      </c>
      <c r="J297" s="98">
        <v>93203</v>
      </c>
      <c r="K297" s="101" t="s">
        <v>2054</v>
      </c>
      <c r="L297" s="98">
        <v>0</v>
      </c>
      <c r="M297" s="98">
        <v>93203</v>
      </c>
      <c r="N297" s="98">
        <v>0</v>
      </c>
      <c r="O297" s="98" t="s">
        <v>2115</v>
      </c>
      <c r="P297" s="98" t="s">
        <v>2107</v>
      </c>
      <c r="Q297" s="98" t="s">
        <v>2076</v>
      </c>
      <c r="R297" s="98" t="s">
        <v>2116</v>
      </c>
      <c r="S297" t="s">
        <v>2047</v>
      </c>
      <c r="T297" t="s">
        <v>2109</v>
      </c>
    </row>
    <row r="298" spans="1:20" x14ac:dyDescent="0.25">
      <c r="A298" s="98" t="s">
        <v>2127</v>
      </c>
      <c r="B298" s="98" t="s">
        <v>2128</v>
      </c>
      <c r="C298" s="98" t="s">
        <v>1136</v>
      </c>
      <c r="D298" s="98" t="s">
        <v>2034</v>
      </c>
      <c r="E298" s="101">
        <v>140751</v>
      </c>
      <c r="F298" s="101">
        <v>219512</v>
      </c>
      <c r="G298" s="98">
        <v>0</v>
      </c>
      <c r="H298" s="101">
        <v>45919</v>
      </c>
      <c r="I298" s="98" t="s">
        <v>2035</v>
      </c>
      <c r="J298" s="98">
        <v>140751</v>
      </c>
      <c r="K298" s="101" t="s">
        <v>2054</v>
      </c>
      <c r="L298" s="98">
        <v>0</v>
      </c>
      <c r="M298" s="98">
        <v>140751</v>
      </c>
      <c r="N298" s="98">
        <v>0</v>
      </c>
      <c r="O298" s="98" t="s">
        <v>2115</v>
      </c>
      <c r="P298" s="98" t="s">
        <v>2107</v>
      </c>
      <c r="Q298" s="98" t="s">
        <v>2076</v>
      </c>
      <c r="R298" s="98" t="s">
        <v>2116</v>
      </c>
      <c r="S298" t="s">
        <v>2047</v>
      </c>
      <c r="T298" t="s">
        <v>2109</v>
      </c>
    </row>
    <row r="299" spans="1:20" x14ac:dyDescent="0.25">
      <c r="A299" s="98" t="s">
        <v>2129</v>
      </c>
      <c r="B299" s="98" t="s">
        <v>2130</v>
      </c>
      <c r="C299" s="98" t="s">
        <v>1136</v>
      </c>
      <c r="D299" s="98" t="s">
        <v>2034</v>
      </c>
      <c r="E299" s="101">
        <v>100553</v>
      </c>
      <c r="F299" s="101">
        <v>219512</v>
      </c>
      <c r="G299" s="98">
        <v>0</v>
      </c>
      <c r="H299" s="101">
        <v>45919</v>
      </c>
      <c r="I299" s="98" t="s">
        <v>2035</v>
      </c>
      <c r="J299" s="98">
        <v>100553</v>
      </c>
      <c r="K299" s="101" t="s">
        <v>2054</v>
      </c>
      <c r="L299" s="98">
        <v>0</v>
      </c>
      <c r="M299" s="98">
        <v>100553</v>
      </c>
      <c r="N299" s="98">
        <v>0</v>
      </c>
      <c r="O299" s="98" t="s">
        <v>2115</v>
      </c>
      <c r="P299" s="98" t="s">
        <v>2107</v>
      </c>
      <c r="Q299" s="98" t="s">
        <v>2076</v>
      </c>
      <c r="R299" s="98" t="s">
        <v>2116</v>
      </c>
      <c r="S299" t="s">
        <v>2047</v>
      </c>
      <c r="T299" t="s">
        <v>2109</v>
      </c>
    </row>
    <row r="300" spans="1:20" x14ac:dyDescent="0.25">
      <c r="A300" s="98" t="s">
        <v>2131</v>
      </c>
      <c r="B300" s="98" t="s">
        <v>2132</v>
      </c>
      <c r="C300" s="98" t="s">
        <v>1136</v>
      </c>
      <c r="D300" s="98" t="s">
        <v>2034</v>
      </c>
      <c r="E300" s="101">
        <v>20461</v>
      </c>
      <c r="F300" s="101">
        <v>219512</v>
      </c>
      <c r="G300" s="98">
        <v>0</v>
      </c>
      <c r="H300" s="101">
        <v>45919</v>
      </c>
      <c r="I300" s="98" t="s">
        <v>2035</v>
      </c>
      <c r="J300" s="98">
        <v>20461</v>
      </c>
      <c r="K300" s="101" t="s">
        <v>2054</v>
      </c>
      <c r="L300" s="98">
        <v>0</v>
      </c>
      <c r="M300" s="98">
        <v>20461</v>
      </c>
      <c r="N300" s="98">
        <v>0</v>
      </c>
      <c r="O300" s="98" t="s">
        <v>2115</v>
      </c>
      <c r="P300" s="98" t="s">
        <v>2107</v>
      </c>
      <c r="Q300" s="98" t="s">
        <v>2076</v>
      </c>
      <c r="R300" s="98" t="s">
        <v>2116</v>
      </c>
      <c r="S300" t="s">
        <v>2133</v>
      </c>
      <c r="T300" t="s">
        <v>2109</v>
      </c>
    </row>
    <row r="301" spans="1:20" x14ac:dyDescent="0.25">
      <c r="A301" s="98" t="s">
        <v>2134</v>
      </c>
      <c r="B301" s="98" t="s">
        <v>2135</v>
      </c>
      <c r="C301" s="98" t="s">
        <v>1136</v>
      </c>
      <c r="D301" s="98" t="s">
        <v>2034</v>
      </c>
      <c r="E301" s="101">
        <v>40619</v>
      </c>
      <c r="F301" s="101">
        <v>219512</v>
      </c>
      <c r="G301" s="98">
        <v>0</v>
      </c>
      <c r="H301" s="101">
        <v>45919</v>
      </c>
      <c r="I301" s="98" t="s">
        <v>2035</v>
      </c>
      <c r="J301" s="98">
        <v>40619</v>
      </c>
      <c r="K301" s="101" t="s">
        <v>2054</v>
      </c>
      <c r="L301" s="98">
        <v>0</v>
      </c>
      <c r="M301" s="98">
        <v>40619</v>
      </c>
      <c r="N301" s="98">
        <v>0</v>
      </c>
      <c r="O301" s="98" t="s">
        <v>2115</v>
      </c>
      <c r="P301" s="98" t="s">
        <v>2107</v>
      </c>
      <c r="Q301" s="98" t="s">
        <v>2076</v>
      </c>
      <c r="R301" s="98" t="s">
        <v>2116</v>
      </c>
      <c r="S301" t="s">
        <v>2133</v>
      </c>
      <c r="T301" t="s">
        <v>2109</v>
      </c>
    </row>
    <row r="302" spans="1:20" x14ac:dyDescent="0.25">
      <c r="A302" s="98" t="s">
        <v>2136</v>
      </c>
      <c r="B302" s="98" t="s">
        <v>2137</v>
      </c>
      <c r="C302" s="98" t="s">
        <v>1136</v>
      </c>
      <c r="D302" s="98" t="s">
        <v>2034</v>
      </c>
      <c r="E302" s="101">
        <v>14470</v>
      </c>
      <c r="F302" s="101">
        <v>219512</v>
      </c>
      <c r="G302" s="98">
        <v>0</v>
      </c>
      <c r="H302" s="101">
        <v>45919</v>
      </c>
      <c r="I302" s="98" t="s">
        <v>2035</v>
      </c>
      <c r="J302" s="98">
        <v>14470</v>
      </c>
      <c r="K302" s="101" t="s">
        <v>2054</v>
      </c>
      <c r="L302" s="98">
        <v>0</v>
      </c>
      <c r="M302" s="98">
        <v>14470</v>
      </c>
      <c r="N302" s="98">
        <v>0</v>
      </c>
      <c r="O302" s="98" t="s">
        <v>2115</v>
      </c>
      <c r="P302" s="98" t="s">
        <v>2107</v>
      </c>
      <c r="Q302" s="98" t="s">
        <v>2076</v>
      </c>
      <c r="R302" s="98" t="s">
        <v>2116</v>
      </c>
      <c r="S302" t="s">
        <v>2133</v>
      </c>
      <c r="T302" t="s">
        <v>2109</v>
      </c>
    </row>
    <row r="303" spans="1:20" x14ac:dyDescent="0.25">
      <c r="A303" s="98" t="s">
        <v>1000</v>
      </c>
      <c r="B303" s="98" t="s">
        <v>1007</v>
      </c>
      <c r="C303" s="98" t="s">
        <v>1136</v>
      </c>
      <c r="D303" s="98" t="s">
        <v>2034</v>
      </c>
      <c r="E303" s="101">
        <v>125143</v>
      </c>
      <c r="F303" s="101">
        <v>219512</v>
      </c>
      <c r="G303" s="98">
        <v>0</v>
      </c>
      <c r="H303" s="101">
        <v>45919</v>
      </c>
      <c r="I303" s="98" t="s">
        <v>2035</v>
      </c>
      <c r="J303" s="98">
        <v>125143</v>
      </c>
      <c r="K303" s="101" t="s">
        <v>2035</v>
      </c>
      <c r="L303" s="98">
        <v>108820</v>
      </c>
      <c r="M303" s="98">
        <v>16323</v>
      </c>
      <c r="N303" s="98">
        <v>15</v>
      </c>
      <c r="O303" s="98" t="s">
        <v>2106</v>
      </c>
      <c r="P303" s="98" t="s">
        <v>2088</v>
      </c>
      <c r="Q303" s="98" t="s">
        <v>2076</v>
      </c>
      <c r="R303" s="98" t="s">
        <v>2108</v>
      </c>
      <c r="S303" t="s">
        <v>2052</v>
      </c>
      <c r="T303" t="s">
        <v>2109</v>
      </c>
    </row>
    <row r="304" spans="1:20" x14ac:dyDescent="0.25">
      <c r="A304" s="98" t="s">
        <v>2138</v>
      </c>
      <c r="B304" s="98" t="s">
        <v>2139</v>
      </c>
      <c r="C304" s="98" t="s">
        <v>1136</v>
      </c>
      <c r="D304" s="98" t="s">
        <v>2034</v>
      </c>
      <c r="E304" s="101">
        <v>69919</v>
      </c>
      <c r="F304" s="101">
        <v>219512</v>
      </c>
      <c r="G304" s="98">
        <v>0</v>
      </c>
      <c r="H304" s="101">
        <v>45919</v>
      </c>
      <c r="I304" s="98" t="s">
        <v>2035</v>
      </c>
      <c r="J304" s="98">
        <v>69919</v>
      </c>
      <c r="K304" s="101" t="s">
        <v>2054</v>
      </c>
      <c r="L304" s="98">
        <v>0</v>
      </c>
      <c r="M304" s="98">
        <v>69919</v>
      </c>
      <c r="N304" s="98">
        <v>0</v>
      </c>
      <c r="O304" s="98" t="s">
        <v>2106</v>
      </c>
      <c r="P304" s="98" t="s">
        <v>2088</v>
      </c>
      <c r="Q304" s="98" t="s">
        <v>2076</v>
      </c>
      <c r="R304" s="98" t="s">
        <v>2108</v>
      </c>
      <c r="S304" t="s">
        <v>2047</v>
      </c>
      <c r="T304" t="s">
        <v>2109</v>
      </c>
    </row>
    <row r="305" spans="1:20" x14ac:dyDescent="0.25">
      <c r="A305" s="98" t="s">
        <v>2140</v>
      </c>
      <c r="B305" s="98" t="s">
        <v>2141</v>
      </c>
      <c r="C305" s="98" t="s">
        <v>1136</v>
      </c>
      <c r="D305" s="98" t="s">
        <v>2034</v>
      </c>
      <c r="E305" s="101">
        <v>58942</v>
      </c>
      <c r="F305" s="101">
        <v>219512</v>
      </c>
      <c r="G305" s="98">
        <v>0</v>
      </c>
      <c r="H305" s="101">
        <v>45919</v>
      </c>
      <c r="I305" s="98" t="s">
        <v>2035</v>
      </c>
      <c r="J305" s="98">
        <v>58942</v>
      </c>
      <c r="K305" s="101" t="s">
        <v>2054</v>
      </c>
      <c r="L305" s="98">
        <v>0</v>
      </c>
      <c r="M305" s="98">
        <v>58942</v>
      </c>
      <c r="N305" s="98">
        <v>0</v>
      </c>
      <c r="O305" s="98" t="s">
        <v>2106</v>
      </c>
      <c r="P305" s="98" t="s">
        <v>2107</v>
      </c>
      <c r="Q305" s="98" t="s">
        <v>2076</v>
      </c>
      <c r="R305" s="98" t="s">
        <v>2108</v>
      </c>
      <c r="S305" t="s">
        <v>2047</v>
      </c>
      <c r="T305" t="s">
        <v>2109</v>
      </c>
    </row>
    <row r="306" spans="1:20" x14ac:dyDescent="0.25">
      <c r="A306" s="98" t="s">
        <v>1002</v>
      </c>
      <c r="B306" s="98" t="s">
        <v>1008</v>
      </c>
      <c r="C306" s="98" t="s">
        <v>1136</v>
      </c>
      <c r="D306" s="98" t="s">
        <v>2034</v>
      </c>
      <c r="E306" s="101">
        <v>73004</v>
      </c>
      <c r="F306" s="101">
        <v>219512</v>
      </c>
      <c r="G306" s="98">
        <v>0</v>
      </c>
      <c r="H306" s="101">
        <v>45919</v>
      </c>
      <c r="I306" s="98" t="s">
        <v>2035</v>
      </c>
      <c r="J306" s="98">
        <v>73004</v>
      </c>
      <c r="K306" s="101" t="s">
        <v>2035</v>
      </c>
      <c r="L306" s="98">
        <v>64605</v>
      </c>
      <c r="M306" s="98">
        <v>8399</v>
      </c>
      <c r="N306" s="98">
        <v>13</v>
      </c>
      <c r="O306" s="98" t="s">
        <v>2106</v>
      </c>
      <c r="P306" s="98" t="s">
        <v>2107</v>
      </c>
      <c r="Q306" s="98" t="s">
        <v>2076</v>
      </c>
      <c r="R306" s="98" t="s">
        <v>2108</v>
      </c>
      <c r="S306" t="s">
        <v>2047</v>
      </c>
      <c r="T306" t="s">
        <v>2109</v>
      </c>
    </row>
    <row r="307" spans="1:20" x14ac:dyDescent="0.25">
      <c r="A307" s="98" t="s">
        <v>2142</v>
      </c>
      <c r="B307" s="98" t="s">
        <v>2143</v>
      </c>
      <c r="C307" s="98" t="s">
        <v>1136</v>
      </c>
      <c r="D307" s="98" t="s">
        <v>2034</v>
      </c>
      <c r="E307" s="101">
        <v>36792</v>
      </c>
      <c r="F307" s="101">
        <v>219512</v>
      </c>
      <c r="G307" s="98">
        <v>0</v>
      </c>
      <c r="H307" s="101">
        <v>45919</v>
      </c>
      <c r="I307" s="98" t="s">
        <v>2035</v>
      </c>
      <c r="J307" s="98">
        <v>36792</v>
      </c>
      <c r="K307" s="101" t="s">
        <v>2054</v>
      </c>
      <c r="L307" s="98">
        <v>0</v>
      </c>
      <c r="M307" s="98">
        <v>36792</v>
      </c>
      <c r="N307" s="98">
        <v>0</v>
      </c>
      <c r="O307" s="98" t="s">
        <v>2106</v>
      </c>
      <c r="P307" s="98" t="s">
        <v>2144</v>
      </c>
      <c r="Q307" s="98" t="s">
        <v>2076</v>
      </c>
      <c r="R307" s="98" t="s">
        <v>2145</v>
      </c>
      <c r="S307" t="s">
        <v>2047</v>
      </c>
      <c r="T307" t="s">
        <v>2109</v>
      </c>
    </row>
    <row r="308" spans="1:20" x14ac:dyDescent="0.25">
      <c r="A308" s="98" t="s">
        <v>1004</v>
      </c>
      <c r="B308" s="98" t="s">
        <v>1009</v>
      </c>
      <c r="C308" s="98" t="s">
        <v>1136</v>
      </c>
      <c r="D308" s="98" t="s">
        <v>2034</v>
      </c>
      <c r="E308" s="101">
        <v>43870</v>
      </c>
      <c r="F308" s="101">
        <v>219512</v>
      </c>
      <c r="G308" s="98">
        <v>0</v>
      </c>
      <c r="H308" s="101">
        <v>45919</v>
      </c>
      <c r="I308" s="98" t="s">
        <v>2035</v>
      </c>
      <c r="J308" s="98">
        <v>43870</v>
      </c>
      <c r="K308" s="101" t="s">
        <v>2035</v>
      </c>
      <c r="L308" s="98">
        <v>41000</v>
      </c>
      <c r="M308" s="98">
        <v>2870</v>
      </c>
      <c r="N308" s="98">
        <v>7</v>
      </c>
      <c r="O308" s="98" t="s">
        <v>2110</v>
      </c>
      <c r="P308" s="98" t="s">
        <v>2107</v>
      </c>
      <c r="Q308" s="98" t="s">
        <v>2076</v>
      </c>
      <c r="R308" s="98" t="s">
        <v>2111</v>
      </c>
      <c r="S308" t="s">
        <v>2047</v>
      </c>
      <c r="T308" t="s">
        <v>2109</v>
      </c>
    </row>
    <row r="309" spans="1:20" x14ac:dyDescent="0.25">
      <c r="A309" s="98" t="s">
        <v>49</v>
      </c>
      <c r="B309" s="98" t="s">
        <v>1490</v>
      </c>
      <c r="C309" s="98" t="s">
        <v>1179</v>
      </c>
      <c r="D309" s="98" t="s">
        <v>2034</v>
      </c>
      <c r="E309" s="101">
        <v>45684</v>
      </c>
      <c r="F309" s="101">
        <v>219512</v>
      </c>
      <c r="G309" s="98">
        <v>0</v>
      </c>
      <c r="H309" s="101">
        <v>45880</v>
      </c>
      <c r="I309" s="98" t="s">
        <v>2035</v>
      </c>
      <c r="J309" s="98">
        <v>45684</v>
      </c>
      <c r="K309" s="101" t="s">
        <v>2035</v>
      </c>
      <c r="L309" s="98">
        <v>44353</v>
      </c>
      <c r="M309" s="98">
        <v>1331</v>
      </c>
      <c r="N309" s="98">
        <v>3</v>
      </c>
      <c r="O309" s="98" t="s">
        <v>2087</v>
      </c>
      <c r="P309" s="98" t="s">
        <v>2107</v>
      </c>
      <c r="Q309" s="98" t="s">
        <v>2050</v>
      </c>
      <c r="R309" s="98" t="s">
        <v>2146</v>
      </c>
      <c r="S309" t="s">
        <v>2047</v>
      </c>
      <c r="T309" t="s">
        <v>2113</v>
      </c>
    </row>
    <row r="310" spans="1:20" x14ac:dyDescent="0.25">
      <c r="A310" s="98" t="s">
        <v>50</v>
      </c>
      <c r="B310" s="98" t="s">
        <v>1491</v>
      </c>
      <c r="C310" s="98" t="s">
        <v>1179</v>
      </c>
      <c r="D310" s="98" t="s">
        <v>2034</v>
      </c>
      <c r="E310" s="101">
        <v>54800</v>
      </c>
      <c r="F310" s="101">
        <v>219512</v>
      </c>
      <c r="G310" s="98">
        <v>0</v>
      </c>
      <c r="H310" s="101">
        <v>45880</v>
      </c>
      <c r="I310" s="98" t="s">
        <v>2035</v>
      </c>
      <c r="J310" s="98">
        <v>54800</v>
      </c>
      <c r="K310" s="101" t="s">
        <v>2035</v>
      </c>
      <c r="L310" s="98">
        <v>53204</v>
      </c>
      <c r="M310" s="98">
        <v>1596</v>
      </c>
      <c r="N310" s="98">
        <v>3</v>
      </c>
      <c r="O310" s="98" t="s">
        <v>2087</v>
      </c>
      <c r="P310" s="98" t="s">
        <v>2107</v>
      </c>
      <c r="Q310" s="98" t="s">
        <v>2050</v>
      </c>
      <c r="R310" s="98" t="s">
        <v>2146</v>
      </c>
      <c r="S310" t="s">
        <v>2047</v>
      </c>
      <c r="T310" t="s">
        <v>2113</v>
      </c>
    </row>
    <row r="311" spans="1:20" x14ac:dyDescent="0.25">
      <c r="A311" s="98" t="s">
        <v>51</v>
      </c>
      <c r="B311" s="98" t="s">
        <v>1492</v>
      </c>
      <c r="C311" s="98" t="s">
        <v>1179</v>
      </c>
      <c r="D311" s="98" t="s">
        <v>2034</v>
      </c>
      <c r="E311" s="101">
        <v>66923</v>
      </c>
      <c r="F311" s="101">
        <v>219512</v>
      </c>
      <c r="G311" s="98">
        <v>0</v>
      </c>
      <c r="H311" s="101">
        <v>45880</v>
      </c>
      <c r="I311" s="98" t="s">
        <v>2035</v>
      </c>
      <c r="J311" s="98">
        <v>66923</v>
      </c>
      <c r="K311" s="101" t="s">
        <v>2035</v>
      </c>
      <c r="L311" s="98">
        <v>60839</v>
      </c>
      <c r="M311" s="98">
        <v>6084</v>
      </c>
      <c r="N311" s="98">
        <v>10</v>
      </c>
      <c r="O311" s="98" t="s">
        <v>2087</v>
      </c>
      <c r="P311" s="98" t="s">
        <v>2107</v>
      </c>
      <c r="Q311" s="98" t="s">
        <v>2050</v>
      </c>
      <c r="R311" s="98" t="s">
        <v>2146</v>
      </c>
      <c r="S311" t="s">
        <v>2047</v>
      </c>
      <c r="T311" t="s">
        <v>2113</v>
      </c>
    </row>
    <row r="312" spans="1:20" x14ac:dyDescent="0.25">
      <c r="A312" s="98" t="s">
        <v>52</v>
      </c>
      <c r="B312" s="98" t="s">
        <v>1493</v>
      </c>
      <c r="C312" s="98" t="s">
        <v>1179</v>
      </c>
      <c r="D312" s="98" t="s">
        <v>2034</v>
      </c>
      <c r="E312" s="101">
        <v>76902</v>
      </c>
      <c r="F312" s="101">
        <v>219512</v>
      </c>
      <c r="G312" s="98">
        <v>0</v>
      </c>
      <c r="H312" s="101">
        <v>45880</v>
      </c>
      <c r="I312" s="98" t="s">
        <v>2035</v>
      </c>
      <c r="J312" s="98">
        <v>76902</v>
      </c>
      <c r="K312" s="101" t="s">
        <v>2035</v>
      </c>
      <c r="L312" s="98">
        <v>73944</v>
      </c>
      <c r="M312" s="98">
        <v>2958</v>
      </c>
      <c r="N312" s="98">
        <v>4</v>
      </c>
      <c r="O312" s="98" t="s">
        <v>2087</v>
      </c>
      <c r="P312" s="98" t="s">
        <v>2107</v>
      </c>
      <c r="Q312" s="98" t="s">
        <v>2050</v>
      </c>
      <c r="R312" s="98" t="s">
        <v>2146</v>
      </c>
      <c r="S312" t="s">
        <v>2047</v>
      </c>
      <c r="T312" t="s">
        <v>2113</v>
      </c>
    </row>
    <row r="313" spans="1:20" x14ac:dyDescent="0.25">
      <c r="A313" s="98" t="s">
        <v>53</v>
      </c>
      <c r="B313" s="98" t="s">
        <v>1494</v>
      </c>
      <c r="C313" s="98" t="s">
        <v>1179</v>
      </c>
      <c r="D313" s="98" t="s">
        <v>2034</v>
      </c>
      <c r="E313" s="101">
        <v>21705</v>
      </c>
      <c r="F313" s="101">
        <v>219512</v>
      </c>
      <c r="G313" s="98">
        <v>0</v>
      </c>
      <c r="H313" s="101">
        <v>45766</v>
      </c>
      <c r="I313" s="98" t="s">
        <v>2035</v>
      </c>
      <c r="J313" s="98">
        <v>21705</v>
      </c>
      <c r="K313" s="101" t="s">
        <v>2035</v>
      </c>
      <c r="L313" s="98">
        <v>23876</v>
      </c>
      <c r="M313" s="98">
        <v>-2171</v>
      </c>
      <c r="N313" s="98">
        <v>-9.09</v>
      </c>
      <c r="O313" s="98" t="s">
        <v>2087</v>
      </c>
      <c r="P313" s="98" t="s">
        <v>2147</v>
      </c>
      <c r="Q313" s="98" t="s">
        <v>2050</v>
      </c>
      <c r="R313" s="98" t="s">
        <v>2148</v>
      </c>
      <c r="S313" t="s">
        <v>2047</v>
      </c>
      <c r="T313" t="s">
        <v>2149</v>
      </c>
    </row>
    <row r="314" spans="1:20" x14ac:dyDescent="0.25">
      <c r="A314" s="98" t="s">
        <v>54</v>
      </c>
      <c r="B314" s="98" t="s">
        <v>1495</v>
      </c>
      <c r="C314" s="98" t="s">
        <v>1179</v>
      </c>
      <c r="D314" s="98" t="s">
        <v>2034</v>
      </c>
      <c r="E314" s="101">
        <v>25266</v>
      </c>
      <c r="F314" s="101">
        <v>219512</v>
      </c>
      <c r="G314" s="98">
        <v>0</v>
      </c>
      <c r="H314" s="101">
        <v>45766</v>
      </c>
      <c r="I314" s="98" t="s">
        <v>2035</v>
      </c>
      <c r="J314" s="98">
        <v>25266</v>
      </c>
      <c r="K314" s="101" t="s">
        <v>2035</v>
      </c>
      <c r="L314" s="98">
        <v>27793</v>
      </c>
      <c r="M314" s="98">
        <v>-2527</v>
      </c>
      <c r="N314" s="98">
        <v>-9.09</v>
      </c>
      <c r="O314" s="98" t="s">
        <v>2087</v>
      </c>
      <c r="P314" s="98" t="s">
        <v>2147</v>
      </c>
      <c r="Q314" s="98" t="s">
        <v>2050</v>
      </c>
      <c r="R314" s="98" t="s">
        <v>2148</v>
      </c>
      <c r="S314" t="s">
        <v>2047</v>
      </c>
      <c r="T314" t="s">
        <v>2149</v>
      </c>
    </row>
    <row r="315" spans="1:20" x14ac:dyDescent="0.25">
      <c r="A315" s="98" t="s">
        <v>55</v>
      </c>
      <c r="B315" s="98" t="s">
        <v>1496</v>
      </c>
      <c r="C315" s="98" t="s">
        <v>1179</v>
      </c>
      <c r="D315" s="98" t="s">
        <v>2034</v>
      </c>
      <c r="E315" s="101">
        <v>28440</v>
      </c>
      <c r="F315" s="101">
        <v>219512</v>
      </c>
      <c r="G315" s="98">
        <v>0</v>
      </c>
      <c r="H315" s="101">
        <v>45880</v>
      </c>
      <c r="I315" s="98" t="s">
        <v>2035</v>
      </c>
      <c r="J315" s="98">
        <v>28440</v>
      </c>
      <c r="K315" s="101" t="s">
        <v>2035</v>
      </c>
      <c r="L315" s="98">
        <v>27612</v>
      </c>
      <c r="M315" s="98">
        <v>828</v>
      </c>
      <c r="N315" s="98">
        <v>3</v>
      </c>
      <c r="O315" s="98" t="s">
        <v>2087</v>
      </c>
      <c r="P315" s="98" t="s">
        <v>2147</v>
      </c>
      <c r="Q315" s="98" t="s">
        <v>2050</v>
      </c>
      <c r="R315" s="98" t="s">
        <v>2148</v>
      </c>
      <c r="S315" t="s">
        <v>2047</v>
      </c>
      <c r="T315" t="s">
        <v>2149</v>
      </c>
    </row>
    <row r="316" spans="1:20" x14ac:dyDescent="0.25">
      <c r="A316" s="98" t="s">
        <v>56</v>
      </c>
      <c r="B316" s="98" t="s">
        <v>1497</v>
      </c>
      <c r="C316" s="98" t="s">
        <v>1179</v>
      </c>
      <c r="D316" s="98" t="s">
        <v>2034</v>
      </c>
      <c r="E316" s="101">
        <v>30111</v>
      </c>
      <c r="F316" s="101">
        <v>219512</v>
      </c>
      <c r="G316" s="98">
        <v>0</v>
      </c>
      <c r="H316" s="101">
        <v>45880</v>
      </c>
      <c r="I316" s="98" t="s">
        <v>2035</v>
      </c>
      <c r="J316" s="98">
        <v>30111</v>
      </c>
      <c r="K316" s="101" t="s">
        <v>2035</v>
      </c>
      <c r="L316" s="98">
        <v>29234</v>
      </c>
      <c r="M316" s="98">
        <v>877</v>
      </c>
      <c r="N316" s="98">
        <v>3</v>
      </c>
      <c r="O316" s="98" t="s">
        <v>2087</v>
      </c>
      <c r="P316" s="98" t="s">
        <v>2147</v>
      </c>
      <c r="Q316" s="98" t="s">
        <v>2050</v>
      </c>
      <c r="R316" s="98" t="s">
        <v>2148</v>
      </c>
      <c r="S316" t="s">
        <v>2047</v>
      </c>
      <c r="T316" t="s">
        <v>2149</v>
      </c>
    </row>
    <row r="317" spans="1:20" x14ac:dyDescent="0.25">
      <c r="A317" s="98" t="s">
        <v>1498</v>
      </c>
      <c r="B317" s="98" t="s">
        <v>1499</v>
      </c>
      <c r="C317" s="98" t="s">
        <v>1179</v>
      </c>
      <c r="D317" s="98" t="s">
        <v>2034</v>
      </c>
      <c r="E317" s="101">
        <v>23169</v>
      </c>
      <c r="F317" s="101">
        <v>219512</v>
      </c>
      <c r="G317" s="98">
        <v>0</v>
      </c>
      <c r="H317" s="101">
        <v>45766</v>
      </c>
      <c r="I317" s="98" t="s">
        <v>2035</v>
      </c>
      <c r="J317" s="98">
        <v>23169</v>
      </c>
      <c r="K317" s="101" t="s">
        <v>2035</v>
      </c>
      <c r="L317" s="98">
        <v>25486</v>
      </c>
      <c r="M317" s="98">
        <v>-2317</v>
      </c>
      <c r="N317" s="98">
        <v>-9.09</v>
      </c>
      <c r="O317" s="98" t="s">
        <v>2150</v>
      </c>
      <c r="P317" s="98" t="s">
        <v>2151</v>
      </c>
      <c r="Q317" s="98" t="s">
        <v>2050</v>
      </c>
      <c r="R317" s="98" t="s">
        <v>2152</v>
      </c>
      <c r="S317" t="s">
        <v>2047</v>
      </c>
      <c r="T317" t="s">
        <v>2113</v>
      </c>
    </row>
    <row r="318" spans="1:20" x14ac:dyDescent="0.25">
      <c r="A318" s="98" t="s">
        <v>1500</v>
      </c>
      <c r="B318" s="98" t="s">
        <v>1501</v>
      </c>
      <c r="C318" s="98" t="s">
        <v>1179</v>
      </c>
      <c r="D318" s="98" t="s">
        <v>2034</v>
      </c>
      <c r="E318" s="101">
        <v>23169</v>
      </c>
      <c r="F318" s="101">
        <v>219512</v>
      </c>
      <c r="G318" s="98">
        <v>0</v>
      </c>
      <c r="H318" s="101">
        <v>45766</v>
      </c>
      <c r="I318" s="98" t="s">
        <v>2035</v>
      </c>
      <c r="J318" s="98">
        <v>23169</v>
      </c>
      <c r="K318" s="101" t="s">
        <v>2035</v>
      </c>
      <c r="L318" s="98">
        <v>25486</v>
      </c>
      <c r="M318" s="98">
        <v>-2317</v>
      </c>
      <c r="N318" s="98">
        <v>-9.09</v>
      </c>
      <c r="O318" s="98" t="s">
        <v>2150</v>
      </c>
      <c r="P318" s="98" t="s">
        <v>2151</v>
      </c>
      <c r="Q318" s="98" t="s">
        <v>2050</v>
      </c>
      <c r="R318" s="98" t="s">
        <v>2152</v>
      </c>
      <c r="S318" t="s">
        <v>2047</v>
      </c>
      <c r="T318" t="s">
        <v>2113</v>
      </c>
    </row>
    <row r="319" spans="1:20" x14ac:dyDescent="0.25">
      <c r="A319" s="98" t="s">
        <v>1502</v>
      </c>
      <c r="B319" s="98" t="s">
        <v>1503</v>
      </c>
      <c r="C319" s="98" t="s">
        <v>1179</v>
      </c>
      <c r="D319" s="98" t="s">
        <v>2034</v>
      </c>
      <c r="E319" s="101">
        <v>31158</v>
      </c>
      <c r="F319" s="101">
        <v>219512</v>
      </c>
      <c r="G319" s="98">
        <v>0</v>
      </c>
      <c r="H319" s="101">
        <v>45766</v>
      </c>
      <c r="I319" s="98" t="s">
        <v>2035</v>
      </c>
      <c r="J319" s="98">
        <v>31158</v>
      </c>
      <c r="K319" s="101" t="s">
        <v>2035</v>
      </c>
      <c r="L319" s="98">
        <v>34274</v>
      </c>
      <c r="M319" s="98">
        <v>-3116</v>
      </c>
      <c r="N319" s="98">
        <v>-9.09</v>
      </c>
      <c r="O319" s="98" t="s">
        <v>2150</v>
      </c>
      <c r="P319" s="98" t="s">
        <v>2151</v>
      </c>
      <c r="Q319" s="98" t="s">
        <v>2050</v>
      </c>
      <c r="R319" s="98" t="s">
        <v>2152</v>
      </c>
      <c r="S319" t="s">
        <v>2153</v>
      </c>
      <c r="T319" t="s">
        <v>2113</v>
      </c>
    </row>
    <row r="320" spans="1:20" x14ac:dyDescent="0.25">
      <c r="A320" s="98" t="s">
        <v>1504</v>
      </c>
      <c r="B320" s="98" t="s">
        <v>1505</v>
      </c>
      <c r="C320" s="98" t="s">
        <v>1179</v>
      </c>
      <c r="D320" s="98" t="s">
        <v>2034</v>
      </c>
      <c r="E320" s="101">
        <v>13001</v>
      </c>
      <c r="F320" s="101">
        <v>219512</v>
      </c>
      <c r="G320" s="98">
        <v>0</v>
      </c>
      <c r="H320" s="101">
        <v>45766</v>
      </c>
      <c r="I320" s="98" t="s">
        <v>2035</v>
      </c>
      <c r="J320" s="98">
        <v>13001</v>
      </c>
      <c r="K320" s="101" t="s">
        <v>2035</v>
      </c>
      <c r="L320" s="98">
        <v>14301</v>
      </c>
      <c r="M320" s="98">
        <v>-1300</v>
      </c>
      <c r="N320" s="98">
        <v>-9.09</v>
      </c>
      <c r="O320" s="98" t="s">
        <v>2150</v>
      </c>
      <c r="P320" s="98" t="s">
        <v>2151</v>
      </c>
      <c r="Q320" s="98" t="s">
        <v>2050</v>
      </c>
      <c r="R320" s="98" t="s">
        <v>2152</v>
      </c>
      <c r="S320" t="s">
        <v>2047</v>
      </c>
      <c r="T320" t="s">
        <v>2113</v>
      </c>
    </row>
    <row r="321" spans="1:20" x14ac:dyDescent="0.25">
      <c r="A321" s="98" t="s">
        <v>1506</v>
      </c>
      <c r="B321" s="98" t="s">
        <v>1507</v>
      </c>
      <c r="C321" s="98" t="s">
        <v>1179</v>
      </c>
      <c r="D321" s="98" t="s">
        <v>2034</v>
      </c>
      <c r="E321" s="101">
        <v>15194</v>
      </c>
      <c r="F321" s="101">
        <v>219512</v>
      </c>
      <c r="G321" s="98">
        <v>0</v>
      </c>
      <c r="H321" s="101">
        <v>45766</v>
      </c>
      <c r="I321" s="98" t="s">
        <v>2035</v>
      </c>
      <c r="J321" s="98">
        <v>15194</v>
      </c>
      <c r="K321" s="101" t="s">
        <v>2035</v>
      </c>
      <c r="L321" s="98">
        <v>16713</v>
      </c>
      <c r="M321" s="98">
        <v>-1519</v>
      </c>
      <c r="N321" s="98">
        <v>-9.09</v>
      </c>
      <c r="O321" s="98" t="s">
        <v>2150</v>
      </c>
      <c r="P321" s="98" t="s">
        <v>2151</v>
      </c>
      <c r="Q321" s="98" t="s">
        <v>2050</v>
      </c>
      <c r="R321" s="98" t="s">
        <v>2152</v>
      </c>
      <c r="S321" t="s">
        <v>2154</v>
      </c>
      <c r="T321" t="s">
        <v>2113</v>
      </c>
    </row>
    <row r="322" spans="1:20" x14ac:dyDescent="0.25">
      <c r="A322" s="98" t="s">
        <v>1508</v>
      </c>
      <c r="B322" s="98" t="s">
        <v>1509</v>
      </c>
      <c r="C322" s="98" t="s">
        <v>1179</v>
      </c>
      <c r="D322" s="98" t="s">
        <v>2034</v>
      </c>
      <c r="E322" s="101">
        <v>28837</v>
      </c>
      <c r="F322" s="101">
        <v>219512</v>
      </c>
      <c r="G322" s="98">
        <v>0</v>
      </c>
      <c r="H322" s="101">
        <v>45817</v>
      </c>
      <c r="I322" s="98" t="s">
        <v>2035</v>
      </c>
      <c r="J322" s="98">
        <v>28837</v>
      </c>
      <c r="K322" s="101" t="s">
        <v>2035</v>
      </c>
      <c r="L322" s="98">
        <v>25747</v>
      </c>
      <c r="M322" s="98">
        <v>3090</v>
      </c>
      <c r="N322" s="98">
        <v>12</v>
      </c>
      <c r="O322" s="98" t="s">
        <v>2150</v>
      </c>
      <c r="P322" s="98" t="s">
        <v>2037</v>
      </c>
      <c r="Q322" s="98" t="s">
        <v>2050</v>
      </c>
      <c r="R322" s="98" t="s">
        <v>2155</v>
      </c>
      <c r="S322" t="s">
        <v>2047</v>
      </c>
      <c r="T322" t="s">
        <v>2156</v>
      </c>
    </row>
    <row r="323" spans="1:20" x14ac:dyDescent="0.25">
      <c r="A323" s="98" t="s">
        <v>1510</v>
      </c>
      <c r="B323" s="98" t="s">
        <v>1511</v>
      </c>
      <c r="C323" s="98" t="s">
        <v>1179</v>
      </c>
      <c r="D323" s="98" t="s">
        <v>2034</v>
      </c>
      <c r="E323" s="101">
        <v>5226</v>
      </c>
      <c r="F323" s="101">
        <v>219512</v>
      </c>
      <c r="G323" s="98">
        <v>0</v>
      </c>
      <c r="H323" s="101">
        <v>45817</v>
      </c>
      <c r="I323" s="98" t="s">
        <v>2035</v>
      </c>
      <c r="J323" s="98">
        <v>5226</v>
      </c>
      <c r="K323" s="101" t="s">
        <v>2035</v>
      </c>
      <c r="L323" s="98">
        <v>4666</v>
      </c>
      <c r="M323" s="98">
        <v>560</v>
      </c>
      <c r="N323" s="98">
        <v>12</v>
      </c>
      <c r="O323" s="98" t="s">
        <v>2150</v>
      </c>
      <c r="P323" s="98" t="s">
        <v>2147</v>
      </c>
      <c r="Q323" s="98" t="s">
        <v>2050</v>
      </c>
      <c r="R323" s="98" t="s">
        <v>2155</v>
      </c>
      <c r="S323" t="s">
        <v>2047</v>
      </c>
      <c r="T323" t="s">
        <v>2156</v>
      </c>
    </row>
    <row r="324" spans="1:20" x14ac:dyDescent="0.25">
      <c r="A324" s="98" t="s">
        <v>1512</v>
      </c>
      <c r="B324" s="98" t="s">
        <v>1513</v>
      </c>
      <c r="C324" s="98" t="s">
        <v>1179</v>
      </c>
      <c r="D324" s="98" t="s">
        <v>2034</v>
      </c>
      <c r="E324" s="101">
        <v>4462</v>
      </c>
      <c r="F324" s="101">
        <v>219512</v>
      </c>
      <c r="G324" s="98">
        <v>0</v>
      </c>
      <c r="H324" s="101">
        <v>45766</v>
      </c>
      <c r="I324" s="98" t="s">
        <v>2035</v>
      </c>
      <c r="J324" s="98">
        <v>4462</v>
      </c>
      <c r="K324" s="101" t="s">
        <v>2035</v>
      </c>
      <c r="L324" s="98">
        <v>4908</v>
      </c>
      <c r="M324" s="98">
        <v>-446</v>
      </c>
      <c r="N324" s="98">
        <v>-9.09</v>
      </c>
      <c r="O324" s="98" t="s">
        <v>2150</v>
      </c>
      <c r="P324" s="98" t="s">
        <v>2147</v>
      </c>
      <c r="Q324" s="98" t="s">
        <v>2050</v>
      </c>
      <c r="R324" s="98" t="s">
        <v>2155</v>
      </c>
      <c r="S324" t="s">
        <v>2047</v>
      </c>
      <c r="T324" t="s">
        <v>2156</v>
      </c>
    </row>
    <row r="325" spans="1:20" x14ac:dyDescent="0.25">
      <c r="A325" s="98" t="s">
        <v>1514</v>
      </c>
      <c r="B325" s="98" t="s">
        <v>1515</v>
      </c>
      <c r="C325" s="98" t="s">
        <v>1136</v>
      </c>
      <c r="D325" s="98" t="s">
        <v>2034</v>
      </c>
      <c r="E325" s="101">
        <v>9486</v>
      </c>
      <c r="F325" s="101">
        <v>219512</v>
      </c>
      <c r="G325" s="98">
        <v>0</v>
      </c>
      <c r="H325" s="101">
        <v>45766</v>
      </c>
      <c r="I325" s="98" t="s">
        <v>2035</v>
      </c>
      <c r="J325" s="98">
        <v>9486</v>
      </c>
      <c r="K325" s="101" t="s">
        <v>2035</v>
      </c>
      <c r="L325" s="98">
        <v>10435</v>
      </c>
      <c r="M325" s="98">
        <v>-949</v>
      </c>
      <c r="N325" s="98">
        <v>-9.09</v>
      </c>
      <c r="O325" s="98" t="s">
        <v>2150</v>
      </c>
      <c r="P325" s="98" t="s">
        <v>2151</v>
      </c>
      <c r="Q325" s="98" t="s">
        <v>2050</v>
      </c>
      <c r="R325" s="98" t="s">
        <v>2152</v>
      </c>
      <c r="S325" t="s">
        <v>2040</v>
      </c>
      <c r="T325" t="s">
        <v>2113</v>
      </c>
    </row>
    <row r="326" spans="1:20" x14ac:dyDescent="0.25">
      <c r="A326" s="98" t="s">
        <v>1516</v>
      </c>
      <c r="B326" s="98" t="s">
        <v>1517</v>
      </c>
      <c r="C326" s="98" t="s">
        <v>1179</v>
      </c>
      <c r="D326" s="98" t="s">
        <v>2034</v>
      </c>
      <c r="E326" s="101">
        <v>25550</v>
      </c>
      <c r="F326" s="101">
        <v>219512</v>
      </c>
      <c r="G326" s="98">
        <v>0</v>
      </c>
      <c r="H326" s="101">
        <v>45766</v>
      </c>
      <c r="I326" s="98" t="s">
        <v>2035</v>
      </c>
      <c r="J326" s="98">
        <v>25550</v>
      </c>
      <c r="K326" s="101" t="s">
        <v>2035</v>
      </c>
      <c r="L326" s="98">
        <v>28105</v>
      </c>
      <c r="M326" s="98">
        <v>-2555</v>
      </c>
      <c r="N326" s="98">
        <v>-9.09</v>
      </c>
      <c r="O326" s="98" t="s">
        <v>2150</v>
      </c>
      <c r="P326" s="98" t="s">
        <v>2151</v>
      </c>
      <c r="Q326" s="98" t="s">
        <v>2050</v>
      </c>
      <c r="R326" s="98" t="s">
        <v>2152</v>
      </c>
      <c r="S326" t="s">
        <v>2047</v>
      </c>
      <c r="T326" t="s">
        <v>2113</v>
      </c>
    </row>
    <row r="327" spans="1:20" x14ac:dyDescent="0.25">
      <c r="A327" s="98" t="s">
        <v>1518</v>
      </c>
      <c r="B327" s="98" t="s">
        <v>1519</v>
      </c>
      <c r="C327" s="98" t="s">
        <v>1179</v>
      </c>
      <c r="D327" s="98" t="s">
        <v>2034</v>
      </c>
      <c r="E327" s="101">
        <v>25550</v>
      </c>
      <c r="F327" s="101">
        <v>219512</v>
      </c>
      <c r="G327" s="98">
        <v>0</v>
      </c>
      <c r="H327" s="101">
        <v>45766</v>
      </c>
      <c r="I327" s="98" t="s">
        <v>2035</v>
      </c>
      <c r="J327" s="98">
        <v>25550</v>
      </c>
      <c r="K327" s="101" t="s">
        <v>2035</v>
      </c>
      <c r="L327" s="98">
        <v>28105</v>
      </c>
      <c r="M327" s="98">
        <v>-2555</v>
      </c>
      <c r="N327" s="98">
        <v>-9.09</v>
      </c>
      <c r="O327" s="98" t="s">
        <v>2150</v>
      </c>
      <c r="P327" s="98" t="s">
        <v>2151</v>
      </c>
      <c r="Q327" s="98" t="s">
        <v>2050</v>
      </c>
      <c r="R327" s="98" t="s">
        <v>2152</v>
      </c>
      <c r="S327" t="s">
        <v>2047</v>
      </c>
      <c r="T327" t="s">
        <v>2113</v>
      </c>
    </row>
    <row r="328" spans="1:20" x14ac:dyDescent="0.25">
      <c r="A328" s="98" t="s">
        <v>1520</v>
      </c>
      <c r="B328" s="98" t="s">
        <v>1521</v>
      </c>
      <c r="C328" s="98" t="s">
        <v>1179</v>
      </c>
      <c r="D328" s="98" t="s">
        <v>2034</v>
      </c>
      <c r="E328" s="101">
        <v>27123</v>
      </c>
      <c r="F328" s="101">
        <v>219512</v>
      </c>
      <c r="G328" s="98">
        <v>0</v>
      </c>
      <c r="H328" s="101">
        <v>45766</v>
      </c>
      <c r="I328" s="98" t="s">
        <v>2035</v>
      </c>
      <c r="J328" s="98">
        <v>27123</v>
      </c>
      <c r="K328" s="101" t="s">
        <v>2035</v>
      </c>
      <c r="L328" s="98">
        <v>29835</v>
      </c>
      <c r="M328" s="98">
        <v>-2712</v>
      </c>
      <c r="N328" s="98">
        <v>-9.09</v>
      </c>
      <c r="O328" s="98" t="s">
        <v>2150</v>
      </c>
      <c r="P328" s="98" t="s">
        <v>2151</v>
      </c>
      <c r="Q328" s="98" t="s">
        <v>2050</v>
      </c>
      <c r="R328" s="98" t="s">
        <v>2152</v>
      </c>
      <c r="S328" t="s">
        <v>2047</v>
      </c>
      <c r="T328" t="s">
        <v>2113</v>
      </c>
    </row>
    <row r="329" spans="1:20" x14ac:dyDescent="0.25">
      <c r="A329" s="98" t="s">
        <v>1522</v>
      </c>
      <c r="B329" s="98" t="s">
        <v>1523</v>
      </c>
      <c r="C329" s="98" t="s">
        <v>1179</v>
      </c>
      <c r="D329" s="98" t="s">
        <v>2034</v>
      </c>
      <c r="E329" s="101">
        <v>27123</v>
      </c>
      <c r="F329" s="101">
        <v>219512</v>
      </c>
      <c r="G329" s="98">
        <v>0</v>
      </c>
      <c r="H329" s="101">
        <v>45766</v>
      </c>
      <c r="I329" s="98" t="s">
        <v>2035</v>
      </c>
      <c r="J329" s="98">
        <v>27123</v>
      </c>
      <c r="K329" s="101" t="s">
        <v>2035</v>
      </c>
      <c r="L329" s="98">
        <v>29835</v>
      </c>
      <c r="M329" s="98">
        <v>-2712</v>
      </c>
      <c r="N329" s="98">
        <v>-9.09</v>
      </c>
      <c r="O329" s="98" t="s">
        <v>2150</v>
      </c>
      <c r="P329" s="98" t="s">
        <v>2151</v>
      </c>
      <c r="Q329" s="98" t="s">
        <v>2050</v>
      </c>
      <c r="R329" s="98" t="s">
        <v>2152</v>
      </c>
      <c r="S329" t="s">
        <v>2047</v>
      </c>
      <c r="T329" t="s">
        <v>2113</v>
      </c>
    </row>
    <row r="330" spans="1:20" x14ac:dyDescent="0.25">
      <c r="A330" s="98" t="s">
        <v>1524</v>
      </c>
      <c r="B330" s="98" t="s">
        <v>1525</v>
      </c>
      <c r="C330" s="98" t="s">
        <v>1179</v>
      </c>
      <c r="D330" s="98" t="s">
        <v>2034</v>
      </c>
      <c r="E330" s="101">
        <v>29161</v>
      </c>
      <c r="F330" s="101">
        <v>219512</v>
      </c>
      <c r="G330" s="98">
        <v>0</v>
      </c>
      <c r="H330" s="101">
        <v>45766</v>
      </c>
      <c r="I330" s="98" t="s">
        <v>2035</v>
      </c>
      <c r="J330" s="98">
        <v>29161</v>
      </c>
      <c r="K330" s="101" t="s">
        <v>2035</v>
      </c>
      <c r="L330" s="98">
        <v>32077</v>
      </c>
      <c r="M330" s="98">
        <v>-2916</v>
      </c>
      <c r="N330" s="98">
        <v>-9.09</v>
      </c>
      <c r="O330" s="98" t="s">
        <v>2150</v>
      </c>
      <c r="P330" s="98" t="s">
        <v>2151</v>
      </c>
      <c r="Q330" s="98" t="s">
        <v>2050</v>
      </c>
      <c r="R330" s="98" t="s">
        <v>2157</v>
      </c>
      <c r="S330" t="s">
        <v>2047</v>
      </c>
      <c r="T330" t="s">
        <v>2113</v>
      </c>
    </row>
    <row r="331" spans="1:20" x14ac:dyDescent="0.25">
      <c r="A331" s="98" t="s">
        <v>1526</v>
      </c>
      <c r="B331" s="98" t="s">
        <v>1527</v>
      </c>
      <c r="C331" s="98" t="s">
        <v>1179</v>
      </c>
      <c r="D331" s="98" t="s">
        <v>2034</v>
      </c>
      <c r="E331" s="101">
        <v>35754</v>
      </c>
      <c r="F331" s="101">
        <v>219512</v>
      </c>
      <c r="G331" s="98">
        <v>0</v>
      </c>
      <c r="H331" s="101">
        <v>45766</v>
      </c>
      <c r="I331" s="98" t="s">
        <v>2035</v>
      </c>
      <c r="J331" s="98">
        <v>35754</v>
      </c>
      <c r="K331" s="101" t="s">
        <v>2035</v>
      </c>
      <c r="L331" s="98">
        <v>39329</v>
      </c>
      <c r="M331" s="98">
        <v>-3575</v>
      </c>
      <c r="N331" s="98">
        <v>-9.09</v>
      </c>
      <c r="O331" s="98" t="s">
        <v>2150</v>
      </c>
      <c r="P331" s="98" t="s">
        <v>2151</v>
      </c>
      <c r="Q331" s="98" t="s">
        <v>2050</v>
      </c>
      <c r="R331" s="98" t="s">
        <v>2157</v>
      </c>
      <c r="S331" t="s">
        <v>2056</v>
      </c>
      <c r="T331" t="s">
        <v>2113</v>
      </c>
    </row>
    <row r="332" spans="1:20" x14ac:dyDescent="0.25">
      <c r="A332" s="98" t="s">
        <v>57</v>
      </c>
      <c r="B332" s="98" t="s">
        <v>1528</v>
      </c>
      <c r="C332" s="98" t="s">
        <v>1179</v>
      </c>
      <c r="D332" s="98" t="s">
        <v>2034</v>
      </c>
      <c r="E332" s="101">
        <v>40348</v>
      </c>
      <c r="F332" s="101">
        <v>219512</v>
      </c>
      <c r="G332" s="98">
        <v>0</v>
      </c>
      <c r="H332" s="101">
        <v>45766</v>
      </c>
      <c r="I332" s="98" t="s">
        <v>2035</v>
      </c>
      <c r="J332" s="98">
        <v>40348</v>
      </c>
      <c r="K332" s="101" t="s">
        <v>2035</v>
      </c>
      <c r="L332" s="98">
        <v>44383</v>
      </c>
      <c r="M332" s="98">
        <v>-4035</v>
      </c>
      <c r="N332" s="98">
        <v>-9.09</v>
      </c>
      <c r="O332" s="98" t="s">
        <v>2150</v>
      </c>
      <c r="P332" s="98" t="s">
        <v>2151</v>
      </c>
      <c r="Q332" s="98" t="s">
        <v>2050</v>
      </c>
      <c r="R332" s="98" t="s">
        <v>2157</v>
      </c>
      <c r="S332" t="s">
        <v>2056</v>
      </c>
      <c r="T332" t="s">
        <v>2113</v>
      </c>
    </row>
    <row r="333" spans="1:20" x14ac:dyDescent="0.25">
      <c r="A333" s="98" t="s">
        <v>1529</v>
      </c>
      <c r="B333" s="98" t="s">
        <v>1530</v>
      </c>
      <c r="C333" s="98" t="s">
        <v>1179</v>
      </c>
      <c r="D333" s="98" t="s">
        <v>2034</v>
      </c>
      <c r="E333" s="101">
        <v>42252</v>
      </c>
      <c r="F333" s="101">
        <v>219512</v>
      </c>
      <c r="G333" s="98">
        <v>0</v>
      </c>
      <c r="H333" s="101">
        <v>45762</v>
      </c>
      <c r="I333" s="98" t="s">
        <v>2035</v>
      </c>
      <c r="J333" s="98">
        <v>42252</v>
      </c>
      <c r="K333" s="101" t="s">
        <v>2035</v>
      </c>
      <c r="L333" s="98">
        <v>38411</v>
      </c>
      <c r="M333" s="98">
        <v>3841</v>
      </c>
      <c r="N333" s="98">
        <v>10</v>
      </c>
      <c r="O333" s="98" t="s">
        <v>2150</v>
      </c>
      <c r="P333" s="98" t="s">
        <v>2151</v>
      </c>
      <c r="Q333" s="98" t="s">
        <v>2050</v>
      </c>
      <c r="R333" s="98" t="s">
        <v>2157</v>
      </c>
      <c r="S333" t="s">
        <v>2056</v>
      </c>
      <c r="T333" t="s">
        <v>2113</v>
      </c>
    </row>
    <row r="334" spans="1:20" x14ac:dyDescent="0.25">
      <c r="A334" s="98" t="s">
        <v>58</v>
      </c>
      <c r="B334" s="98" t="s">
        <v>229</v>
      </c>
      <c r="C334" s="98" t="s">
        <v>1179</v>
      </c>
      <c r="D334" s="98" t="s">
        <v>2034</v>
      </c>
      <c r="E334" s="101">
        <v>43857</v>
      </c>
      <c r="F334" s="101">
        <v>219512</v>
      </c>
      <c r="G334" s="98">
        <v>0</v>
      </c>
      <c r="H334" s="101">
        <v>45919</v>
      </c>
      <c r="I334" s="98" t="s">
        <v>2035</v>
      </c>
      <c r="J334" s="98">
        <v>43857</v>
      </c>
      <c r="K334" s="101" t="s">
        <v>2035</v>
      </c>
      <c r="L334" s="98">
        <v>41769</v>
      </c>
      <c r="M334" s="98">
        <v>2088</v>
      </c>
      <c r="N334" s="98">
        <v>5</v>
      </c>
      <c r="O334" s="98" t="s">
        <v>2150</v>
      </c>
      <c r="P334" s="98" t="s">
        <v>2151</v>
      </c>
      <c r="Q334" s="98" t="s">
        <v>2076</v>
      </c>
      <c r="R334" s="98" t="s">
        <v>2158</v>
      </c>
      <c r="S334" t="s">
        <v>2047</v>
      </c>
      <c r="T334" t="s">
        <v>2113</v>
      </c>
    </row>
    <row r="335" spans="1:20" x14ac:dyDescent="0.25">
      <c r="A335" s="98" t="s">
        <v>59</v>
      </c>
      <c r="B335" s="98" t="s">
        <v>231</v>
      </c>
      <c r="C335" s="98" t="s">
        <v>1179</v>
      </c>
      <c r="D335" s="98" t="s">
        <v>2034</v>
      </c>
      <c r="E335" s="101">
        <v>40454</v>
      </c>
      <c r="F335" s="101">
        <v>219512</v>
      </c>
      <c r="G335" s="98">
        <v>0</v>
      </c>
      <c r="H335" s="101">
        <v>45919</v>
      </c>
      <c r="I335" s="98" t="s">
        <v>2035</v>
      </c>
      <c r="J335" s="98">
        <v>40454</v>
      </c>
      <c r="K335" s="101" t="s">
        <v>2035</v>
      </c>
      <c r="L335" s="98">
        <v>38528</v>
      </c>
      <c r="M335" s="98">
        <v>1926</v>
      </c>
      <c r="N335" s="98">
        <v>5</v>
      </c>
      <c r="O335" s="98" t="s">
        <v>2150</v>
      </c>
      <c r="P335" s="98" t="s">
        <v>2151</v>
      </c>
      <c r="Q335" s="98" t="s">
        <v>2076</v>
      </c>
      <c r="R335" s="98" t="s">
        <v>2158</v>
      </c>
      <c r="S335" t="s">
        <v>2047</v>
      </c>
      <c r="T335" t="s">
        <v>2113</v>
      </c>
    </row>
    <row r="336" spans="1:20" x14ac:dyDescent="0.25">
      <c r="A336" s="98" t="s">
        <v>60</v>
      </c>
      <c r="B336" s="98" t="s">
        <v>61</v>
      </c>
      <c r="C336" s="98" t="s">
        <v>1179</v>
      </c>
      <c r="D336" s="98" t="s">
        <v>2034</v>
      </c>
      <c r="E336" s="101">
        <v>35300</v>
      </c>
      <c r="F336" s="101">
        <v>219512</v>
      </c>
      <c r="G336" s="98">
        <v>0</v>
      </c>
      <c r="H336" s="101">
        <v>45919</v>
      </c>
      <c r="I336" s="98" t="s">
        <v>2035</v>
      </c>
      <c r="J336" s="98">
        <v>35300</v>
      </c>
      <c r="K336" s="101" t="s">
        <v>2035</v>
      </c>
      <c r="L336" s="98">
        <v>33619</v>
      </c>
      <c r="M336" s="98">
        <v>1681</v>
      </c>
      <c r="N336" s="98">
        <v>5</v>
      </c>
      <c r="O336" s="98" t="s">
        <v>2150</v>
      </c>
      <c r="P336" s="98" t="s">
        <v>2151</v>
      </c>
      <c r="Q336" s="98" t="s">
        <v>2076</v>
      </c>
      <c r="R336" s="98" t="s">
        <v>2158</v>
      </c>
      <c r="S336" t="s">
        <v>2047</v>
      </c>
      <c r="T336" t="s">
        <v>2113</v>
      </c>
    </row>
    <row r="337" spans="1:20" x14ac:dyDescent="0.25">
      <c r="A337" s="98" t="s">
        <v>62</v>
      </c>
      <c r="B337" s="98" t="s">
        <v>234</v>
      </c>
      <c r="C337" s="98" t="s">
        <v>1179</v>
      </c>
      <c r="D337" s="98" t="s">
        <v>2034</v>
      </c>
      <c r="E337" s="101">
        <v>49078</v>
      </c>
      <c r="F337" s="101">
        <v>219512</v>
      </c>
      <c r="G337" s="98">
        <v>0</v>
      </c>
      <c r="H337" s="101">
        <v>45919</v>
      </c>
      <c r="I337" s="98" t="s">
        <v>2035</v>
      </c>
      <c r="J337" s="98">
        <v>49078</v>
      </c>
      <c r="K337" s="101" t="s">
        <v>2035</v>
      </c>
      <c r="L337" s="98">
        <v>46741</v>
      </c>
      <c r="M337" s="98">
        <v>2337</v>
      </c>
      <c r="N337" s="98">
        <v>5</v>
      </c>
      <c r="O337" s="98" t="s">
        <v>2150</v>
      </c>
      <c r="P337" s="98" t="s">
        <v>2151</v>
      </c>
      <c r="Q337" s="98" t="s">
        <v>2076</v>
      </c>
      <c r="R337" s="98" t="s">
        <v>2158</v>
      </c>
      <c r="S337" t="s">
        <v>2047</v>
      </c>
      <c r="T337" t="s">
        <v>2113</v>
      </c>
    </row>
    <row r="338" spans="1:20" x14ac:dyDescent="0.25">
      <c r="A338" s="98" t="s">
        <v>63</v>
      </c>
      <c r="B338" s="98" t="s">
        <v>236</v>
      </c>
      <c r="C338" s="98" t="s">
        <v>1179</v>
      </c>
      <c r="D338" s="98" t="s">
        <v>2034</v>
      </c>
      <c r="E338" s="101">
        <v>45070</v>
      </c>
      <c r="F338" s="101">
        <v>219512</v>
      </c>
      <c r="G338" s="98">
        <v>0</v>
      </c>
      <c r="H338" s="101">
        <v>45919</v>
      </c>
      <c r="I338" s="98" t="s">
        <v>2035</v>
      </c>
      <c r="J338" s="98">
        <v>45070</v>
      </c>
      <c r="K338" s="101" t="s">
        <v>2035</v>
      </c>
      <c r="L338" s="98">
        <v>42924</v>
      </c>
      <c r="M338" s="98">
        <v>2146</v>
      </c>
      <c r="N338" s="98">
        <v>5</v>
      </c>
      <c r="O338" s="98" t="s">
        <v>2150</v>
      </c>
      <c r="P338" s="98" t="s">
        <v>2151</v>
      </c>
      <c r="Q338" s="98" t="s">
        <v>2076</v>
      </c>
      <c r="R338" s="98" t="s">
        <v>2158</v>
      </c>
      <c r="S338" t="s">
        <v>2047</v>
      </c>
      <c r="T338" t="s">
        <v>2113</v>
      </c>
    </row>
    <row r="339" spans="1:20" x14ac:dyDescent="0.25">
      <c r="A339" s="98" t="s">
        <v>64</v>
      </c>
      <c r="B339" s="98" t="s">
        <v>238</v>
      </c>
      <c r="C339" s="98" t="s">
        <v>1179</v>
      </c>
      <c r="D339" s="98" t="s">
        <v>2034</v>
      </c>
      <c r="E339" s="101">
        <v>11284</v>
      </c>
      <c r="F339" s="101">
        <v>219512</v>
      </c>
      <c r="G339" s="98">
        <v>0</v>
      </c>
      <c r="H339" s="101">
        <v>45919</v>
      </c>
      <c r="I339" s="98" t="s">
        <v>2035</v>
      </c>
      <c r="J339" s="98">
        <v>11284</v>
      </c>
      <c r="K339" s="101" t="s">
        <v>2035</v>
      </c>
      <c r="L339" s="98">
        <v>10747</v>
      </c>
      <c r="M339" s="98">
        <v>537</v>
      </c>
      <c r="N339" s="98">
        <v>5</v>
      </c>
      <c r="O339" s="98" t="s">
        <v>2150</v>
      </c>
      <c r="P339" s="98" t="s">
        <v>2151</v>
      </c>
      <c r="Q339" s="98" t="s">
        <v>2076</v>
      </c>
      <c r="R339" s="98" t="s">
        <v>2158</v>
      </c>
      <c r="S339" t="s">
        <v>2159</v>
      </c>
      <c r="T339" t="s">
        <v>2113</v>
      </c>
    </row>
    <row r="340" spans="1:20" x14ac:dyDescent="0.25">
      <c r="A340" s="98" t="s">
        <v>65</v>
      </c>
      <c r="B340" s="98" t="s">
        <v>240</v>
      </c>
      <c r="C340" s="98" t="s">
        <v>1179</v>
      </c>
      <c r="D340" s="98" t="s">
        <v>2034</v>
      </c>
      <c r="E340" s="101">
        <v>41399</v>
      </c>
      <c r="F340" s="101">
        <v>219512</v>
      </c>
      <c r="G340" s="98">
        <v>0</v>
      </c>
      <c r="H340" s="101">
        <v>45919</v>
      </c>
      <c r="I340" s="98" t="s">
        <v>2035</v>
      </c>
      <c r="J340" s="98">
        <v>41399</v>
      </c>
      <c r="K340" s="101" t="s">
        <v>2035</v>
      </c>
      <c r="L340" s="98">
        <v>39428</v>
      </c>
      <c r="M340" s="98">
        <v>1971</v>
      </c>
      <c r="N340" s="98">
        <v>5</v>
      </c>
      <c r="O340" s="98" t="s">
        <v>2150</v>
      </c>
      <c r="P340" s="98" t="s">
        <v>2151</v>
      </c>
      <c r="Q340" s="98" t="s">
        <v>2076</v>
      </c>
      <c r="R340" s="98" t="s">
        <v>2158</v>
      </c>
      <c r="S340" t="s">
        <v>2047</v>
      </c>
      <c r="T340" t="s">
        <v>2113</v>
      </c>
    </row>
    <row r="341" spans="1:20" x14ac:dyDescent="0.25">
      <c r="A341" s="98" t="s">
        <v>66</v>
      </c>
      <c r="B341" s="98" t="s">
        <v>242</v>
      </c>
      <c r="C341" s="98" t="s">
        <v>1179</v>
      </c>
      <c r="D341" s="98" t="s">
        <v>2034</v>
      </c>
      <c r="E341" s="101">
        <v>10297</v>
      </c>
      <c r="F341" s="101">
        <v>219512</v>
      </c>
      <c r="G341" s="98">
        <v>0</v>
      </c>
      <c r="H341" s="101">
        <v>45919</v>
      </c>
      <c r="I341" s="98" t="s">
        <v>2035</v>
      </c>
      <c r="J341" s="98">
        <v>10297</v>
      </c>
      <c r="K341" s="101" t="s">
        <v>2035</v>
      </c>
      <c r="L341" s="98">
        <v>9807</v>
      </c>
      <c r="M341" s="98">
        <v>490</v>
      </c>
      <c r="N341" s="98">
        <v>5</v>
      </c>
      <c r="O341" s="98" t="s">
        <v>2150</v>
      </c>
      <c r="P341" s="98" t="s">
        <v>2151</v>
      </c>
      <c r="Q341" s="98" t="s">
        <v>2076</v>
      </c>
      <c r="R341" s="98" t="s">
        <v>2158</v>
      </c>
      <c r="S341" t="s">
        <v>2159</v>
      </c>
      <c r="T341" t="s">
        <v>2113</v>
      </c>
    </row>
    <row r="342" spans="1:20" x14ac:dyDescent="0.25">
      <c r="A342" s="98" t="s">
        <v>67</v>
      </c>
      <c r="B342" s="98" t="s">
        <v>244</v>
      </c>
      <c r="C342" s="98" t="s">
        <v>1179</v>
      </c>
      <c r="D342" s="98" t="s">
        <v>2034</v>
      </c>
      <c r="E342" s="101">
        <v>51030</v>
      </c>
      <c r="F342" s="101">
        <v>219512</v>
      </c>
      <c r="G342" s="98">
        <v>0</v>
      </c>
      <c r="H342" s="101">
        <v>45919</v>
      </c>
      <c r="I342" s="98" t="s">
        <v>2035</v>
      </c>
      <c r="J342" s="98">
        <v>51030</v>
      </c>
      <c r="K342" s="101" t="s">
        <v>2035</v>
      </c>
      <c r="L342" s="98">
        <v>48600</v>
      </c>
      <c r="M342" s="98">
        <v>2430</v>
      </c>
      <c r="N342" s="98">
        <v>5</v>
      </c>
      <c r="O342" s="98" t="s">
        <v>2150</v>
      </c>
      <c r="P342" s="98" t="s">
        <v>2151</v>
      </c>
      <c r="Q342" s="98" t="s">
        <v>2076</v>
      </c>
      <c r="R342" s="98" t="s">
        <v>2158</v>
      </c>
      <c r="S342" t="s">
        <v>2047</v>
      </c>
      <c r="T342" t="s">
        <v>2113</v>
      </c>
    </row>
    <row r="343" spans="1:20" x14ac:dyDescent="0.25">
      <c r="A343" s="98" t="s">
        <v>68</v>
      </c>
      <c r="B343" s="98" t="s">
        <v>313</v>
      </c>
      <c r="C343" s="98" t="s">
        <v>1179</v>
      </c>
      <c r="D343" s="98" t="s">
        <v>2034</v>
      </c>
      <c r="E343" s="101">
        <v>16485</v>
      </c>
      <c r="F343" s="101">
        <v>219512</v>
      </c>
      <c r="G343" s="98">
        <v>0</v>
      </c>
      <c r="H343" s="101">
        <v>45919</v>
      </c>
      <c r="I343" s="98" t="s">
        <v>2035</v>
      </c>
      <c r="J343" s="98">
        <v>16485</v>
      </c>
      <c r="K343" s="101" t="s">
        <v>2035</v>
      </c>
      <c r="L343" s="98">
        <v>15700</v>
      </c>
      <c r="M343" s="98">
        <v>785</v>
      </c>
      <c r="N343" s="98">
        <v>5</v>
      </c>
      <c r="O343" s="98" t="s">
        <v>2150</v>
      </c>
      <c r="P343" s="98" t="s">
        <v>2151</v>
      </c>
      <c r="Q343" s="98" t="s">
        <v>2076</v>
      </c>
      <c r="R343" s="98" t="s">
        <v>2160</v>
      </c>
      <c r="S343" t="s">
        <v>2161</v>
      </c>
      <c r="T343" t="s">
        <v>2113</v>
      </c>
    </row>
    <row r="344" spans="1:20" x14ac:dyDescent="0.25">
      <c r="A344" s="98" t="s">
        <v>69</v>
      </c>
      <c r="B344" s="98" t="s">
        <v>315</v>
      </c>
      <c r="C344" s="98" t="s">
        <v>1179</v>
      </c>
      <c r="D344" s="98" t="s">
        <v>2034</v>
      </c>
      <c r="E344" s="101">
        <v>16842</v>
      </c>
      <c r="F344" s="101">
        <v>219512</v>
      </c>
      <c r="G344" s="98">
        <v>0</v>
      </c>
      <c r="H344" s="101">
        <v>45919</v>
      </c>
      <c r="I344" s="98" t="s">
        <v>2035</v>
      </c>
      <c r="J344" s="98">
        <v>16842</v>
      </c>
      <c r="K344" s="101" t="s">
        <v>2035</v>
      </c>
      <c r="L344" s="98">
        <v>16040</v>
      </c>
      <c r="M344" s="98">
        <v>802</v>
      </c>
      <c r="N344" s="98">
        <v>5</v>
      </c>
      <c r="O344" s="98" t="s">
        <v>2150</v>
      </c>
      <c r="P344" s="98" t="s">
        <v>2151</v>
      </c>
      <c r="Q344" s="98" t="s">
        <v>2076</v>
      </c>
      <c r="R344" s="98" t="s">
        <v>2160</v>
      </c>
      <c r="S344" t="s">
        <v>2161</v>
      </c>
      <c r="T344" t="s">
        <v>2113</v>
      </c>
    </row>
    <row r="345" spans="1:20" x14ac:dyDescent="0.25">
      <c r="A345" s="98" t="s">
        <v>70</v>
      </c>
      <c r="B345" s="98" t="s">
        <v>317</v>
      </c>
      <c r="C345" s="98" t="s">
        <v>1179</v>
      </c>
      <c r="D345" s="98" t="s">
        <v>2034</v>
      </c>
      <c r="E345" s="101">
        <v>17096</v>
      </c>
      <c r="F345" s="101">
        <v>219512</v>
      </c>
      <c r="G345" s="98">
        <v>0</v>
      </c>
      <c r="H345" s="101">
        <v>45919</v>
      </c>
      <c r="I345" s="98" t="s">
        <v>2035</v>
      </c>
      <c r="J345" s="98">
        <v>17096</v>
      </c>
      <c r="K345" s="101" t="s">
        <v>2035</v>
      </c>
      <c r="L345" s="98">
        <v>16282</v>
      </c>
      <c r="M345" s="98">
        <v>814</v>
      </c>
      <c r="N345" s="98">
        <v>5</v>
      </c>
      <c r="O345" s="98" t="s">
        <v>2150</v>
      </c>
      <c r="P345" s="98" t="s">
        <v>2151</v>
      </c>
      <c r="Q345" s="98" t="s">
        <v>2076</v>
      </c>
      <c r="R345" s="98" t="s">
        <v>2160</v>
      </c>
      <c r="S345" t="s">
        <v>2161</v>
      </c>
      <c r="T345" t="s">
        <v>2113</v>
      </c>
    </row>
    <row r="346" spans="1:20" x14ac:dyDescent="0.25">
      <c r="A346" s="98" t="s">
        <v>1531</v>
      </c>
      <c r="B346" s="98" t="s">
        <v>1532</v>
      </c>
      <c r="C346" s="98" t="s">
        <v>1179</v>
      </c>
      <c r="D346" s="98" t="s">
        <v>2034</v>
      </c>
      <c r="E346" s="101">
        <v>57549</v>
      </c>
      <c r="F346" s="101">
        <v>219512</v>
      </c>
      <c r="G346" s="98">
        <v>0</v>
      </c>
      <c r="H346" s="101">
        <v>45880</v>
      </c>
      <c r="I346" s="98" t="s">
        <v>2035</v>
      </c>
      <c r="J346" s="98">
        <v>57549</v>
      </c>
      <c r="K346" s="101" t="s">
        <v>2035</v>
      </c>
      <c r="L346" s="98">
        <v>50043</v>
      </c>
      <c r="M346" s="98">
        <v>7506</v>
      </c>
      <c r="N346" s="98">
        <v>15</v>
      </c>
      <c r="O346" s="98" t="s">
        <v>2087</v>
      </c>
      <c r="P346" s="98" t="s">
        <v>2162</v>
      </c>
      <c r="Q346" s="98" t="s">
        <v>2050</v>
      </c>
      <c r="R346" s="98" t="s">
        <v>2152</v>
      </c>
      <c r="S346" t="s">
        <v>2047</v>
      </c>
      <c r="T346" t="s">
        <v>2113</v>
      </c>
    </row>
    <row r="347" spans="1:20" x14ac:dyDescent="0.25">
      <c r="A347" s="98" t="s">
        <v>1533</v>
      </c>
      <c r="B347" s="98" t="s">
        <v>1534</v>
      </c>
      <c r="C347" s="98" t="s">
        <v>1179</v>
      </c>
      <c r="D347" s="98" t="s">
        <v>2034</v>
      </c>
      <c r="E347" s="101">
        <v>32394</v>
      </c>
      <c r="F347" s="101">
        <v>219512</v>
      </c>
      <c r="G347" s="98">
        <v>0</v>
      </c>
      <c r="H347" s="101">
        <v>45880</v>
      </c>
      <c r="I347" s="98" t="s">
        <v>2035</v>
      </c>
      <c r="J347" s="98">
        <v>32394</v>
      </c>
      <c r="K347" s="101" t="s">
        <v>2035</v>
      </c>
      <c r="L347" s="98">
        <v>28169</v>
      </c>
      <c r="M347" s="98">
        <v>4225</v>
      </c>
      <c r="N347" s="98">
        <v>15</v>
      </c>
      <c r="O347" s="98" t="s">
        <v>2087</v>
      </c>
      <c r="P347" s="98" t="s">
        <v>2162</v>
      </c>
      <c r="Q347" s="98" t="s">
        <v>2050</v>
      </c>
      <c r="R347" s="98" t="s">
        <v>2152</v>
      </c>
      <c r="S347" t="s">
        <v>2047</v>
      </c>
      <c r="T347" t="s">
        <v>2113</v>
      </c>
    </row>
    <row r="348" spans="1:20" x14ac:dyDescent="0.25">
      <c r="A348" s="98" t="s">
        <v>1535</v>
      </c>
      <c r="B348" s="98" t="s">
        <v>1536</v>
      </c>
      <c r="C348" s="98" t="s">
        <v>1179</v>
      </c>
      <c r="D348" s="98" t="s">
        <v>2034</v>
      </c>
      <c r="E348" s="101">
        <v>46484</v>
      </c>
      <c r="F348" s="101">
        <v>219512</v>
      </c>
      <c r="G348" s="98">
        <v>0</v>
      </c>
      <c r="H348" s="101">
        <v>45880</v>
      </c>
      <c r="I348" s="98" t="s">
        <v>2035</v>
      </c>
      <c r="J348" s="98">
        <v>46484</v>
      </c>
      <c r="K348" s="101" t="s">
        <v>2035</v>
      </c>
      <c r="L348" s="98">
        <v>40421</v>
      </c>
      <c r="M348" s="98">
        <v>6063</v>
      </c>
      <c r="N348" s="98">
        <v>15</v>
      </c>
      <c r="O348" s="98" t="s">
        <v>2087</v>
      </c>
      <c r="P348" s="98" t="s">
        <v>2162</v>
      </c>
      <c r="Q348" s="98" t="s">
        <v>2050</v>
      </c>
      <c r="R348" s="98" t="s">
        <v>2152</v>
      </c>
      <c r="S348" t="s">
        <v>2047</v>
      </c>
      <c r="T348" t="s">
        <v>2113</v>
      </c>
    </row>
    <row r="349" spans="1:20" x14ac:dyDescent="0.25">
      <c r="A349" s="98" t="s">
        <v>71</v>
      </c>
      <c r="B349" s="98" t="s">
        <v>246</v>
      </c>
      <c r="C349" s="98" t="s">
        <v>1179</v>
      </c>
      <c r="D349" s="98" t="s">
        <v>2034</v>
      </c>
      <c r="E349" s="101">
        <v>25316</v>
      </c>
      <c r="F349" s="101">
        <v>219512</v>
      </c>
      <c r="G349" s="98">
        <v>0</v>
      </c>
      <c r="H349" s="101">
        <v>45919</v>
      </c>
      <c r="I349" s="98" t="s">
        <v>2035</v>
      </c>
      <c r="J349" s="98">
        <v>25316</v>
      </c>
      <c r="K349" s="101" t="s">
        <v>2035</v>
      </c>
      <c r="L349" s="98">
        <v>24110</v>
      </c>
      <c r="M349" s="98">
        <v>1206</v>
      </c>
      <c r="N349" s="98">
        <v>5</v>
      </c>
      <c r="O349" s="98" t="s">
        <v>2150</v>
      </c>
      <c r="P349" s="98" t="s">
        <v>2151</v>
      </c>
      <c r="Q349" s="98" t="s">
        <v>2076</v>
      </c>
      <c r="R349" s="98" t="s">
        <v>2163</v>
      </c>
      <c r="S349" t="s">
        <v>2047</v>
      </c>
      <c r="T349" t="s">
        <v>2113</v>
      </c>
    </row>
    <row r="350" spans="1:20" x14ac:dyDescent="0.25">
      <c r="A350" s="98" t="s">
        <v>72</v>
      </c>
      <c r="B350" s="98" t="s">
        <v>248</v>
      </c>
      <c r="C350" s="98" t="s">
        <v>1179</v>
      </c>
      <c r="D350" s="98" t="s">
        <v>2034</v>
      </c>
      <c r="E350" s="101">
        <v>23006</v>
      </c>
      <c r="F350" s="101">
        <v>219512</v>
      </c>
      <c r="G350" s="98">
        <v>0</v>
      </c>
      <c r="H350" s="101">
        <v>45919</v>
      </c>
      <c r="I350" s="98" t="s">
        <v>2035</v>
      </c>
      <c r="J350" s="98">
        <v>23006</v>
      </c>
      <c r="K350" s="101" t="s">
        <v>2035</v>
      </c>
      <c r="L350" s="98">
        <v>21910</v>
      </c>
      <c r="M350" s="98">
        <v>1096</v>
      </c>
      <c r="N350" s="98">
        <v>5</v>
      </c>
      <c r="O350" s="98" t="s">
        <v>2150</v>
      </c>
      <c r="P350" s="98" t="s">
        <v>2151</v>
      </c>
      <c r="Q350" s="98" t="s">
        <v>2076</v>
      </c>
      <c r="R350" s="98" t="s">
        <v>2163</v>
      </c>
      <c r="S350" t="s">
        <v>2047</v>
      </c>
      <c r="T350" t="s">
        <v>2113</v>
      </c>
    </row>
    <row r="351" spans="1:20" x14ac:dyDescent="0.25">
      <c r="A351" s="98" t="s">
        <v>73</v>
      </c>
      <c r="B351" s="98" t="s">
        <v>250</v>
      </c>
      <c r="C351" s="98" t="s">
        <v>1179</v>
      </c>
      <c r="D351" s="98" t="s">
        <v>2034</v>
      </c>
      <c r="E351" s="101">
        <v>22891</v>
      </c>
      <c r="F351" s="101">
        <v>219512</v>
      </c>
      <c r="G351" s="98">
        <v>0</v>
      </c>
      <c r="H351" s="101">
        <v>45919</v>
      </c>
      <c r="I351" s="98" t="s">
        <v>2035</v>
      </c>
      <c r="J351" s="98">
        <v>22891</v>
      </c>
      <c r="K351" s="101" t="s">
        <v>2035</v>
      </c>
      <c r="L351" s="98">
        <v>21801</v>
      </c>
      <c r="M351" s="98">
        <v>1090</v>
      </c>
      <c r="N351" s="98">
        <v>5</v>
      </c>
      <c r="O351" s="98" t="s">
        <v>2150</v>
      </c>
      <c r="P351" s="98" t="s">
        <v>2151</v>
      </c>
      <c r="Q351" s="98" t="s">
        <v>2076</v>
      </c>
      <c r="R351" s="98" t="s">
        <v>2163</v>
      </c>
      <c r="S351" t="s">
        <v>2047</v>
      </c>
      <c r="T351" t="s">
        <v>2113</v>
      </c>
    </row>
    <row r="352" spans="1:20" x14ac:dyDescent="0.25">
      <c r="A352" s="98" t="s">
        <v>74</v>
      </c>
      <c r="B352" s="98" t="s">
        <v>252</v>
      </c>
      <c r="C352" s="98" t="s">
        <v>1179</v>
      </c>
      <c r="D352" s="98" t="s">
        <v>2034</v>
      </c>
      <c r="E352" s="101">
        <v>21302</v>
      </c>
      <c r="F352" s="101">
        <v>219512</v>
      </c>
      <c r="G352" s="98">
        <v>0</v>
      </c>
      <c r="H352" s="101">
        <v>45919</v>
      </c>
      <c r="I352" s="98" t="s">
        <v>2035</v>
      </c>
      <c r="J352" s="98">
        <v>21302</v>
      </c>
      <c r="K352" s="101" t="s">
        <v>2035</v>
      </c>
      <c r="L352" s="98">
        <v>20288</v>
      </c>
      <c r="M352" s="98">
        <v>1014</v>
      </c>
      <c r="N352" s="98">
        <v>5</v>
      </c>
      <c r="O352" s="98" t="s">
        <v>2150</v>
      </c>
      <c r="P352" s="98" t="s">
        <v>2151</v>
      </c>
      <c r="Q352" s="98" t="s">
        <v>2076</v>
      </c>
      <c r="R352" s="98" t="s">
        <v>2163</v>
      </c>
      <c r="S352" t="s">
        <v>2047</v>
      </c>
      <c r="T352" t="s">
        <v>2113</v>
      </c>
    </row>
    <row r="353" spans="1:20" x14ac:dyDescent="0.25">
      <c r="A353" s="98" t="s">
        <v>75</v>
      </c>
      <c r="B353" s="98" t="s">
        <v>254</v>
      </c>
      <c r="C353" s="98" t="s">
        <v>1179</v>
      </c>
      <c r="D353" s="98" t="s">
        <v>2034</v>
      </c>
      <c r="E353" s="101">
        <v>22498</v>
      </c>
      <c r="F353" s="101">
        <v>219512</v>
      </c>
      <c r="G353" s="98">
        <v>0</v>
      </c>
      <c r="H353" s="101">
        <v>45919</v>
      </c>
      <c r="I353" s="98" t="s">
        <v>2035</v>
      </c>
      <c r="J353" s="98">
        <v>22498</v>
      </c>
      <c r="K353" s="101" t="s">
        <v>2035</v>
      </c>
      <c r="L353" s="98">
        <v>21427</v>
      </c>
      <c r="M353" s="98">
        <v>1071</v>
      </c>
      <c r="N353" s="98">
        <v>5</v>
      </c>
      <c r="O353" s="98" t="s">
        <v>2150</v>
      </c>
      <c r="P353" s="98" t="s">
        <v>2151</v>
      </c>
      <c r="Q353" s="98" t="s">
        <v>2076</v>
      </c>
      <c r="R353" s="98" t="s">
        <v>2163</v>
      </c>
      <c r="S353" t="s">
        <v>2047</v>
      </c>
      <c r="T353" t="s">
        <v>2113</v>
      </c>
    </row>
    <row r="354" spans="1:20" x14ac:dyDescent="0.25">
      <c r="A354" s="98" t="s">
        <v>76</v>
      </c>
      <c r="B354" s="98" t="s">
        <v>256</v>
      </c>
      <c r="C354" s="98" t="s">
        <v>1179</v>
      </c>
      <c r="D354" s="98" t="s">
        <v>2034</v>
      </c>
      <c r="E354" s="101">
        <v>20195</v>
      </c>
      <c r="F354" s="101">
        <v>219512</v>
      </c>
      <c r="G354" s="98">
        <v>0</v>
      </c>
      <c r="H354" s="101">
        <v>45919</v>
      </c>
      <c r="I354" s="98" t="s">
        <v>2035</v>
      </c>
      <c r="J354" s="98">
        <v>20195</v>
      </c>
      <c r="K354" s="101" t="s">
        <v>2035</v>
      </c>
      <c r="L354" s="98">
        <v>19233</v>
      </c>
      <c r="M354" s="98">
        <v>962</v>
      </c>
      <c r="N354" s="98">
        <v>5</v>
      </c>
      <c r="O354" s="98" t="s">
        <v>2150</v>
      </c>
      <c r="P354" s="98" t="s">
        <v>2151</v>
      </c>
      <c r="Q354" s="98" t="s">
        <v>2076</v>
      </c>
      <c r="R354" s="98" t="s">
        <v>2163</v>
      </c>
      <c r="S354" t="s">
        <v>2047</v>
      </c>
      <c r="T354" t="s">
        <v>2113</v>
      </c>
    </row>
    <row r="355" spans="1:20" x14ac:dyDescent="0.25">
      <c r="A355" s="98" t="s">
        <v>77</v>
      </c>
      <c r="B355" s="98" t="s">
        <v>258</v>
      </c>
      <c r="C355" s="98" t="s">
        <v>1179</v>
      </c>
      <c r="D355" s="98" t="s">
        <v>2034</v>
      </c>
      <c r="E355" s="101">
        <v>33872</v>
      </c>
      <c r="F355" s="101">
        <v>219512</v>
      </c>
      <c r="G355" s="98">
        <v>0</v>
      </c>
      <c r="H355" s="101">
        <v>45919</v>
      </c>
      <c r="I355" s="98" t="s">
        <v>2035</v>
      </c>
      <c r="J355" s="98">
        <v>33872</v>
      </c>
      <c r="K355" s="101" t="s">
        <v>2035</v>
      </c>
      <c r="L355" s="98">
        <v>32259</v>
      </c>
      <c r="M355" s="98">
        <v>1613</v>
      </c>
      <c r="N355" s="98">
        <v>5</v>
      </c>
      <c r="O355" s="98" t="s">
        <v>2150</v>
      </c>
      <c r="P355" s="98" t="s">
        <v>2151</v>
      </c>
      <c r="Q355" s="98" t="s">
        <v>2076</v>
      </c>
      <c r="R355" s="98" t="s">
        <v>2163</v>
      </c>
      <c r="S355" t="s">
        <v>2047</v>
      </c>
      <c r="T355" t="s">
        <v>2113</v>
      </c>
    </row>
    <row r="356" spans="1:20" x14ac:dyDescent="0.25">
      <c r="A356" s="98" t="s">
        <v>78</v>
      </c>
      <c r="B356" s="98" t="s">
        <v>260</v>
      </c>
      <c r="C356" s="98" t="s">
        <v>1179</v>
      </c>
      <c r="D356" s="98" t="s">
        <v>2034</v>
      </c>
      <c r="E356" s="101">
        <v>31045</v>
      </c>
      <c r="F356" s="101">
        <v>219512</v>
      </c>
      <c r="G356" s="98">
        <v>0</v>
      </c>
      <c r="H356" s="101">
        <v>45919</v>
      </c>
      <c r="I356" s="98" t="s">
        <v>2035</v>
      </c>
      <c r="J356" s="98">
        <v>31045</v>
      </c>
      <c r="K356" s="101" t="s">
        <v>2035</v>
      </c>
      <c r="L356" s="98">
        <v>29567</v>
      </c>
      <c r="M356" s="98">
        <v>1478</v>
      </c>
      <c r="N356" s="98">
        <v>5</v>
      </c>
      <c r="O356" s="98" t="s">
        <v>2150</v>
      </c>
      <c r="P356" s="98" t="s">
        <v>2151</v>
      </c>
      <c r="Q356" s="98" t="s">
        <v>2076</v>
      </c>
      <c r="R356" s="98" t="s">
        <v>2163</v>
      </c>
      <c r="S356" t="s">
        <v>2047</v>
      </c>
      <c r="T356" t="s">
        <v>2113</v>
      </c>
    </row>
    <row r="357" spans="1:20" x14ac:dyDescent="0.25">
      <c r="A357" s="98" t="s">
        <v>79</v>
      </c>
      <c r="B357" s="98" t="s">
        <v>1537</v>
      </c>
      <c r="C357" s="98" t="s">
        <v>1179</v>
      </c>
      <c r="D357" s="98" t="s">
        <v>2034</v>
      </c>
      <c r="E357" s="101">
        <v>11521</v>
      </c>
      <c r="F357" s="101">
        <v>219512</v>
      </c>
      <c r="G357" s="98">
        <v>0</v>
      </c>
      <c r="H357" s="101">
        <v>45919</v>
      </c>
      <c r="I357" s="98" t="s">
        <v>2035</v>
      </c>
      <c r="J357" s="98">
        <v>11521</v>
      </c>
      <c r="K357" s="101" t="s">
        <v>2035</v>
      </c>
      <c r="L357" s="98">
        <v>10972</v>
      </c>
      <c r="M357" s="98">
        <v>549</v>
      </c>
      <c r="N357" s="98">
        <v>5</v>
      </c>
      <c r="O357" s="98" t="s">
        <v>2150</v>
      </c>
      <c r="P357" s="98" t="s">
        <v>2151</v>
      </c>
      <c r="Q357" s="98" t="s">
        <v>2076</v>
      </c>
      <c r="R357" s="98" t="s">
        <v>2163</v>
      </c>
      <c r="S357" t="s">
        <v>2047</v>
      </c>
      <c r="T357" t="s">
        <v>2113</v>
      </c>
    </row>
    <row r="358" spans="1:20" x14ac:dyDescent="0.25">
      <c r="A358" s="98" t="s">
        <v>80</v>
      </c>
      <c r="B358" s="98" t="s">
        <v>1538</v>
      </c>
      <c r="C358" s="98" t="s">
        <v>1179</v>
      </c>
      <c r="D358" s="98" t="s">
        <v>2034</v>
      </c>
      <c r="E358" s="101">
        <v>10689</v>
      </c>
      <c r="F358" s="101">
        <v>219512</v>
      </c>
      <c r="G358" s="98">
        <v>0</v>
      </c>
      <c r="H358" s="101">
        <v>45919</v>
      </c>
      <c r="I358" s="98" t="s">
        <v>2035</v>
      </c>
      <c r="J358" s="98">
        <v>10689</v>
      </c>
      <c r="K358" s="101" t="s">
        <v>2035</v>
      </c>
      <c r="L358" s="98">
        <v>10180</v>
      </c>
      <c r="M358" s="98">
        <v>509</v>
      </c>
      <c r="N358" s="98">
        <v>5</v>
      </c>
      <c r="O358" s="98" t="s">
        <v>2150</v>
      </c>
      <c r="P358" s="98" t="s">
        <v>2151</v>
      </c>
      <c r="Q358" s="98" t="s">
        <v>2076</v>
      </c>
      <c r="R358" s="98" t="s">
        <v>2163</v>
      </c>
      <c r="S358" t="s">
        <v>2047</v>
      </c>
      <c r="T358" t="s">
        <v>2113</v>
      </c>
    </row>
    <row r="359" spans="1:20" x14ac:dyDescent="0.25">
      <c r="A359" s="98" t="s">
        <v>2164</v>
      </c>
      <c r="B359" s="98" t="s">
        <v>2165</v>
      </c>
      <c r="C359" s="98" t="s">
        <v>1179</v>
      </c>
      <c r="D359" s="98" t="s">
        <v>2034</v>
      </c>
      <c r="E359" s="101">
        <v>31309</v>
      </c>
      <c r="F359" s="101">
        <v>219512</v>
      </c>
      <c r="G359" s="98">
        <v>0</v>
      </c>
      <c r="H359" s="101">
        <v>45919</v>
      </c>
      <c r="I359" s="98" t="s">
        <v>2035</v>
      </c>
      <c r="J359" s="98">
        <v>31309</v>
      </c>
      <c r="K359" s="101" t="s">
        <v>2054</v>
      </c>
      <c r="L359" s="98">
        <v>0</v>
      </c>
      <c r="M359" s="98">
        <v>31309</v>
      </c>
      <c r="N359" s="98">
        <v>0</v>
      </c>
      <c r="O359" s="98" t="s">
        <v>2150</v>
      </c>
      <c r="P359" s="98" t="s">
        <v>2151</v>
      </c>
      <c r="Q359" s="98" t="s">
        <v>2076</v>
      </c>
      <c r="R359" s="98" t="s">
        <v>2163</v>
      </c>
      <c r="S359" t="s">
        <v>2047</v>
      </c>
      <c r="T359" t="s">
        <v>2113</v>
      </c>
    </row>
    <row r="360" spans="1:20" x14ac:dyDescent="0.25">
      <c r="A360" s="98" t="s">
        <v>2166</v>
      </c>
      <c r="B360" s="98" t="s">
        <v>2167</v>
      </c>
      <c r="C360" s="98" t="s">
        <v>1179</v>
      </c>
      <c r="D360" s="98" t="s">
        <v>2034</v>
      </c>
      <c r="E360" s="101">
        <v>28579</v>
      </c>
      <c r="F360" s="101">
        <v>219512</v>
      </c>
      <c r="G360" s="98">
        <v>0</v>
      </c>
      <c r="H360" s="101">
        <v>45919</v>
      </c>
      <c r="I360" s="98" t="s">
        <v>2035</v>
      </c>
      <c r="J360" s="98">
        <v>28579</v>
      </c>
      <c r="K360" s="101" t="s">
        <v>2054</v>
      </c>
      <c r="L360" s="98">
        <v>0</v>
      </c>
      <c r="M360" s="98">
        <v>28579</v>
      </c>
      <c r="N360" s="98">
        <v>0</v>
      </c>
      <c r="O360" s="98" t="s">
        <v>2150</v>
      </c>
      <c r="P360" s="98" t="s">
        <v>2151</v>
      </c>
      <c r="Q360" s="98" t="s">
        <v>2076</v>
      </c>
      <c r="R360" s="98" t="s">
        <v>2163</v>
      </c>
      <c r="S360" t="s">
        <v>2047</v>
      </c>
      <c r="T360" t="s">
        <v>2113</v>
      </c>
    </row>
    <row r="361" spans="1:20" x14ac:dyDescent="0.25">
      <c r="A361" s="98" t="s">
        <v>2168</v>
      </c>
      <c r="B361" s="98" t="s">
        <v>2169</v>
      </c>
      <c r="C361" s="98" t="s">
        <v>1179</v>
      </c>
      <c r="D361" s="98" t="s">
        <v>2034</v>
      </c>
      <c r="E361" s="101">
        <v>28007</v>
      </c>
      <c r="F361" s="101">
        <v>219512</v>
      </c>
      <c r="G361" s="98">
        <v>0</v>
      </c>
      <c r="H361" s="101">
        <v>45919</v>
      </c>
      <c r="I361" s="98" t="s">
        <v>2035</v>
      </c>
      <c r="J361" s="98">
        <v>28007</v>
      </c>
      <c r="K361" s="101" t="s">
        <v>2054</v>
      </c>
      <c r="L361" s="98">
        <v>0</v>
      </c>
      <c r="M361" s="98">
        <v>28007</v>
      </c>
      <c r="N361" s="98">
        <v>0</v>
      </c>
      <c r="O361" s="98" t="s">
        <v>2150</v>
      </c>
      <c r="P361" s="98" t="s">
        <v>2151</v>
      </c>
      <c r="Q361" s="98" t="s">
        <v>2076</v>
      </c>
      <c r="R361" s="98" t="s">
        <v>2163</v>
      </c>
      <c r="S361" t="s">
        <v>2047</v>
      </c>
      <c r="T361" t="s">
        <v>2113</v>
      </c>
    </row>
    <row r="362" spans="1:20" x14ac:dyDescent="0.25">
      <c r="A362" s="98" t="s">
        <v>81</v>
      </c>
      <c r="B362" s="98" t="s">
        <v>265</v>
      </c>
      <c r="C362" s="98" t="s">
        <v>1179</v>
      </c>
      <c r="D362" s="98" t="s">
        <v>2034</v>
      </c>
      <c r="E362" s="101">
        <v>54701</v>
      </c>
      <c r="F362" s="101">
        <v>219512</v>
      </c>
      <c r="G362" s="98">
        <v>0</v>
      </c>
      <c r="H362" s="101">
        <v>45919</v>
      </c>
      <c r="I362" s="98" t="s">
        <v>2035</v>
      </c>
      <c r="J362" s="98">
        <v>54701</v>
      </c>
      <c r="K362" s="101" t="s">
        <v>2035</v>
      </c>
      <c r="L362" s="98">
        <v>50649</v>
      </c>
      <c r="M362" s="98">
        <v>4052</v>
      </c>
      <c r="N362" s="98">
        <v>8</v>
      </c>
      <c r="O362" s="98" t="s">
        <v>2150</v>
      </c>
      <c r="P362" s="98" t="s">
        <v>2151</v>
      </c>
      <c r="Q362" s="98" t="s">
        <v>2076</v>
      </c>
      <c r="R362" s="98" t="s">
        <v>2160</v>
      </c>
      <c r="S362" t="s">
        <v>2170</v>
      </c>
      <c r="T362" t="s">
        <v>2113</v>
      </c>
    </row>
    <row r="363" spans="1:20" x14ac:dyDescent="0.25">
      <c r="A363" s="98" t="s">
        <v>82</v>
      </c>
      <c r="B363" s="98" t="s">
        <v>267</v>
      </c>
      <c r="C363" s="98" t="s">
        <v>1179</v>
      </c>
      <c r="D363" s="98" t="s">
        <v>2034</v>
      </c>
      <c r="E363" s="101">
        <v>69144</v>
      </c>
      <c r="F363" s="101">
        <v>219512</v>
      </c>
      <c r="G363" s="98">
        <v>0</v>
      </c>
      <c r="H363" s="101">
        <v>45919</v>
      </c>
      <c r="I363" s="98" t="s">
        <v>2035</v>
      </c>
      <c r="J363" s="98">
        <v>69144</v>
      </c>
      <c r="K363" s="101" t="s">
        <v>2035</v>
      </c>
      <c r="L363" s="98">
        <v>65851</v>
      </c>
      <c r="M363" s="98">
        <v>3293</v>
      </c>
      <c r="N363" s="98">
        <v>5</v>
      </c>
      <c r="O363" s="98" t="s">
        <v>2150</v>
      </c>
      <c r="P363" s="98" t="s">
        <v>2151</v>
      </c>
      <c r="Q363" s="98" t="s">
        <v>2076</v>
      </c>
      <c r="R363" s="98" t="s">
        <v>2160</v>
      </c>
      <c r="S363" t="s">
        <v>2170</v>
      </c>
      <c r="T363" t="s">
        <v>2113</v>
      </c>
    </row>
    <row r="364" spans="1:20" x14ac:dyDescent="0.25">
      <c r="A364" s="98" t="s">
        <v>83</v>
      </c>
      <c r="B364" s="98" t="s">
        <v>269</v>
      </c>
      <c r="C364" s="98" t="s">
        <v>1179</v>
      </c>
      <c r="D364" s="98" t="s">
        <v>2034</v>
      </c>
      <c r="E364" s="101">
        <v>99422</v>
      </c>
      <c r="F364" s="101">
        <v>219512</v>
      </c>
      <c r="G364" s="98">
        <v>0</v>
      </c>
      <c r="H364" s="101">
        <v>45880</v>
      </c>
      <c r="I364" s="98" t="s">
        <v>2035</v>
      </c>
      <c r="J364" s="98">
        <v>99422</v>
      </c>
      <c r="K364" s="101" t="s">
        <v>2035</v>
      </c>
      <c r="L364" s="98">
        <v>86454</v>
      </c>
      <c r="M364" s="98">
        <v>12968</v>
      </c>
      <c r="N364" s="98">
        <v>15</v>
      </c>
      <c r="O364" s="98" t="s">
        <v>2150</v>
      </c>
      <c r="P364" s="98" t="s">
        <v>2151</v>
      </c>
      <c r="Q364" s="98" t="s">
        <v>2076</v>
      </c>
      <c r="R364" s="98" t="s">
        <v>2160</v>
      </c>
      <c r="S364" t="s">
        <v>2170</v>
      </c>
      <c r="T364" t="s">
        <v>2113</v>
      </c>
    </row>
    <row r="365" spans="1:20" x14ac:dyDescent="0.25">
      <c r="A365" s="98" t="s">
        <v>84</v>
      </c>
      <c r="B365" s="98" t="s">
        <v>271</v>
      </c>
      <c r="C365" s="98" t="s">
        <v>1179</v>
      </c>
      <c r="D365" s="98" t="s">
        <v>2034</v>
      </c>
      <c r="E365" s="101">
        <v>52149</v>
      </c>
      <c r="F365" s="101">
        <v>219512</v>
      </c>
      <c r="G365" s="98">
        <v>0</v>
      </c>
      <c r="H365" s="101">
        <v>45919</v>
      </c>
      <c r="I365" s="98" t="s">
        <v>2035</v>
      </c>
      <c r="J365" s="98">
        <v>52149</v>
      </c>
      <c r="K365" s="101" t="s">
        <v>2035</v>
      </c>
      <c r="L365" s="98">
        <v>50630</v>
      </c>
      <c r="M365" s="98">
        <v>1519</v>
      </c>
      <c r="N365" s="98">
        <v>3</v>
      </c>
      <c r="O365" s="98" t="s">
        <v>2150</v>
      </c>
      <c r="P365" s="98" t="s">
        <v>2144</v>
      </c>
      <c r="Q365" s="98" t="s">
        <v>2076</v>
      </c>
      <c r="R365" s="98" t="s">
        <v>2171</v>
      </c>
      <c r="S365" t="s">
        <v>2133</v>
      </c>
      <c r="T365" t="s">
        <v>2113</v>
      </c>
    </row>
    <row r="366" spans="1:20" x14ac:dyDescent="0.25">
      <c r="A366" s="98" t="s">
        <v>85</v>
      </c>
      <c r="B366" s="98" t="s">
        <v>273</v>
      </c>
      <c r="C366" s="98" t="s">
        <v>1179</v>
      </c>
      <c r="D366" s="98" t="s">
        <v>2034</v>
      </c>
      <c r="E366" s="101">
        <v>113659</v>
      </c>
      <c r="F366" s="101">
        <v>219512</v>
      </c>
      <c r="G366" s="98">
        <v>0</v>
      </c>
      <c r="H366" s="101">
        <v>45919</v>
      </c>
      <c r="I366" s="98" t="s">
        <v>2035</v>
      </c>
      <c r="J366" s="98">
        <v>113659</v>
      </c>
      <c r="K366" s="101" t="s">
        <v>2035</v>
      </c>
      <c r="L366" s="98">
        <v>110349</v>
      </c>
      <c r="M366" s="98">
        <v>3310</v>
      </c>
      <c r="N366" s="98">
        <v>3</v>
      </c>
      <c r="O366" s="98" t="s">
        <v>2150</v>
      </c>
      <c r="P366" s="98" t="s">
        <v>2144</v>
      </c>
      <c r="Q366" s="98" t="s">
        <v>2076</v>
      </c>
      <c r="R366" s="98" t="s">
        <v>2171</v>
      </c>
      <c r="S366" t="s">
        <v>2133</v>
      </c>
      <c r="T366" t="s">
        <v>2113</v>
      </c>
    </row>
    <row r="367" spans="1:20" x14ac:dyDescent="0.25">
      <c r="A367" s="98" t="s">
        <v>86</v>
      </c>
      <c r="B367" s="98" t="s">
        <v>319</v>
      </c>
      <c r="C367" s="98" t="s">
        <v>1179</v>
      </c>
      <c r="D367" s="98" t="s">
        <v>2034</v>
      </c>
      <c r="E367" s="101">
        <v>20369</v>
      </c>
      <c r="F367" s="101">
        <v>219512</v>
      </c>
      <c r="G367" s="98">
        <v>0</v>
      </c>
      <c r="H367" s="101">
        <v>45880</v>
      </c>
      <c r="I367" s="98" t="s">
        <v>2035</v>
      </c>
      <c r="J367" s="98">
        <v>20369</v>
      </c>
      <c r="K367" s="101" t="s">
        <v>2035</v>
      </c>
      <c r="L367" s="98">
        <v>17712</v>
      </c>
      <c r="M367" s="98">
        <v>2657</v>
      </c>
      <c r="N367" s="98">
        <v>15</v>
      </c>
      <c r="O367" s="98" t="s">
        <v>2150</v>
      </c>
      <c r="P367" s="98" t="s">
        <v>2151</v>
      </c>
      <c r="Q367" s="98" t="s">
        <v>2076</v>
      </c>
      <c r="R367" s="98" t="s">
        <v>2160</v>
      </c>
      <c r="S367" t="s">
        <v>2161</v>
      </c>
      <c r="T367" t="s">
        <v>2113</v>
      </c>
    </row>
    <row r="368" spans="1:20" x14ac:dyDescent="0.25">
      <c r="A368" s="98" t="s">
        <v>87</v>
      </c>
      <c r="B368" s="98" t="s">
        <v>321</v>
      </c>
      <c r="C368" s="98" t="s">
        <v>1179</v>
      </c>
      <c r="D368" s="98" t="s">
        <v>2034</v>
      </c>
      <c r="E368" s="101">
        <v>21926</v>
      </c>
      <c r="F368" s="101">
        <v>219512</v>
      </c>
      <c r="G368" s="98">
        <v>0</v>
      </c>
      <c r="H368" s="101">
        <v>45919</v>
      </c>
      <c r="I368" s="98" t="s">
        <v>2035</v>
      </c>
      <c r="J368" s="98">
        <v>21926</v>
      </c>
      <c r="K368" s="101" t="s">
        <v>2035</v>
      </c>
      <c r="L368" s="98">
        <v>21287</v>
      </c>
      <c r="M368" s="98">
        <v>639</v>
      </c>
      <c r="N368" s="98">
        <v>3</v>
      </c>
      <c r="O368" s="98" t="s">
        <v>2150</v>
      </c>
      <c r="P368" s="98" t="s">
        <v>2151</v>
      </c>
      <c r="Q368" s="98" t="s">
        <v>2076</v>
      </c>
      <c r="R368" s="98" t="s">
        <v>2160</v>
      </c>
      <c r="S368" t="s">
        <v>2161</v>
      </c>
      <c r="T368" t="s">
        <v>2113</v>
      </c>
    </row>
    <row r="369" spans="1:20" x14ac:dyDescent="0.25">
      <c r="A369" s="98" t="s">
        <v>88</v>
      </c>
      <c r="B369" s="98" t="s">
        <v>323</v>
      </c>
      <c r="C369" s="98" t="s">
        <v>1179</v>
      </c>
      <c r="D369" s="98" t="s">
        <v>2034</v>
      </c>
      <c r="E369" s="101">
        <v>22027</v>
      </c>
      <c r="F369" s="101">
        <v>219512</v>
      </c>
      <c r="G369" s="98">
        <v>0</v>
      </c>
      <c r="H369" s="101">
        <v>45919</v>
      </c>
      <c r="I369" s="98" t="s">
        <v>2035</v>
      </c>
      <c r="J369" s="98">
        <v>22027</v>
      </c>
      <c r="K369" s="101" t="s">
        <v>2035</v>
      </c>
      <c r="L369" s="98">
        <v>20586</v>
      </c>
      <c r="M369" s="98">
        <v>1441</v>
      </c>
      <c r="N369" s="98">
        <v>7</v>
      </c>
      <c r="O369" s="98" t="s">
        <v>2150</v>
      </c>
      <c r="P369" s="98" t="s">
        <v>2151</v>
      </c>
      <c r="Q369" s="98" t="s">
        <v>2076</v>
      </c>
      <c r="R369" s="98" t="s">
        <v>2160</v>
      </c>
      <c r="S369" t="s">
        <v>2161</v>
      </c>
      <c r="T369" t="s">
        <v>2113</v>
      </c>
    </row>
    <row r="370" spans="1:20" x14ac:dyDescent="0.25">
      <c r="A370" s="98" t="s">
        <v>962</v>
      </c>
      <c r="B370" s="98" t="s">
        <v>964</v>
      </c>
      <c r="C370" s="98" t="s">
        <v>1179</v>
      </c>
      <c r="D370" s="98" t="s">
        <v>2034</v>
      </c>
      <c r="E370" s="101">
        <v>64803</v>
      </c>
      <c r="F370" s="101">
        <v>219512</v>
      </c>
      <c r="G370" s="98">
        <v>0</v>
      </c>
      <c r="H370" s="101">
        <v>45919</v>
      </c>
      <c r="I370" s="98" t="s">
        <v>2035</v>
      </c>
      <c r="J370" s="98">
        <v>64803</v>
      </c>
      <c r="K370" s="101" t="s">
        <v>2035</v>
      </c>
      <c r="L370" s="98">
        <v>61717</v>
      </c>
      <c r="M370" s="98">
        <v>3086</v>
      </c>
      <c r="N370" s="98">
        <v>5</v>
      </c>
      <c r="O370" s="98" t="s">
        <v>2150</v>
      </c>
      <c r="P370" s="98" t="s">
        <v>2144</v>
      </c>
      <c r="Q370" s="98" t="s">
        <v>2076</v>
      </c>
      <c r="R370" s="98" t="s">
        <v>2171</v>
      </c>
      <c r="S370" t="s">
        <v>2133</v>
      </c>
      <c r="T370" t="s">
        <v>2113</v>
      </c>
    </row>
    <row r="371" spans="1:20" x14ac:dyDescent="0.25">
      <c r="A371" s="98" t="s">
        <v>1539</v>
      </c>
      <c r="B371" s="98" t="s">
        <v>1540</v>
      </c>
      <c r="C371" s="98" t="s">
        <v>1179</v>
      </c>
      <c r="D371" s="98" t="s">
        <v>2034</v>
      </c>
      <c r="E371" s="101">
        <v>19880</v>
      </c>
      <c r="F371" s="101">
        <v>219512</v>
      </c>
      <c r="G371" s="98">
        <v>0</v>
      </c>
      <c r="H371" s="101">
        <v>45762</v>
      </c>
      <c r="I371" s="98" t="s">
        <v>2035</v>
      </c>
      <c r="J371" s="98">
        <v>19880</v>
      </c>
      <c r="K371" s="101" t="s">
        <v>2035</v>
      </c>
      <c r="L371" s="98">
        <v>18073</v>
      </c>
      <c r="M371" s="98">
        <v>1807</v>
      </c>
      <c r="N371" s="98">
        <v>10</v>
      </c>
      <c r="O371" s="98" t="s">
        <v>2150</v>
      </c>
      <c r="P371" s="98" t="s">
        <v>2172</v>
      </c>
      <c r="Q371" s="98" t="s">
        <v>2050</v>
      </c>
      <c r="R371" s="98" t="s">
        <v>2171</v>
      </c>
      <c r="S371" t="s">
        <v>2173</v>
      </c>
      <c r="T371" t="s">
        <v>2174</v>
      </c>
    </row>
    <row r="372" spans="1:20" x14ac:dyDescent="0.25">
      <c r="A372" s="98" t="s">
        <v>1541</v>
      </c>
      <c r="B372" s="98" t="s">
        <v>1542</v>
      </c>
      <c r="C372" s="98" t="s">
        <v>1179</v>
      </c>
      <c r="D372" s="98" t="s">
        <v>2034</v>
      </c>
      <c r="E372" s="101">
        <v>58861</v>
      </c>
      <c r="F372" s="101">
        <v>219512</v>
      </c>
      <c r="G372" s="98">
        <v>0</v>
      </c>
      <c r="H372" s="101">
        <v>45762</v>
      </c>
      <c r="I372" s="98" t="s">
        <v>2035</v>
      </c>
      <c r="J372" s="98">
        <v>58861</v>
      </c>
      <c r="K372" s="101" t="s">
        <v>2035</v>
      </c>
      <c r="L372" s="98">
        <v>53510</v>
      </c>
      <c r="M372" s="98">
        <v>5351</v>
      </c>
      <c r="N372" s="98">
        <v>10</v>
      </c>
      <c r="O372" s="98" t="s">
        <v>2150</v>
      </c>
      <c r="P372" s="98" t="s">
        <v>2144</v>
      </c>
      <c r="Q372" s="98" t="s">
        <v>2050</v>
      </c>
      <c r="R372" s="98" t="s">
        <v>2171</v>
      </c>
      <c r="S372" t="s">
        <v>2047</v>
      </c>
      <c r="T372" t="s">
        <v>2113</v>
      </c>
    </row>
    <row r="373" spans="1:20" x14ac:dyDescent="0.25">
      <c r="A373" s="98" t="s">
        <v>1543</v>
      </c>
      <c r="B373" s="98" t="s">
        <v>1544</v>
      </c>
      <c r="C373" s="98" t="s">
        <v>1179</v>
      </c>
      <c r="D373" s="98" t="s">
        <v>2034</v>
      </c>
      <c r="E373" s="101">
        <v>86207</v>
      </c>
      <c r="F373" s="101">
        <v>219512</v>
      </c>
      <c r="G373" s="98">
        <v>0</v>
      </c>
      <c r="H373" s="101">
        <v>45762</v>
      </c>
      <c r="I373" s="98" t="s">
        <v>2035</v>
      </c>
      <c r="J373" s="98">
        <v>86207</v>
      </c>
      <c r="K373" s="101" t="s">
        <v>2035</v>
      </c>
      <c r="L373" s="98">
        <v>78370</v>
      </c>
      <c r="M373" s="98">
        <v>7837</v>
      </c>
      <c r="N373" s="98">
        <v>10</v>
      </c>
      <c r="O373" s="98" t="s">
        <v>2150</v>
      </c>
      <c r="P373" s="98" t="s">
        <v>2144</v>
      </c>
      <c r="Q373" s="98" t="s">
        <v>2050</v>
      </c>
      <c r="R373" s="98" t="s">
        <v>2171</v>
      </c>
      <c r="S373" t="s">
        <v>2047</v>
      </c>
      <c r="T373" t="s">
        <v>2113</v>
      </c>
    </row>
    <row r="374" spans="1:20" x14ac:dyDescent="0.25">
      <c r="A374" s="98" t="s">
        <v>1545</v>
      </c>
      <c r="B374" s="98" t="s">
        <v>1546</v>
      </c>
      <c r="C374" s="98" t="s">
        <v>1179</v>
      </c>
      <c r="D374" s="98" t="s">
        <v>2034</v>
      </c>
      <c r="E374" s="101">
        <v>41415</v>
      </c>
      <c r="F374" s="101">
        <v>219512</v>
      </c>
      <c r="G374" s="98">
        <v>0</v>
      </c>
      <c r="H374" s="101">
        <v>45352</v>
      </c>
      <c r="I374" s="98" t="s">
        <v>2035</v>
      </c>
      <c r="J374" s="98">
        <v>41415</v>
      </c>
      <c r="K374" s="101" t="s">
        <v>2054</v>
      </c>
      <c r="L374" s="98">
        <v>0</v>
      </c>
      <c r="M374" s="98">
        <v>41415</v>
      </c>
      <c r="N374" s="98">
        <v>0</v>
      </c>
      <c r="O374" s="98" t="s">
        <v>2150</v>
      </c>
      <c r="P374" s="98" t="s">
        <v>2175</v>
      </c>
      <c r="Q374" s="98" t="s">
        <v>2050</v>
      </c>
      <c r="R374" s="98" t="s">
        <v>2171</v>
      </c>
      <c r="S374" t="s">
        <v>2047</v>
      </c>
      <c r="T374" t="s">
        <v>2174</v>
      </c>
    </row>
    <row r="375" spans="1:20" x14ac:dyDescent="0.25">
      <c r="A375" s="98" t="s">
        <v>1547</v>
      </c>
      <c r="B375" s="98" t="s">
        <v>1548</v>
      </c>
      <c r="C375" s="98" t="s">
        <v>1179</v>
      </c>
      <c r="D375" s="98" t="s">
        <v>2034</v>
      </c>
      <c r="E375" s="101">
        <v>41415</v>
      </c>
      <c r="F375" s="101">
        <v>219512</v>
      </c>
      <c r="G375" s="98">
        <v>0</v>
      </c>
      <c r="H375" s="101">
        <v>45352</v>
      </c>
      <c r="I375" s="98" t="s">
        <v>2035</v>
      </c>
      <c r="J375" s="98">
        <v>41415</v>
      </c>
      <c r="K375" s="101" t="s">
        <v>2054</v>
      </c>
      <c r="L375" s="98">
        <v>0</v>
      </c>
      <c r="M375" s="98">
        <v>41415</v>
      </c>
      <c r="N375" s="98">
        <v>0</v>
      </c>
      <c r="O375" s="98" t="s">
        <v>2150</v>
      </c>
      <c r="P375" s="98" t="s">
        <v>2175</v>
      </c>
      <c r="Q375" s="98" t="s">
        <v>2050</v>
      </c>
      <c r="R375" s="98" t="s">
        <v>2171</v>
      </c>
      <c r="S375" t="s">
        <v>2047</v>
      </c>
      <c r="T375" t="s">
        <v>2174</v>
      </c>
    </row>
    <row r="376" spans="1:20" x14ac:dyDescent="0.25">
      <c r="A376" s="98" t="s">
        <v>1549</v>
      </c>
      <c r="B376" s="98" t="s">
        <v>1550</v>
      </c>
      <c r="C376" s="98" t="s">
        <v>1179</v>
      </c>
      <c r="D376" s="98" t="s">
        <v>2034</v>
      </c>
      <c r="E376" s="101">
        <v>41415</v>
      </c>
      <c r="F376" s="101">
        <v>219512</v>
      </c>
      <c r="G376" s="98">
        <v>0</v>
      </c>
      <c r="H376" s="101">
        <v>45352</v>
      </c>
      <c r="I376" s="98" t="s">
        <v>2035</v>
      </c>
      <c r="J376" s="98">
        <v>41415</v>
      </c>
      <c r="K376" s="101" t="s">
        <v>2054</v>
      </c>
      <c r="L376" s="98">
        <v>0</v>
      </c>
      <c r="M376" s="98">
        <v>41415</v>
      </c>
      <c r="N376" s="98">
        <v>0</v>
      </c>
      <c r="O376" s="98" t="s">
        <v>2150</v>
      </c>
      <c r="P376" s="98" t="s">
        <v>2175</v>
      </c>
      <c r="Q376" s="98" t="s">
        <v>2050</v>
      </c>
      <c r="R376" s="98" t="s">
        <v>2171</v>
      </c>
      <c r="S376" t="s">
        <v>2047</v>
      </c>
      <c r="T376" t="s">
        <v>2174</v>
      </c>
    </row>
    <row r="377" spans="1:20" x14ac:dyDescent="0.25">
      <c r="A377" s="98" t="s">
        <v>1551</v>
      </c>
      <c r="B377" s="98" t="s">
        <v>1552</v>
      </c>
      <c r="C377" s="98" t="s">
        <v>1179</v>
      </c>
      <c r="D377" s="98" t="s">
        <v>2034</v>
      </c>
      <c r="E377" s="101">
        <v>41415</v>
      </c>
      <c r="F377" s="101">
        <v>219512</v>
      </c>
      <c r="G377" s="98">
        <v>0</v>
      </c>
      <c r="H377" s="101">
        <v>45352</v>
      </c>
      <c r="I377" s="98" t="s">
        <v>2035</v>
      </c>
      <c r="J377" s="98">
        <v>41415</v>
      </c>
      <c r="K377" s="101" t="s">
        <v>2054</v>
      </c>
      <c r="L377" s="98">
        <v>0</v>
      </c>
      <c r="M377" s="98">
        <v>41415</v>
      </c>
      <c r="N377" s="98">
        <v>0</v>
      </c>
      <c r="O377" s="98" t="s">
        <v>2150</v>
      </c>
      <c r="P377" s="98" t="s">
        <v>2175</v>
      </c>
      <c r="Q377" s="98" t="s">
        <v>2050</v>
      </c>
      <c r="R377" s="98" t="s">
        <v>2171</v>
      </c>
      <c r="S377" t="s">
        <v>2047</v>
      </c>
      <c r="T377" t="s">
        <v>2174</v>
      </c>
    </row>
    <row r="378" spans="1:20" x14ac:dyDescent="0.25">
      <c r="A378" s="98" t="s">
        <v>1553</v>
      </c>
      <c r="B378" s="98" t="s">
        <v>1554</v>
      </c>
      <c r="C378" s="98" t="s">
        <v>1179</v>
      </c>
      <c r="D378" s="98" t="s">
        <v>2034</v>
      </c>
      <c r="E378" s="101">
        <v>41415</v>
      </c>
      <c r="F378" s="101">
        <v>219512</v>
      </c>
      <c r="G378" s="98">
        <v>0</v>
      </c>
      <c r="H378" s="101">
        <v>45352</v>
      </c>
      <c r="I378" s="98" t="s">
        <v>2035</v>
      </c>
      <c r="J378" s="98">
        <v>41415</v>
      </c>
      <c r="K378" s="101" t="s">
        <v>2054</v>
      </c>
      <c r="L378" s="98">
        <v>0</v>
      </c>
      <c r="M378" s="98">
        <v>41415</v>
      </c>
      <c r="N378" s="98">
        <v>0</v>
      </c>
      <c r="O378" s="98" t="s">
        <v>2150</v>
      </c>
      <c r="P378" s="98" t="s">
        <v>2175</v>
      </c>
      <c r="Q378" s="98" t="s">
        <v>2050</v>
      </c>
      <c r="R378" s="98" t="s">
        <v>2171</v>
      </c>
      <c r="S378" t="s">
        <v>2047</v>
      </c>
      <c r="T378" t="s">
        <v>2174</v>
      </c>
    </row>
    <row r="379" spans="1:20" x14ac:dyDescent="0.25">
      <c r="A379" s="98" t="s">
        <v>1555</v>
      </c>
      <c r="B379" s="98" t="s">
        <v>1556</v>
      </c>
      <c r="C379" s="98" t="s">
        <v>1179</v>
      </c>
      <c r="D379" s="98" t="s">
        <v>2034</v>
      </c>
      <c r="E379" s="101">
        <v>41415</v>
      </c>
      <c r="F379" s="101">
        <v>219512</v>
      </c>
      <c r="G379" s="98">
        <v>0</v>
      </c>
      <c r="H379" s="101">
        <v>45352</v>
      </c>
      <c r="I379" s="98" t="s">
        <v>2035</v>
      </c>
      <c r="J379" s="98">
        <v>41415</v>
      </c>
      <c r="K379" s="101" t="s">
        <v>2054</v>
      </c>
      <c r="L379" s="98">
        <v>0</v>
      </c>
      <c r="M379" s="98">
        <v>41415</v>
      </c>
      <c r="N379" s="98">
        <v>0</v>
      </c>
      <c r="O379" s="98" t="s">
        <v>2150</v>
      </c>
      <c r="P379" s="98" t="s">
        <v>2175</v>
      </c>
      <c r="Q379" s="98" t="s">
        <v>2050</v>
      </c>
      <c r="R379" s="98" t="s">
        <v>2171</v>
      </c>
      <c r="S379" t="s">
        <v>2047</v>
      </c>
      <c r="T379" t="s">
        <v>2174</v>
      </c>
    </row>
    <row r="380" spans="1:20" x14ac:dyDescent="0.25">
      <c r="A380" s="98" t="s">
        <v>1557</v>
      </c>
      <c r="B380" s="98" t="s">
        <v>1558</v>
      </c>
      <c r="C380" s="98" t="s">
        <v>1179</v>
      </c>
      <c r="D380" s="98" t="s">
        <v>2034</v>
      </c>
      <c r="E380" s="101">
        <v>41415</v>
      </c>
      <c r="F380" s="101">
        <v>219512</v>
      </c>
      <c r="G380" s="98">
        <v>0</v>
      </c>
      <c r="H380" s="101">
        <v>45352</v>
      </c>
      <c r="I380" s="98" t="s">
        <v>2035</v>
      </c>
      <c r="J380" s="98">
        <v>41415</v>
      </c>
      <c r="K380" s="101" t="s">
        <v>2054</v>
      </c>
      <c r="L380" s="98">
        <v>0</v>
      </c>
      <c r="M380" s="98">
        <v>41415</v>
      </c>
      <c r="N380" s="98">
        <v>0</v>
      </c>
      <c r="O380" s="98" t="s">
        <v>2150</v>
      </c>
      <c r="P380" s="98" t="s">
        <v>2175</v>
      </c>
      <c r="Q380" s="98" t="s">
        <v>2050</v>
      </c>
      <c r="R380" s="98" t="s">
        <v>2171</v>
      </c>
      <c r="S380" t="s">
        <v>2047</v>
      </c>
      <c r="T380" t="s">
        <v>2174</v>
      </c>
    </row>
    <row r="381" spans="1:20" x14ac:dyDescent="0.25">
      <c r="A381" s="98" t="s">
        <v>1559</v>
      </c>
      <c r="B381" s="98" t="s">
        <v>1560</v>
      </c>
      <c r="C381" s="98" t="s">
        <v>1179</v>
      </c>
      <c r="D381" s="98" t="s">
        <v>2034</v>
      </c>
      <c r="E381" s="101">
        <v>41415</v>
      </c>
      <c r="F381" s="101">
        <v>219512</v>
      </c>
      <c r="G381" s="98">
        <v>0</v>
      </c>
      <c r="H381" s="101">
        <v>45352</v>
      </c>
      <c r="I381" s="98" t="s">
        <v>2035</v>
      </c>
      <c r="J381" s="98">
        <v>41415</v>
      </c>
      <c r="K381" s="101" t="s">
        <v>2054</v>
      </c>
      <c r="L381" s="98">
        <v>0</v>
      </c>
      <c r="M381" s="98">
        <v>41415</v>
      </c>
      <c r="N381" s="98">
        <v>0</v>
      </c>
      <c r="O381" s="98" t="s">
        <v>2150</v>
      </c>
      <c r="P381" s="98" t="s">
        <v>2175</v>
      </c>
      <c r="Q381" s="98" t="s">
        <v>2050</v>
      </c>
      <c r="R381" s="98" t="s">
        <v>2171</v>
      </c>
      <c r="S381" t="s">
        <v>2047</v>
      </c>
      <c r="T381" t="s">
        <v>2174</v>
      </c>
    </row>
    <row r="382" spans="1:20" x14ac:dyDescent="0.25">
      <c r="A382" s="98" t="s">
        <v>1561</v>
      </c>
      <c r="B382" s="98" t="s">
        <v>1562</v>
      </c>
      <c r="C382" s="98" t="s">
        <v>1179</v>
      </c>
      <c r="D382" s="98" t="s">
        <v>2034</v>
      </c>
      <c r="E382" s="101">
        <v>41415</v>
      </c>
      <c r="F382" s="101">
        <v>219512</v>
      </c>
      <c r="G382" s="98">
        <v>0</v>
      </c>
      <c r="H382" s="101">
        <v>45352</v>
      </c>
      <c r="I382" s="98" t="s">
        <v>2035</v>
      </c>
      <c r="J382" s="98">
        <v>41415</v>
      </c>
      <c r="K382" s="101" t="s">
        <v>2054</v>
      </c>
      <c r="L382" s="98">
        <v>0</v>
      </c>
      <c r="M382" s="98">
        <v>41415</v>
      </c>
      <c r="N382" s="98">
        <v>0</v>
      </c>
      <c r="O382" s="98" t="s">
        <v>2150</v>
      </c>
      <c r="P382" s="98" t="s">
        <v>2175</v>
      </c>
      <c r="Q382" s="98" t="s">
        <v>2050</v>
      </c>
      <c r="R382" s="98" t="s">
        <v>2171</v>
      </c>
      <c r="S382" t="s">
        <v>2047</v>
      </c>
      <c r="T382" t="s">
        <v>2174</v>
      </c>
    </row>
    <row r="383" spans="1:20" x14ac:dyDescent="0.25">
      <c r="A383" s="98" t="s">
        <v>1563</v>
      </c>
      <c r="B383" s="98" t="s">
        <v>1564</v>
      </c>
      <c r="C383" s="98" t="s">
        <v>1179</v>
      </c>
      <c r="D383" s="98" t="s">
        <v>2034</v>
      </c>
      <c r="E383" s="101">
        <v>41415</v>
      </c>
      <c r="F383" s="101">
        <v>219512</v>
      </c>
      <c r="G383" s="98">
        <v>0</v>
      </c>
      <c r="H383" s="101">
        <v>45352</v>
      </c>
      <c r="I383" s="98" t="s">
        <v>2035</v>
      </c>
      <c r="J383" s="98">
        <v>41415</v>
      </c>
      <c r="K383" s="101" t="s">
        <v>2054</v>
      </c>
      <c r="L383" s="98">
        <v>0</v>
      </c>
      <c r="M383" s="98">
        <v>41415</v>
      </c>
      <c r="N383" s="98">
        <v>0</v>
      </c>
      <c r="O383" s="98" t="s">
        <v>2150</v>
      </c>
      <c r="P383" s="98" t="s">
        <v>2175</v>
      </c>
      <c r="Q383" s="98" t="s">
        <v>2050</v>
      </c>
      <c r="R383" s="98" t="s">
        <v>2171</v>
      </c>
      <c r="S383" t="s">
        <v>2047</v>
      </c>
      <c r="T383" t="s">
        <v>2174</v>
      </c>
    </row>
    <row r="384" spans="1:20" x14ac:dyDescent="0.25">
      <c r="A384" s="98" t="s">
        <v>1565</v>
      </c>
      <c r="B384" s="98" t="s">
        <v>1566</v>
      </c>
      <c r="C384" s="98" t="s">
        <v>1179</v>
      </c>
      <c r="D384" s="98" t="s">
        <v>2034</v>
      </c>
      <c r="E384" s="101">
        <v>39997</v>
      </c>
      <c r="F384" s="101">
        <v>219512</v>
      </c>
      <c r="G384" s="98">
        <v>0</v>
      </c>
      <c r="H384" s="101">
        <v>45762</v>
      </c>
      <c r="I384" s="98" t="s">
        <v>2035</v>
      </c>
      <c r="J384" s="98">
        <v>39997</v>
      </c>
      <c r="K384" s="101" t="s">
        <v>2035</v>
      </c>
      <c r="L384" s="98">
        <v>36361</v>
      </c>
      <c r="M384" s="98">
        <v>3636</v>
      </c>
      <c r="N384" s="98">
        <v>10</v>
      </c>
      <c r="O384" s="98" t="s">
        <v>2150</v>
      </c>
      <c r="P384" s="98" t="s">
        <v>2144</v>
      </c>
      <c r="Q384" s="98" t="s">
        <v>2050</v>
      </c>
      <c r="R384" s="98" t="s">
        <v>2171</v>
      </c>
      <c r="S384" t="s">
        <v>2058</v>
      </c>
      <c r="T384" t="s">
        <v>2113</v>
      </c>
    </row>
    <row r="385" spans="1:20" x14ac:dyDescent="0.25">
      <c r="A385" s="98" t="s">
        <v>89</v>
      </c>
      <c r="B385" s="98" t="s">
        <v>275</v>
      </c>
      <c r="C385" s="98" t="s">
        <v>1179</v>
      </c>
      <c r="D385" s="98" t="s">
        <v>2034</v>
      </c>
      <c r="E385" s="101">
        <v>66093</v>
      </c>
      <c r="F385" s="101">
        <v>219512</v>
      </c>
      <c r="G385" s="98">
        <v>0</v>
      </c>
      <c r="H385" s="101">
        <v>45919</v>
      </c>
      <c r="I385" s="98" t="s">
        <v>2035</v>
      </c>
      <c r="J385" s="98">
        <v>66093</v>
      </c>
      <c r="K385" s="101" t="s">
        <v>2035</v>
      </c>
      <c r="L385" s="98">
        <v>64168</v>
      </c>
      <c r="M385" s="98">
        <v>1925</v>
      </c>
      <c r="N385" s="98">
        <v>3</v>
      </c>
      <c r="O385" s="98" t="s">
        <v>2176</v>
      </c>
      <c r="P385" s="98" t="s">
        <v>2144</v>
      </c>
      <c r="Q385" s="98" t="s">
        <v>2076</v>
      </c>
      <c r="R385" s="98" t="s">
        <v>2177</v>
      </c>
      <c r="S385" t="s">
        <v>2047</v>
      </c>
      <c r="T385" t="s">
        <v>2113</v>
      </c>
    </row>
    <row r="386" spans="1:20" x14ac:dyDescent="0.25">
      <c r="A386" s="98" t="s">
        <v>90</v>
      </c>
      <c r="B386" s="98" t="s">
        <v>277</v>
      </c>
      <c r="C386" s="98" t="s">
        <v>1179</v>
      </c>
      <c r="D386" s="98" t="s">
        <v>2034</v>
      </c>
      <c r="E386" s="101">
        <v>92380</v>
      </c>
      <c r="F386" s="101">
        <v>219512</v>
      </c>
      <c r="G386" s="98">
        <v>0</v>
      </c>
      <c r="H386" s="101">
        <v>45919</v>
      </c>
      <c r="I386" s="98" t="s">
        <v>2035</v>
      </c>
      <c r="J386" s="98">
        <v>92380</v>
      </c>
      <c r="K386" s="101" t="s">
        <v>2035</v>
      </c>
      <c r="L386" s="98">
        <v>89689</v>
      </c>
      <c r="M386" s="98">
        <v>2691</v>
      </c>
      <c r="N386" s="98">
        <v>3</v>
      </c>
      <c r="O386" s="98" t="s">
        <v>2176</v>
      </c>
      <c r="P386" s="98" t="s">
        <v>2144</v>
      </c>
      <c r="Q386" s="98" t="s">
        <v>2076</v>
      </c>
      <c r="R386" s="98" t="s">
        <v>2177</v>
      </c>
      <c r="S386" t="s">
        <v>2047</v>
      </c>
      <c r="T386" t="s">
        <v>2113</v>
      </c>
    </row>
    <row r="387" spans="1:20" x14ac:dyDescent="0.25">
      <c r="A387" s="98" t="s">
        <v>91</v>
      </c>
      <c r="B387" s="98" t="s">
        <v>279</v>
      </c>
      <c r="C387" s="98" t="s">
        <v>1179</v>
      </c>
      <c r="D387" s="98" t="s">
        <v>2034</v>
      </c>
      <c r="E387" s="101">
        <v>68690</v>
      </c>
      <c r="F387" s="101">
        <v>219512</v>
      </c>
      <c r="G387" s="98">
        <v>0</v>
      </c>
      <c r="H387" s="101">
        <v>45919</v>
      </c>
      <c r="I387" s="98" t="s">
        <v>2035</v>
      </c>
      <c r="J387" s="98">
        <v>68690</v>
      </c>
      <c r="K387" s="101" t="s">
        <v>2035</v>
      </c>
      <c r="L387" s="98">
        <v>66689</v>
      </c>
      <c r="M387" s="98">
        <v>2001</v>
      </c>
      <c r="N387" s="98">
        <v>3</v>
      </c>
      <c r="O387" s="98" t="s">
        <v>2176</v>
      </c>
      <c r="P387" s="98" t="s">
        <v>2144</v>
      </c>
      <c r="Q387" s="98" t="s">
        <v>2076</v>
      </c>
      <c r="R387" s="98" t="s">
        <v>2177</v>
      </c>
      <c r="S387" t="s">
        <v>2056</v>
      </c>
      <c r="T387" t="s">
        <v>2113</v>
      </c>
    </row>
    <row r="388" spans="1:20" x14ac:dyDescent="0.25">
      <c r="A388" s="98" t="s">
        <v>92</v>
      </c>
      <c r="B388" s="98" t="s">
        <v>281</v>
      </c>
      <c r="C388" s="98" t="s">
        <v>1179</v>
      </c>
      <c r="D388" s="98" t="s">
        <v>2034</v>
      </c>
      <c r="E388" s="101">
        <v>90687</v>
      </c>
      <c r="F388" s="101">
        <v>219512</v>
      </c>
      <c r="G388" s="98">
        <v>0</v>
      </c>
      <c r="H388" s="101">
        <v>45919</v>
      </c>
      <c r="I388" s="98" t="s">
        <v>2035</v>
      </c>
      <c r="J388" s="98">
        <v>90687</v>
      </c>
      <c r="K388" s="101" t="s">
        <v>2035</v>
      </c>
      <c r="L388" s="98">
        <v>88046</v>
      </c>
      <c r="M388" s="98">
        <v>2641</v>
      </c>
      <c r="N388" s="98">
        <v>3</v>
      </c>
      <c r="O388" s="98" t="s">
        <v>2176</v>
      </c>
      <c r="P388" s="98" t="s">
        <v>2144</v>
      </c>
      <c r="Q388" s="98" t="s">
        <v>2076</v>
      </c>
      <c r="R388" s="98" t="s">
        <v>2177</v>
      </c>
      <c r="S388" t="s">
        <v>2056</v>
      </c>
      <c r="T388" t="s">
        <v>2113</v>
      </c>
    </row>
    <row r="389" spans="1:20" x14ac:dyDescent="0.25">
      <c r="A389" s="98" t="s">
        <v>1567</v>
      </c>
      <c r="B389" s="98" t="s">
        <v>1568</v>
      </c>
      <c r="C389" s="98" t="s">
        <v>1179</v>
      </c>
      <c r="D389" s="98" t="s">
        <v>2034</v>
      </c>
      <c r="E389" s="101">
        <v>27789</v>
      </c>
      <c r="F389" s="101">
        <v>219512</v>
      </c>
      <c r="G389" s="98">
        <v>0</v>
      </c>
      <c r="H389" s="101">
        <v>45762</v>
      </c>
      <c r="I389" s="98" t="s">
        <v>2035</v>
      </c>
      <c r="J389" s="98">
        <v>27789</v>
      </c>
      <c r="K389" s="101" t="s">
        <v>2035</v>
      </c>
      <c r="L389" s="98">
        <v>25263</v>
      </c>
      <c r="M389" s="98">
        <v>2526</v>
      </c>
      <c r="N389" s="98">
        <v>10</v>
      </c>
      <c r="O389" s="98" t="s">
        <v>2087</v>
      </c>
      <c r="P389" s="98" t="s">
        <v>2144</v>
      </c>
      <c r="Q389" s="98" t="s">
        <v>2050</v>
      </c>
      <c r="R389" s="98" t="s">
        <v>2145</v>
      </c>
      <c r="S389" t="s">
        <v>2047</v>
      </c>
      <c r="T389" t="s">
        <v>2113</v>
      </c>
    </row>
    <row r="390" spans="1:20" x14ac:dyDescent="0.25">
      <c r="A390" s="98" t="s">
        <v>1569</v>
      </c>
      <c r="B390" s="98" t="s">
        <v>1570</v>
      </c>
      <c r="C390" s="98" t="s">
        <v>1179</v>
      </c>
      <c r="D390" s="98" t="s">
        <v>2034</v>
      </c>
      <c r="E390" s="101">
        <v>76672</v>
      </c>
      <c r="F390" s="101">
        <v>219512</v>
      </c>
      <c r="G390" s="98">
        <v>0</v>
      </c>
      <c r="H390" s="101">
        <v>45766</v>
      </c>
      <c r="I390" s="98" t="s">
        <v>2035</v>
      </c>
      <c r="J390" s="98">
        <v>76672</v>
      </c>
      <c r="K390" s="101" t="s">
        <v>2035</v>
      </c>
      <c r="L390" s="98">
        <v>84339</v>
      </c>
      <c r="M390" s="98">
        <v>-7667</v>
      </c>
      <c r="N390" s="98">
        <v>-9.09</v>
      </c>
      <c r="O390" s="98" t="s">
        <v>2087</v>
      </c>
      <c r="P390" s="98" t="s">
        <v>2144</v>
      </c>
      <c r="Q390" s="98" t="s">
        <v>2050</v>
      </c>
      <c r="R390" s="98" t="s">
        <v>2145</v>
      </c>
      <c r="S390" t="s">
        <v>2153</v>
      </c>
      <c r="T390" t="s">
        <v>2113</v>
      </c>
    </row>
    <row r="391" spans="1:20" x14ac:dyDescent="0.25">
      <c r="A391" s="98" t="s">
        <v>1571</v>
      </c>
      <c r="B391" s="98" t="s">
        <v>1572</v>
      </c>
      <c r="C391" s="98" t="s">
        <v>1179</v>
      </c>
      <c r="D391" s="98" t="s">
        <v>2034</v>
      </c>
      <c r="E391" s="101">
        <v>91237</v>
      </c>
      <c r="F391" s="101">
        <v>219512</v>
      </c>
      <c r="G391" s="98">
        <v>0</v>
      </c>
      <c r="H391" s="101">
        <v>45766</v>
      </c>
      <c r="I391" s="98" t="s">
        <v>2035</v>
      </c>
      <c r="J391" s="98">
        <v>91237</v>
      </c>
      <c r="K391" s="101" t="s">
        <v>2035</v>
      </c>
      <c r="L391" s="98">
        <v>100361</v>
      </c>
      <c r="M391" s="98">
        <v>-9124</v>
      </c>
      <c r="N391" s="98">
        <v>-9.09</v>
      </c>
      <c r="O391" s="98" t="s">
        <v>2087</v>
      </c>
      <c r="P391" s="98" t="s">
        <v>2144</v>
      </c>
      <c r="Q391" s="98" t="s">
        <v>2050</v>
      </c>
      <c r="R391" s="98" t="s">
        <v>2145</v>
      </c>
      <c r="S391" t="s">
        <v>2153</v>
      </c>
      <c r="T391" t="s">
        <v>2113</v>
      </c>
    </row>
    <row r="392" spans="1:20" x14ac:dyDescent="0.25">
      <c r="A392" s="98" t="s">
        <v>1573</v>
      </c>
      <c r="B392" s="98" t="s">
        <v>1574</v>
      </c>
      <c r="C392" s="98" t="s">
        <v>1179</v>
      </c>
      <c r="D392" s="98" t="s">
        <v>2034</v>
      </c>
      <c r="E392" s="101">
        <v>98728</v>
      </c>
      <c r="F392" s="101">
        <v>219512</v>
      </c>
      <c r="G392" s="98">
        <v>0</v>
      </c>
      <c r="H392" s="101">
        <v>45766</v>
      </c>
      <c r="I392" s="98" t="s">
        <v>2035</v>
      </c>
      <c r="J392" s="98">
        <v>98728</v>
      </c>
      <c r="K392" s="101" t="s">
        <v>2035</v>
      </c>
      <c r="L392" s="98">
        <v>108601</v>
      </c>
      <c r="M392" s="98">
        <v>-9873</v>
      </c>
      <c r="N392" s="98">
        <v>-9.09</v>
      </c>
      <c r="O392" s="98" t="s">
        <v>2087</v>
      </c>
      <c r="P392" s="98" t="s">
        <v>2144</v>
      </c>
      <c r="Q392" s="98" t="s">
        <v>2050</v>
      </c>
      <c r="R392" s="98" t="s">
        <v>2145</v>
      </c>
      <c r="S392" t="s">
        <v>2178</v>
      </c>
      <c r="T392" t="s">
        <v>2113</v>
      </c>
    </row>
    <row r="393" spans="1:20" x14ac:dyDescent="0.25">
      <c r="A393" s="98" t="s">
        <v>93</v>
      </c>
      <c r="B393" s="98" t="s">
        <v>283</v>
      </c>
      <c r="C393" s="98" t="s">
        <v>1179</v>
      </c>
      <c r="D393" s="98" t="s">
        <v>2034</v>
      </c>
      <c r="E393" s="101">
        <v>27222</v>
      </c>
      <c r="F393" s="101">
        <v>219512</v>
      </c>
      <c r="G393" s="98">
        <v>0</v>
      </c>
      <c r="H393" s="101">
        <v>45919</v>
      </c>
      <c r="I393" s="98" t="s">
        <v>2035</v>
      </c>
      <c r="J393" s="98">
        <v>27222</v>
      </c>
      <c r="K393" s="101" t="s">
        <v>2035</v>
      </c>
      <c r="L393" s="98">
        <v>25926</v>
      </c>
      <c r="M393" s="98">
        <v>1296</v>
      </c>
      <c r="N393" s="98">
        <v>5</v>
      </c>
      <c r="O393" s="98" t="s">
        <v>2087</v>
      </c>
      <c r="P393" s="98" t="s">
        <v>2151</v>
      </c>
      <c r="Q393" s="98" t="s">
        <v>2076</v>
      </c>
      <c r="R393" s="98" t="s">
        <v>2179</v>
      </c>
      <c r="S393" t="s">
        <v>2180</v>
      </c>
      <c r="T393" t="s">
        <v>2113</v>
      </c>
    </row>
    <row r="394" spans="1:20" x14ac:dyDescent="0.25">
      <c r="A394" s="98" t="s">
        <v>94</v>
      </c>
      <c r="B394" s="98" t="s">
        <v>285</v>
      </c>
      <c r="C394" s="98" t="s">
        <v>1179</v>
      </c>
      <c r="D394" s="98" t="s">
        <v>2034</v>
      </c>
      <c r="E394" s="101">
        <v>21322</v>
      </c>
      <c r="F394" s="101">
        <v>219512</v>
      </c>
      <c r="G394" s="98">
        <v>0</v>
      </c>
      <c r="H394" s="101">
        <v>45919</v>
      </c>
      <c r="I394" s="98" t="s">
        <v>2035</v>
      </c>
      <c r="J394" s="98">
        <v>21322</v>
      </c>
      <c r="K394" s="101" t="s">
        <v>2035</v>
      </c>
      <c r="L394" s="98">
        <v>20307</v>
      </c>
      <c r="M394" s="98">
        <v>1015</v>
      </c>
      <c r="N394" s="98">
        <v>5</v>
      </c>
      <c r="O394" s="98" t="s">
        <v>2087</v>
      </c>
      <c r="P394" s="98" t="s">
        <v>2151</v>
      </c>
      <c r="Q394" s="98" t="s">
        <v>2076</v>
      </c>
      <c r="R394" s="98" t="s">
        <v>2179</v>
      </c>
      <c r="S394" t="s">
        <v>2085</v>
      </c>
      <c r="T394" t="s">
        <v>2113</v>
      </c>
    </row>
    <row r="395" spans="1:20" x14ac:dyDescent="0.25">
      <c r="A395" s="98" t="s">
        <v>95</v>
      </c>
      <c r="B395" s="98" t="s">
        <v>287</v>
      </c>
      <c r="C395" s="98" t="s">
        <v>1179</v>
      </c>
      <c r="D395" s="98" t="s">
        <v>2034</v>
      </c>
      <c r="E395" s="101">
        <v>23143</v>
      </c>
      <c r="F395" s="101">
        <v>219512</v>
      </c>
      <c r="G395" s="98">
        <v>0</v>
      </c>
      <c r="H395" s="101">
        <v>45919</v>
      </c>
      <c r="I395" s="98" t="s">
        <v>2035</v>
      </c>
      <c r="J395" s="98">
        <v>23143</v>
      </c>
      <c r="K395" s="101" t="s">
        <v>2035</v>
      </c>
      <c r="L395" s="98">
        <v>22041</v>
      </c>
      <c r="M395" s="98">
        <v>1102</v>
      </c>
      <c r="N395" s="98">
        <v>5</v>
      </c>
      <c r="O395" s="98" t="s">
        <v>2087</v>
      </c>
      <c r="P395" s="98" t="s">
        <v>2151</v>
      </c>
      <c r="Q395" s="98" t="s">
        <v>2076</v>
      </c>
      <c r="R395" s="98" t="s">
        <v>2179</v>
      </c>
      <c r="S395" t="s">
        <v>2170</v>
      </c>
      <c r="T395" t="s">
        <v>2113</v>
      </c>
    </row>
    <row r="396" spans="1:20" x14ac:dyDescent="0.25">
      <c r="A396" s="98" t="s">
        <v>96</v>
      </c>
      <c r="B396" s="98" t="s">
        <v>289</v>
      </c>
      <c r="C396" s="98" t="s">
        <v>1179</v>
      </c>
      <c r="D396" s="98" t="s">
        <v>2034</v>
      </c>
      <c r="E396" s="101">
        <v>30954</v>
      </c>
      <c r="F396" s="101">
        <v>219512</v>
      </c>
      <c r="G396" s="98">
        <v>0</v>
      </c>
      <c r="H396" s="101">
        <v>45919</v>
      </c>
      <c r="I396" s="98" t="s">
        <v>2035</v>
      </c>
      <c r="J396" s="98">
        <v>30954</v>
      </c>
      <c r="K396" s="101" t="s">
        <v>2035</v>
      </c>
      <c r="L396" s="98">
        <v>29480</v>
      </c>
      <c r="M396" s="98">
        <v>1474</v>
      </c>
      <c r="N396" s="98">
        <v>5</v>
      </c>
      <c r="O396" s="98" t="s">
        <v>2087</v>
      </c>
      <c r="P396" s="98" t="s">
        <v>2151</v>
      </c>
      <c r="Q396" s="98" t="s">
        <v>2076</v>
      </c>
      <c r="R396" s="98" t="s">
        <v>2179</v>
      </c>
      <c r="S396" t="s">
        <v>2170</v>
      </c>
      <c r="T396" t="s">
        <v>2113</v>
      </c>
    </row>
    <row r="397" spans="1:20" x14ac:dyDescent="0.25">
      <c r="A397" s="98" t="s">
        <v>97</v>
      </c>
      <c r="B397" s="98" t="s">
        <v>291</v>
      </c>
      <c r="C397" s="98" t="s">
        <v>1179</v>
      </c>
      <c r="D397" s="98" t="s">
        <v>2034</v>
      </c>
      <c r="E397" s="101">
        <v>38646</v>
      </c>
      <c r="F397" s="101">
        <v>219512</v>
      </c>
      <c r="G397" s="98">
        <v>0</v>
      </c>
      <c r="H397" s="101">
        <v>45919</v>
      </c>
      <c r="I397" s="98" t="s">
        <v>2035</v>
      </c>
      <c r="J397" s="98">
        <v>38646</v>
      </c>
      <c r="K397" s="101" t="s">
        <v>2035</v>
      </c>
      <c r="L397" s="98">
        <v>36806</v>
      </c>
      <c r="M397" s="98">
        <v>1840</v>
      </c>
      <c r="N397" s="98">
        <v>5</v>
      </c>
      <c r="O397" s="98" t="s">
        <v>2087</v>
      </c>
      <c r="P397" s="98" t="s">
        <v>2151</v>
      </c>
      <c r="Q397" s="98" t="s">
        <v>2076</v>
      </c>
      <c r="R397" s="98" t="s">
        <v>2179</v>
      </c>
      <c r="S397" t="s">
        <v>2170</v>
      </c>
      <c r="T397" t="s">
        <v>2113</v>
      </c>
    </row>
    <row r="398" spans="1:20" x14ac:dyDescent="0.25">
      <c r="A398" s="98" t="s">
        <v>98</v>
      </c>
      <c r="B398" s="98" t="s">
        <v>293</v>
      </c>
      <c r="C398" s="98" t="s">
        <v>1179</v>
      </c>
      <c r="D398" s="98" t="s">
        <v>2034</v>
      </c>
      <c r="E398" s="101">
        <v>44837</v>
      </c>
      <c r="F398" s="101">
        <v>219512</v>
      </c>
      <c r="G398" s="98">
        <v>0</v>
      </c>
      <c r="H398" s="101">
        <v>45919</v>
      </c>
      <c r="I398" s="98" t="s">
        <v>2035</v>
      </c>
      <c r="J398" s="98">
        <v>44837</v>
      </c>
      <c r="K398" s="101" t="s">
        <v>2035</v>
      </c>
      <c r="L398" s="98">
        <v>43531</v>
      </c>
      <c r="M398" s="98">
        <v>1306</v>
      </c>
      <c r="N398" s="98">
        <v>3</v>
      </c>
      <c r="O398" s="98" t="s">
        <v>2087</v>
      </c>
      <c r="P398" s="98" t="s">
        <v>2144</v>
      </c>
      <c r="Q398" s="98" t="s">
        <v>2076</v>
      </c>
      <c r="R398" s="98" t="s">
        <v>2181</v>
      </c>
      <c r="S398" t="s">
        <v>2133</v>
      </c>
      <c r="T398" t="s">
        <v>2113</v>
      </c>
    </row>
    <row r="399" spans="1:20" x14ac:dyDescent="0.25">
      <c r="A399" s="98" t="s">
        <v>99</v>
      </c>
      <c r="B399" s="98" t="s">
        <v>295</v>
      </c>
      <c r="C399" s="98" t="s">
        <v>1179</v>
      </c>
      <c r="D399" s="98" t="s">
        <v>2034</v>
      </c>
      <c r="E399" s="101">
        <v>69253</v>
      </c>
      <c r="F399" s="101">
        <v>219512</v>
      </c>
      <c r="G399" s="98">
        <v>0</v>
      </c>
      <c r="H399" s="101">
        <v>45919</v>
      </c>
      <c r="I399" s="98" t="s">
        <v>2035</v>
      </c>
      <c r="J399" s="98">
        <v>69253</v>
      </c>
      <c r="K399" s="101" t="s">
        <v>2035</v>
      </c>
      <c r="L399" s="98">
        <v>67236</v>
      </c>
      <c r="M399" s="98">
        <v>2017</v>
      </c>
      <c r="N399" s="98">
        <v>3</v>
      </c>
      <c r="O399" s="98" t="s">
        <v>2087</v>
      </c>
      <c r="P399" s="98" t="s">
        <v>2144</v>
      </c>
      <c r="Q399" s="98" t="s">
        <v>2076</v>
      </c>
      <c r="R399" s="98" t="s">
        <v>2181</v>
      </c>
      <c r="S399" t="s">
        <v>2133</v>
      </c>
      <c r="T399" t="s">
        <v>2113</v>
      </c>
    </row>
    <row r="400" spans="1:20" x14ac:dyDescent="0.25">
      <c r="A400" s="98" t="s">
        <v>100</v>
      </c>
      <c r="B400" s="98" t="s">
        <v>101</v>
      </c>
      <c r="C400" s="98" t="s">
        <v>1179</v>
      </c>
      <c r="D400" s="98" t="s">
        <v>2034</v>
      </c>
      <c r="E400" s="101">
        <v>70888</v>
      </c>
      <c r="F400" s="101">
        <v>219512</v>
      </c>
      <c r="G400" s="98">
        <v>0</v>
      </c>
      <c r="H400" s="101">
        <v>45919</v>
      </c>
      <c r="I400" s="98" t="s">
        <v>2035</v>
      </c>
      <c r="J400" s="98">
        <v>70888</v>
      </c>
      <c r="K400" s="101" t="s">
        <v>2035</v>
      </c>
      <c r="L400" s="98">
        <v>68823</v>
      </c>
      <c r="M400" s="98">
        <v>2065</v>
      </c>
      <c r="N400" s="98">
        <v>3</v>
      </c>
      <c r="O400" s="98" t="s">
        <v>2087</v>
      </c>
      <c r="P400" s="98" t="s">
        <v>2144</v>
      </c>
      <c r="Q400" s="98" t="s">
        <v>2076</v>
      </c>
      <c r="R400" s="98" t="s">
        <v>2181</v>
      </c>
      <c r="S400" t="s">
        <v>2133</v>
      </c>
      <c r="T400" t="s">
        <v>2113</v>
      </c>
    </row>
    <row r="401" spans="1:20" x14ac:dyDescent="0.25">
      <c r="A401" s="98" t="s">
        <v>102</v>
      </c>
      <c r="B401" s="98" t="s">
        <v>103</v>
      </c>
      <c r="C401" s="98" t="s">
        <v>1179</v>
      </c>
      <c r="D401" s="98" t="s">
        <v>2034</v>
      </c>
      <c r="E401" s="101">
        <v>22835</v>
      </c>
      <c r="F401" s="101">
        <v>219512</v>
      </c>
      <c r="G401" s="98">
        <v>0</v>
      </c>
      <c r="H401" s="101">
        <v>45919</v>
      </c>
      <c r="I401" s="98" t="s">
        <v>2035</v>
      </c>
      <c r="J401" s="98">
        <v>22835</v>
      </c>
      <c r="K401" s="101" t="s">
        <v>2035</v>
      </c>
      <c r="L401" s="98">
        <v>21748</v>
      </c>
      <c r="M401" s="98">
        <v>1087</v>
      </c>
      <c r="N401" s="98">
        <v>5</v>
      </c>
      <c r="O401" s="98" t="s">
        <v>2087</v>
      </c>
      <c r="P401" s="98" t="s">
        <v>2151</v>
      </c>
      <c r="Q401" s="98" t="s">
        <v>2076</v>
      </c>
      <c r="R401" s="98" t="s">
        <v>2160</v>
      </c>
      <c r="S401" t="s">
        <v>2161</v>
      </c>
      <c r="T401" t="s">
        <v>2113</v>
      </c>
    </row>
    <row r="402" spans="1:20" x14ac:dyDescent="0.25">
      <c r="A402" s="98" t="s">
        <v>104</v>
      </c>
      <c r="B402" s="98" t="s">
        <v>326</v>
      </c>
      <c r="C402" s="98" t="s">
        <v>1179</v>
      </c>
      <c r="D402" s="98" t="s">
        <v>2034</v>
      </c>
      <c r="E402" s="101">
        <v>24481</v>
      </c>
      <c r="F402" s="101">
        <v>219512</v>
      </c>
      <c r="G402" s="98">
        <v>0</v>
      </c>
      <c r="H402" s="101">
        <v>45919</v>
      </c>
      <c r="I402" s="98" t="s">
        <v>2035</v>
      </c>
      <c r="J402" s="98">
        <v>24481</v>
      </c>
      <c r="K402" s="101" t="s">
        <v>2035</v>
      </c>
      <c r="L402" s="98">
        <v>23768</v>
      </c>
      <c r="M402" s="98">
        <v>713</v>
      </c>
      <c r="N402" s="98">
        <v>3</v>
      </c>
      <c r="O402" s="98" t="s">
        <v>2087</v>
      </c>
      <c r="P402" s="98" t="s">
        <v>2151</v>
      </c>
      <c r="Q402" s="98" t="s">
        <v>2076</v>
      </c>
      <c r="R402" s="98" t="s">
        <v>2160</v>
      </c>
      <c r="S402" t="s">
        <v>2161</v>
      </c>
      <c r="T402" t="s">
        <v>2113</v>
      </c>
    </row>
    <row r="403" spans="1:20" x14ac:dyDescent="0.25">
      <c r="A403" s="98" t="s">
        <v>105</v>
      </c>
      <c r="B403" s="98" t="s">
        <v>328</v>
      </c>
      <c r="C403" s="98" t="s">
        <v>1179</v>
      </c>
      <c r="D403" s="98" t="s">
        <v>2034</v>
      </c>
      <c r="E403" s="101">
        <v>24245</v>
      </c>
      <c r="F403" s="101">
        <v>219512</v>
      </c>
      <c r="G403" s="98">
        <v>0</v>
      </c>
      <c r="H403" s="101">
        <v>45919</v>
      </c>
      <c r="I403" s="98" t="s">
        <v>2035</v>
      </c>
      <c r="J403" s="98">
        <v>24245</v>
      </c>
      <c r="K403" s="101" t="s">
        <v>2035</v>
      </c>
      <c r="L403" s="98">
        <v>23539</v>
      </c>
      <c r="M403" s="98">
        <v>706</v>
      </c>
      <c r="N403" s="98">
        <v>3</v>
      </c>
      <c r="O403" s="98" t="s">
        <v>2087</v>
      </c>
      <c r="P403" s="98" t="s">
        <v>2151</v>
      </c>
      <c r="Q403" s="98" t="s">
        <v>2076</v>
      </c>
      <c r="R403" s="98" t="s">
        <v>2160</v>
      </c>
      <c r="S403" t="s">
        <v>2161</v>
      </c>
      <c r="T403" t="s">
        <v>2113</v>
      </c>
    </row>
    <row r="404" spans="1:20" x14ac:dyDescent="0.25">
      <c r="A404" s="98" t="s">
        <v>106</v>
      </c>
      <c r="B404" s="98" t="s">
        <v>330</v>
      </c>
      <c r="C404" s="98" t="s">
        <v>1179</v>
      </c>
      <c r="D404" s="98" t="s">
        <v>2034</v>
      </c>
      <c r="E404" s="101">
        <v>34611</v>
      </c>
      <c r="F404" s="101">
        <v>219512</v>
      </c>
      <c r="G404" s="98">
        <v>0</v>
      </c>
      <c r="H404" s="101">
        <v>45919</v>
      </c>
      <c r="I404" s="98" t="s">
        <v>2035</v>
      </c>
      <c r="J404" s="98">
        <v>34611</v>
      </c>
      <c r="K404" s="101" t="s">
        <v>2035</v>
      </c>
      <c r="L404" s="98">
        <v>33603</v>
      </c>
      <c r="M404" s="98">
        <v>1008</v>
      </c>
      <c r="N404" s="98">
        <v>3</v>
      </c>
      <c r="O404" s="98" t="s">
        <v>2087</v>
      </c>
      <c r="P404" s="98" t="s">
        <v>2151</v>
      </c>
      <c r="Q404" s="98" t="s">
        <v>2076</v>
      </c>
      <c r="R404" s="98" t="s">
        <v>2160</v>
      </c>
      <c r="S404" t="s">
        <v>2182</v>
      </c>
      <c r="T404" t="s">
        <v>2113</v>
      </c>
    </row>
    <row r="405" spans="1:20" x14ac:dyDescent="0.25">
      <c r="A405" s="98" t="s">
        <v>625</v>
      </c>
      <c r="B405" s="98" t="s">
        <v>1575</v>
      </c>
      <c r="C405" s="98" t="s">
        <v>1179</v>
      </c>
      <c r="D405" s="98" t="s">
        <v>2034</v>
      </c>
      <c r="E405" s="101">
        <v>37433</v>
      </c>
      <c r="F405" s="101">
        <v>219512</v>
      </c>
      <c r="G405" s="98">
        <v>0</v>
      </c>
      <c r="H405" s="101">
        <v>45919</v>
      </c>
      <c r="I405" s="98" t="s">
        <v>2035</v>
      </c>
      <c r="J405" s="98">
        <v>37433</v>
      </c>
      <c r="K405" s="101" t="s">
        <v>2035</v>
      </c>
      <c r="L405" s="98">
        <v>35650</v>
      </c>
      <c r="M405" s="98">
        <v>1783</v>
      </c>
      <c r="N405" s="98">
        <v>5</v>
      </c>
      <c r="O405" s="98" t="s">
        <v>2176</v>
      </c>
      <c r="P405" s="98" t="s">
        <v>2183</v>
      </c>
      <c r="Q405" s="98" t="s">
        <v>2076</v>
      </c>
      <c r="R405" s="98" t="s">
        <v>2145</v>
      </c>
      <c r="S405" t="s">
        <v>2085</v>
      </c>
      <c r="T405" t="s">
        <v>2184</v>
      </c>
    </row>
    <row r="406" spans="1:20" x14ac:dyDescent="0.25">
      <c r="A406" s="98" t="s">
        <v>638</v>
      </c>
      <c r="B406" s="98" t="s">
        <v>1576</v>
      </c>
      <c r="C406" s="98" t="s">
        <v>1179</v>
      </c>
      <c r="D406" s="98" t="s">
        <v>2034</v>
      </c>
      <c r="E406" s="101">
        <v>47925</v>
      </c>
      <c r="F406" s="101">
        <v>219512</v>
      </c>
      <c r="G406" s="98">
        <v>0</v>
      </c>
      <c r="H406" s="101">
        <v>45919</v>
      </c>
      <c r="I406" s="98" t="s">
        <v>2035</v>
      </c>
      <c r="J406" s="98">
        <v>47925</v>
      </c>
      <c r="K406" s="101" t="s">
        <v>2035</v>
      </c>
      <c r="L406" s="98">
        <v>45643</v>
      </c>
      <c r="M406" s="98">
        <v>2282</v>
      </c>
      <c r="N406" s="98">
        <v>5</v>
      </c>
      <c r="O406" s="98" t="s">
        <v>2087</v>
      </c>
      <c r="P406" s="98" t="s">
        <v>2151</v>
      </c>
      <c r="Q406" s="98" t="s">
        <v>2076</v>
      </c>
      <c r="R406" s="98" t="s">
        <v>2145</v>
      </c>
      <c r="S406" t="s">
        <v>2085</v>
      </c>
      <c r="T406" t="s">
        <v>2113</v>
      </c>
    </row>
    <row r="407" spans="1:20" x14ac:dyDescent="0.25">
      <c r="A407" s="98" t="s">
        <v>626</v>
      </c>
      <c r="B407" s="98" t="s">
        <v>1577</v>
      </c>
      <c r="C407" s="98" t="s">
        <v>1179</v>
      </c>
      <c r="D407" s="98" t="s">
        <v>2034</v>
      </c>
      <c r="E407" s="101">
        <v>58221</v>
      </c>
      <c r="F407" s="101">
        <v>219512</v>
      </c>
      <c r="G407" s="98">
        <v>0</v>
      </c>
      <c r="H407" s="101">
        <v>45919</v>
      </c>
      <c r="I407" s="98" t="s">
        <v>2035</v>
      </c>
      <c r="J407" s="98">
        <v>58221</v>
      </c>
      <c r="K407" s="101" t="s">
        <v>2035</v>
      </c>
      <c r="L407" s="98">
        <v>54412</v>
      </c>
      <c r="M407" s="98">
        <v>3809</v>
      </c>
      <c r="N407" s="98">
        <v>7</v>
      </c>
      <c r="O407" s="98" t="s">
        <v>2087</v>
      </c>
      <c r="P407" s="98" t="s">
        <v>2151</v>
      </c>
      <c r="Q407" s="98" t="s">
        <v>2076</v>
      </c>
      <c r="R407" s="98" t="s">
        <v>2145</v>
      </c>
      <c r="S407" t="s">
        <v>2085</v>
      </c>
      <c r="T407" t="s">
        <v>2113</v>
      </c>
    </row>
    <row r="408" spans="1:20" x14ac:dyDescent="0.25">
      <c r="A408" s="98" t="s">
        <v>627</v>
      </c>
      <c r="B408" s="98" t="s">
        <v>1578</v>
      </c>
      <c r="C408" s="98" t="s">
        <v>1179</v>
      </c>
      <c r="D408" s="98" t="s">
        <v>2034</v>
      </c>
      <c r="E408" s="101">
        <v>58206</v>
      </c>
      <c r="F408" s="101">
        <v>219512</v>
      </c>
      <c r="G408" s="98">
        <v>0</v>
      </c>
      <c r="H408" s="101">
        <v>45880</v>
      </c>
      <c r="I408" s="98" t="s">
        <v>2035</v>
      </c>
      <c r="J408" s="98">
        <v>58206</v>
      </c>
      <c r="K408" s="101" t="s">
        <v>2035</v>
      </c>
      <c r="L408" s="98">
        <v>54911</v>
      </c>
      <c r="M408" s="98">
        <v>3295</v>
      </c>
      <c r="N408" s="98">
        <v>6</v>
      </c>
      <c r="O408" s="98" t="s">
        <v>2087</v>
      </c>
      <c r="P408" s="98" t="s">
        <v>2151</v>
      </c>
      <c r="Q408" s="98" t="s">
        <v>2076</v>
      </c>
      <c r="R408" s="98" t="s">
        <v>2145</v>
      </c>
      <c r="S408" t="s">
        <v>2085</v>
      </c>
      <c r="T408" t="s">
        <v>2113</v>
      </c>
    </row>
    <row r="409" spans="1:20" x14ac:dyDescent="0.25">
      <c r="A409" s="98" t="s">
        <v>2185</v>
      </c>
      <c r="B409" s="98" t="s">
        <v>2186</v>
      </c>
      <c r="C409" s="98" t="s">
        <v>1179</v>
      </c>
      <c r="D409" s="98" t="s">
        <v>2034</v>
      </c>
      <c r="E409" s="101">
        <v>43569</v>
      </c>
      <c r="F409" s="101">
        <v>219512</v>
      </c>
      <c r="G409" s="98">
        <v>0</v>
      </c>
      <c r="H409" s="101">
        <v>45919</v>
      </c>
      <c r="I409" s="98" t="s">
        <v>2035</v>
      </c>
      <c r="J409" s="98">
        <v>43569</v>
      </c>
      <c r="K409" s="101" t="s">
        <v>2054</v>
      </c>
      <c r="L409" s="98">
        <v>0</v>
      </c>
      <c r="M409" s="98">
        <v>43569</v>
      </c>
      <c r="N409" s="98">
        <v>0</v>
      </c>
      <c r="O409" s="98" t="s">
        <v>2087</v>
      </c>
      <c r="P409" s="98" t="s">
        <v>2144</v>
      </c>
      <c r="Q409" s="98" t="s">
        <v>2076</v>
      </c>
      <c r="R409" s="98" t="s">
        <v>2181</v>
      </c>
      <c r="S409" t="s">
        <v>2133</v>
      </c>
      <c r="T409" t="s">
        <v>2113</v>
      </c>
    </row>
    <row r="410" spans="1:20" x14ac:dyDescent="0.25">
      <c r="A410" s="98" t="s">
        <v>2187</v>
      </c>
      <c r="B410" s="98" t="s">
        <v>2188</v>
      </c>
      <c r="C410" s="98" t="s">
        <v>1179</v>
      </c>
      <c r="D410" s="98" t="s">
        <v>2034</v>
      </c>
      <c r="E410" s="101">
        <v>42606</v>
      </c>
      <c r="F410" s="101">
        <v>219512</v>
      </c>
      <c r="G410" s="98">
        <v>0</v>
      </c>
      <c r="H410" s="101">
        <v>45919</v>
      </c>
      <c r="I410" s="98" t="s">
        <v>2035</v>
      </c>
      <c r="J410" s="98">
        <v>42606</v>
      </c>
      <c r="K410" s="101" t="s">
        <v>2054</v>
      </c>
      <c r="L410" s="98">
        <v>0</v>
      </c>
      <c r="M410" s="98">
        <v>42606</v>
      </c>
      <c r="N410" s="98">
        <v>0</v>
      </c>
      <c r="O410" s="98" t="s">
        <v>2087</v>
      </c>
      <c r="P410" s="98" t="s">
        <v>2144</v>
      </c>
      <c r="Q410" s="98" t="s">
        <v>2076</v>
      </c>
      <c r="R410" s="98" t="s">
        <v>2181</v>
      </c>
      <c r="S410" t="s">
        <v>2133</v>
      </c>
      <c r="T410" t="s">
        <v>2113</v>
      </c>
    </row>
    <row r="411" spans="1:20" x14ac:dyDescent="0.25">
      <c r="A411" s="98" t="s">
        <v>2189</v>
      </c>
      <c r="B411" s="98" t="s">
        <v>2190</v>
      </c>
      <c r="C411" s="98" t="s">
        <v>1179</v>
      </c>
      <c r="D411" s="98" t="s">
        <v>2034</v>
      </c>
      <c r="E411" s="101">
        <v>43784</v>
      </c>
      <c r="F411" s="101">
        <v>219512</v>
      </c>
      <c r="G411" s="98">
        <v>0</v>
      </c>
      <c r="H411" s="101">
        <v>45919</v>
      </c>
      <c r="I411" s="98" t="s">
        <v>2035</v>
      </c>
      <c r="J411" s="98">
        <v>43784</v>
      </c>
      <c r="K411" s="101" t="s">
        <v>2054</v>
      </c>
      <c r="L411" s="98">
        <v>0</v>
      </c>
      <c r="M411" s="98">
        <v>43784</v>
      </c>
      <c r="N411" s="98">
        <v>0</v>
      </c>
      <c r="O411" s="98" t="s">
        <v>2087</v>
      </c>
      <c r="P411" s="98" t="s">
        <v>2144</v>
      </c>
      <c r="Q411" s="98" t="s">
        <v>2076</v>
      </c>
      <c r="R411" s="98" t="s">
        <v>2181</v>
      </c>
      <c r="S411" t="s">
        <v>2133</v>
      </c>
      <c r="T411" t="s">
        <v>2113</v>
      </c>
    </row>
    <row r="412" spans="1:20" x14ac:dyDescent="0.25">
      <c r="A412" s="98" t="s">
        <v>2191</v>
      </c>
      <c r="B412" s="98" t="s">
        <v>2192</v>
      </c>
      <c r="C412" s="98" t="s">
        <v>1179</v>
      </c>
      <c r="D412" s="98" t="s">
        <v>2034</v>
      </c>
      <c r="E412" s="101">
        <v>45367</v>
      </c>
      <c r="F412" s="101">
        <v>219512</v>
      </c>
      <c r="G412" s="98">
        <v>0</v>
      </c>
      <c r="H412" s="101">
        <v>45919</v>
      </c>
      <c r="I412" s="98" t="s">
        <v>2035</v>
      </c>
      <c r="J412" s="98">
        <v>45367</v>
      </c>
      <c r="K412" s="101" t="s">
        <v>2054</v>
      </c>
      <c r="L412" s="98">
        <v>0</v>
      </c>
      <c r="M412" s="98">
        <v>45367</v>
      </c>
      <c r="N412" s="98">
        <v>0</v>
      </c>
      <c r="O412" s="98" t="s">
        <v>2087</v>
      </c>
      <c r="P412" s="98" t="s">
        <v>2144</v>
      </c>
      <c r="Q412" s="98" t="s">
        <v>2076</v>
      </c>
      <c r="R412" s="98" t="s">
        <v>2181</v>
      </c>
      <c r="S412" t="s">
        <v>2133</v>
      </c>
      <c r="T412" t="s">
        <v>2113</v>
      </c>
    </row>
    <row r="413" spans="1:20" x14ac:dyDescent="0.25">
      <c r="A413" s="98" t="s">
        <v>2193</v>
      </c>
      <c r="B413" s="98" t="s">
        <v>2194</v>
      </c>
      <c r="C413" s="98" t="s">
        <v>1179</v>
      </c>
      <c r="D413" s="98" t="s">
        <v>2034</v>
      </c>
      <c r="E413" s="101">
        <v>46562</v>
      </c>
      <c r="F413" s="101">
        <v>219512</v>
      </c>
      <c r="G413" s="98">
        <v>0</v>
      </c>
      <c r="H413" s="101">
        <v>45919</v>
      </c>
      <c r="I413" s="98" t="s">
        <v>2035</v>
      </c>
      <c r="J413" s="98">
        <v>46562</v>
      </c>
      <c r="K413" s="101" t="s">
        <v>2054</v>
      </c>
      <c r="L413" s="98">
        <v>0</v>
      </c>
      <c r="M413" s="98">
        <v>46562</v>
      </c>
      <c r="N413" s="98">
        <v>0</v>
      </c>
      <c r="O413" s="98" t="s">
        <v>2087</v>
      </c>
      <c r="P413" s="98" t="s">
        <v>2151</v>
      </c>
      <c r="Q413" s="98" t="s">
        <v>2076</v>
      </c>
      <c r="R413" s="98" t="s">
        <v>2145</v>
      </c>
      <c r="S413" t="s">
        <v>2085</v>
      </c>
      <c r="T413" t="s">
        <v>2113</v>
      </c>
    </row>
    <row r="414" spans="1:20" x14ac:dyDescent="0.25">
      <c r="A414" s="98" t="s">
        <v>628</v>
      </c>
      <c r="B414" s="98" t="s">
        <v>1579</v>
      </c>
      <c r="C414" s="98" t="s">
        <v>1179</v>
      </c>
      <c r="D414" s="98" t="s">
        <v>2034</v>
      </c>
      <c r="E414" s="101">
        <v>22834</v>
      </c>
      <c r="F414" s="101">
        <v>219512</v>
      </c>
      <c r="G414" s="98">
        <v>0</v>
      </c>
      <c r="H414" s="101">
        <v>45919</v>
      </c>
      <c r="I414" s="98" t="s">
        <v>2035</v>
      </c>
      <c r="J414" s="98">
        <v>22834</v>
      </c>
      <c r="K414" s="101" t="s">
        <v>2035</v>
      </c>
      <c r="L414" s="98">
        <v>21747</v>
      </c>
      <c r="M414" s="98">
        <v>1087</v>
      </c>
      <c r="N414" s="98">
        <v>5</v>
      </c>
      <c r="O414" s="98" t="s">
        <v>2176</v>
      </c>
      <c r="P414" s="98" t="s">
        <v>2183</v>
      </c>
      <c r="Q414" s="98" t="s">
        <v>2076</v>
      </c>
      <c r="R414" s="98" t="s">
        <v>2195</v>
      </c>
      <c r="S414" t="s">
        <v>2067</v>
      </c>
      <c r="T414" t="s">
        <v>2184</v>
      </c>
    </row>
    <row r="415" spans="1:20" x14ac:dyDescent="0.25">
      <c r="A415" s="98" t="s">
        <v>629</v>
      </c>
      <c r="B415" s="98" t="s">
        <v>1580</v>
      </c>
      <c r="C415" s="98" t="s">
        <v>1179</v>
      </c>
      <c r="D415" s="98" t="s">
        <v>2034</v>
      </c>
      <c r="E415" s="101">
        <v>22834</v>
      </c>
      <c r="F415" s="101">
        <v>219512</v>
      </c>
      <c r="G415" s="98">
        <v>0</v>
      </c>
      <c r="H415" s="101">
        <v>45919</v>
      </c>
      <c r="I415" s="98" t="s">
        <v>2035</v>
      </c>
      <c r="J415" s="98">
        <v>22834</v>
      </c>
      <c r="K415" s="101" t="s">
        <v>2035</v>
      </c>
      <c r="L415" s="98">
        <v>21747</v>
      </c>
      <c r="M415" s="98">
        <v>1087</v>
      </c>
      <c r="N415" s="98">
        <v>5</v>
      </c>
      <c r="O415" s="98" t="s">
        <v>2176</v>
      </c>
      <c r="P415" s="98" t="s">
        <v>2183</v>
      </c>
      <c r="Q415" s="98" t="s">
        <v>2076</v>
      </c>
      <c r="R415" s="98" t="s">
        <v>2195</v>
      </c>
      <c r="S415" t="s">
        <v>2067</v>
      </c>
      <c r="T415" t="s">
        <v>2184</v>
      </c>
    </row>
    <row r="416" spans="1:20" x14ac:dyDescent="0.25">
      <c r="A416" s="98" t="s">
        <v>630</v>
      </c>
      <c r="B416" s="98" t="s">
        <v>1581</v>
      </c>
      <c r="C416" s="98" t="s">
        <v>1179</v>
      </c>
      <c r="D416" s="98" t="s">
        <v>2034</v>
      </c>
      <c r="E416" s="101">
        <v>34184</v>
      </c>
      <c r="F416" s="101">
        <v>219512</v>
      </c>
      <c r="G416" s="98">
        <v>0</v>
      </c>
      <c r="H416" s="101">
        <v>45919</v>
      </c>
      <c r="I416" s="98" t="s">
        <v>2035</v>
      </c>
      <c r="J416" s="98">
        <v>34184</v>
      </c>
      <c r="K416" s="101" t="s">
        <v>2035</v>
      </c>
      <c r="L416" s="98">
        <v>32556</v>
      </c>
      <c r="M416" s="98">
        <v>1628</v>
      </c>
      <c r="N416" s="98">
        <v>5</v>
      </c>
      <c r="O416" s="98" t="s">
        <v>2176</v>
      </c>
      <c r="P416" s="98" t="s">
        <v>2183</v>
      </c>
      <c r="Q416" s="98" t="s">
        <v>2076</v>
      </c>
      <c r="R416" s="98" t="s">
        <v>2195</v>
      </c>
      <c r="S416" t="s">
        <v>2067</v>
      </c>
      <c r="T416" t="s">
        <v>2184</v>
      </c>
    </row>
    <row r="417" spans="1:20" x14ac:dyDescent="0.25">
      <c r="A417" s="98" t="s">
        <v>631</v>
      </c>
      <c r="B417" s="98" t="s">
        <v>1582</v>
      </c>
      <c r="C417" s="98" t="s">
        <v>1179</v>
      </c>
      <c r="D417" s="98" t="s">
        <v>2034</v>
      </c>
      <c r="E417" s="101">
        <v>34184</v>
      </c>
      <c r="F417" s="101">
        <v>219512</v>
      </c>
      <c r="G417" s="98">
        <v>0</v>
      </c>
      <c r="H417" s="101">
        <v>45919</v>
      </c>
      <c r="I417" s="98" t="s">
        <v>2035</v>
      </c>
      <c r="J417" s="98">
        <v>34184</v>
      </c>
      <c r="K417" s="101" t="s">
        <v>2035</v>
      </c>
      <c r="L417" s="98">
        <v>32556</v>
      </c>
      <c r="M417" s="98">
        <v>1628</v>
      </c>
      <c r="N417" s="98">
        <v>5</v>
      </c>
      <c r="O417" s="98" t="s">
        <v>2176</v>
      </c>
      <c r="P417" s="98" t="s">
        <v>2183</v>
      </c>
      <c r="Q417" s="98" t="s">
        <v>2076</v>
      </c>
      <c r="R417" s="98" t="s">
        <v>2195</v>
      </c>
      <c r="S417" t="s">
        <v>2067</v>
      </c>
      <c r="T417" t="s">
        <v>2184</v>
      </c>
    </row>
    <row r="418" spans="1:20" x14ac:dyDescent="0.25">
      <c r="A418" s="98" t="s">
        <v>1583</v>
      </c>
      <c r="B418" s="98" t="s">
        <v>1584</v>
      </c>
      <c r="C418" s="98" t="s">
        <v>1179</v>
      </c>
      <c r="D418" s="98" t="s">
        <v>2034</v>
      </c>
      <c r="E418" s="101">
        <v>139600</v>
      </c>
      <c r="F418" s="101">
        <v>219512</v>
      </c>
      <c r="G418" s="98">
        <v>0</v>
      </c>
      <c r="H418" s="101">
        <v>45855</v>
      </c>
      <c r="I418" s="98" t="s">
        <v>2035</v>
      </c>
      <c r="J418" s="98">
        <v>139600</v>
      </c>
      <c r="K418" s="101" t="s">
        <v>2054</v>
      </c>
      <c r="L418" s="98">
        <v>0</v>
      </c>
      <c r="M418" s="98">
        <v>139600</v>
      </c>
      <c r="N418" s="98">
        <v>0</v>
      </c>
      <c r="O418" s="98" t="s">
        <v>2087</v>
      </c>
      <c r="P418" s="98" t="s">
        <v>2144</v>
      </c>
      <c r="Q418" s="98" t="s">
        <v>2050</v>
      </c>
      <c r="R418" s="98" t="s">
        <v>2145</v>
      </c>
      <c r="S418" t="s">
        <v>2052</v>
      </c>
      <c r="T418" t="s">
        <v>2113</v>
      </c>
    </row>
    <row r="419" spans="1:20" x14ac:dyDescent="0.25">
      <c r="A419" s="98" t="s">
        <v>1585</v>
      </c>
      <c r="B419" s="98" t="s">
        <v>1586</v>
      </c>
      <c r="C419" s="98" t="s">
        <v>1179</v>
      </c>
      <c r="D419" s="98" t="s">
        <v>2034</v>
      </c>
      <c r="E419" s="101">
        <v>163170</v>
      </c>
      <c r="F419" s="101">
        <v>219512</v>
      </c>
      <c r="G419" s="98">
        <v>0</v>
      </c>
      <c r="H419" s="101">
        <v>45880</v>
      </c>
      <c r="I419" s="98" t="s">
        <v>2035</v>
      </c>
      <c r="J419" s="98">
        <v>163170</v>
      </c>
      <c r="K419" s="101" t="s">
        <v>2035</v>
      </c>
      <c r="L419" s="98">
        <v>203962</v>
      </c>
      <c r="M419" s="98">
        <v>-40792</v>
      </c>
      <c r="N419" s="98">
        <v>-20</v>
      </c>
      <c r="O419" s="98" t="s">
        <v>2087</v>
      </c>
      <c r="P419" s="98" t="s">
        <v>2144</v>
      </c>
      <c r="Q419" s="98" t="s">
        <v>2050</v>
      </c>
      <c r="R419" s="98" t="s">
        <v>2145</v>
      </c>
      <c r="S419" t="s">
        <v>2052</v>
      </c>
      <c r="T419" t="s">
        <v>2113</v>
      </c>
    </row>
    <row r="420" spans="1:20" x14ac:dyDescent="0.25">
      <c r="A420" s="98" t="s">
        <v>1587</v>
      </c>
      <c r="B420" s="98" t="s">
        <v>1588</v>
      </c>
      <c r="C420" s="98" t="s">
        <v>1179</v>
      </c>
      <c r="D420" s="98" t="s">
        <v>2034</v>
      </c>
      <c r="E420" s="101">
        <v>65488</v>
      </c>
      <c r="F420" s="101">
        <v>219512</v>
      </c>
      <c r="G420" s="98">
        <v>0</v>
      </c>
      <c r="H420" s="101">
        <v>45880</v>
      </c>
      <c r="I420" s="98" t="s">
        <v>2035</v>
      </c>
      <c r="J420" s="98">
        <v>65488</v>
      </c>
      <c r="K420" s="101" t="s">
        <v>2035</v>
      </c>
      <c r="L420" s="98">
        <v>93554</v>
      </c>
      <c r="M420" s="98">
        <v>-28066</v>
      </c>
      <c r="N420" s="98">
        <v>-30</v>
      </c>
      <c r="O420" s="98" t="s">
        <v>2087</v>
      </c>
      <c r="P420" s="98" t="s">
        <v>2144</v>
      </c>
      <c r="Q420" s="98" t="s">
        <v>2050</v>
      </c>
      <c r="R420" s="98" t="s">
        <v>2145</v>
      </c>
      <c r="S420" t="s">
        <v>2052</v>
      </c>
      <c r="T420" t="s">
        <v>2113</v>
      </c>
    </row>
    <row r="421" spans="1:20" x14ac:dyDescent="0.25">
      <c r="A421" s="98" t="s">
        <v>1589</v>
      </c>
      <c r="B421" s="98" t="s">
        <v>1590</v>
      </c>
      <c r="C421" s="98" t="s">
        <v>1179</v>
      </c>
      <c r="D421" s="98" t="s">
        <v>2034</v>
      </c>
      <c r="E421" s="101">
        <v>38849</v>
      </c>
      <c r="F421" s="101">
        <v>219512</v>
      </c>
      <c r="G421" s="98">
        <v>0</v>
      </c>
      <c r="H421" s="101">
        <v>45919</v>
      </c>
      <c r="I421" s="98" t="s">
        <v>2035</v>
      </c>
      <c r="J421" s="98">
        <v>38849</v>
      </c>
      <c r="K421" s="101" t="s">
        <v>2035</v>
      </c>
      <c r="L421" s="98">
        <v>37717</v>
      </c>
      <c r="M421" s="98">
        <v>1132</v>
      </c>
      <c r="N421" s="98">
        <v>3</v>
      </c>
      <c r="O421" s="98" t="s">
        <v>2087</v>
      </c>
      <c r="P421" s="98" t="s">
        <v>2144</v>
      </c>
      <c r="Q421" s="98" t="s">
        <v>2076</v>
      </c>
      <c r="R421" s="98" t="s">
        <v>2196</v>
      </c>
      <c r="S421" t="s">
        <v>2067</v>
      </c>
      <c r="T421" t="s">
        <v>2113</v>
      </c>
    </row>
    <row r="422" spans="1:20" x14ac:dyDescent="0.25">
      <c r="A422" s="98" t="s">
        <v>107</v>
      </c>
      <c r="B422" s="98" t="s">
        <v>108</v>
      </c>
      <c r="C422" s="98" t="s">
        <v>1179</v>
      </c>
      <c r="D422" s="98" t="s">
        <v>2034</v>
      </c>
      <c r="E422" s="101">
        <v>106426</v>
      </c>
      <c r="F422" s="101">
        <v>219512</v>
      </c>
      <c r="G422" s="98">
        <v>0</v>
      </c>
      <c r="H422" s="101">
        <v>45919</v>
      </c>
      <c r="I422" s="98" t="s">
        <v>2035</v>
      </c>
      <c r="J422" s="98">
        <v>106426</v>
      </c>
      <c r="K422" s="101" t="s">
        <v>2035</v>
      </c>
      <c r="L422" s="98">
        <v>103326</v>
      </c>
      <c r="M422" s="98">
        <v>3100</v>
      </c>
      <c r="N422" s="98">
        <v>3</v>
      </c>
      <c r="O422" s="98" t="s">
        <v>2087</v>
      </c>
      <c r="P422" s="98" t="s">
        <v>2183</v>
      </c>
      <c r="Q422" s="98" t="s">
        <v>2076</v>
      </c>
      <c r="R422" s="98" t="s">
        <v>2197</v>
      </c>
      <c r="S422" t="s">
        <v>2067</v>
      </c>
      <c r="T422" t="s">
        <v>2109</v>
      </c>
    </row>
    <row r="423" spans="1:20" x14ac:dyDescent="0.25">
      <c r="A423" s="98" t="s">
        <v>109</v>
      </c>
      <c r="B423" s="98" t="s">
        <v>110</v>
      </c>
      <c r="C423" s="98" t="s">
        <v>1179</v>
      </c>
      <c r="D423" s="98" t="s">
        <v>2034</v>
      </c>
      <c r="E423" s="101">
        <v>176672</v>
      </c>
      <c r="F423" s="101">
        <v>219512</v>
      </c>
      <c r="G423" s="98">
        <v>0</v>
      </c>
      <c r="H423" s="101">
        <v>45919</v>
      </c>
      <c r="I423" s="98" t="s">
        <v>2035</v>
      </c>
      <c r="J423" s="98">
        <v>176672</v>
      </c>
      <c r="K423" s="101" t="s">
        <v>2035</v>
      </c>
      <c r="L423" s="98">
        <v>171526</v>
      </c>
      <c r="M423" s="98">
        <v>5146</v>
      </c>
      <c r="N423" s="98">
        <v>3</v>
      </c>
      <c r="O423" s="98" t="s">
        <v>2087</v>
      </c>
      <c r="P423" s="98" t="s">
        <v>2183</v>
      </c>
      <c r="Q423" s="98" t="s">
        <v>2076</v>
      </c>
      <c r="R423" s="98" t="s">
        <v>2197</v>
      </c>
      <c r="S423" t="s">
        <v>2067</v>
      </c>
      <c r="T423" t="s">
        <v>2109</v>
      </c>
    </row>
    <row r="424" spans="1:20" x14ac:dyDescent="0.25">
      <c r="A424" s="98" t="s">
        <v>111</v>
      </c>
      <c r="B424" s="98" t="s">
        <v>112</v>
      </c>
      <c r="C424" s="98" t="s">
        <v>1179</v>
      </c>
      <c r="D424" s="98" t="s">
        <v>2034</v>
      </c>
      <c r="E424" s="101">
        <v>195697</v>
      </c>
      <c r="F424" s="101">
        <v>219512</v>
      </c>
      <c r="G424" s="98">
        <v>0</v>
      </c>
      <c r="H424" s="101">
        <v>45919</v>
      </c>
      <c r="I424" s="98" t="s">
        <v>2035</v>
      </c>
      <c r="J424" s="98">
        <v>195697</v>
      </c>
      <c r="K424" s="101" t="s">
        <v>2035</v>
      </c>
      <c r="L424" s="98">
        <v>189997</v>
      </c>
      <c r="M424" s="98">
        <v>5700</v>
      </c>
      <c r="N424" s="98">
        <v>3</v>
      </c>
      <c r="O424" s="98" t="s">
        <v>2087</v>
      </c>
      <c r="P424" s="98" t="s">
        <v>2183</v>
      </c>
      <c r="Q424" s="98" t="s">
        <v>2076</v>
      </c>
      <c r="R424" s="98" t="s">
        <v>2197</v>
      </c>
      <c r="S424" t="s">
        <v>2067</v>
      </c>
      <c r="T424" t="s">
        <v>2109</v>
      </c>
    </row>
    <row r="425" spans="1:20" x14ac:dyDescent="0.25">
      <c r="A425" s="98" t="s">
        <v>1591</v>
      </c>
      <c r="B425" s="98" t="s">
        <v>1592</v>
      </c>
      <c r="C425" s="98" t="s">
        <v>1136</v>
      </c>
      <c r="D425" s="98" t="s">
        <v>2034</v>
      </c>
      <c r="E425" s="101">
        <v>68855</v>
      </c>
      <c r="F425" s="101">
        <v>219512</v>
      </c>
      <c r="G425" s="98">
        <v>0</v>
      </c>
      <c r="H425" s="101">
        <v>45766</v>
      </c>
      <c r="I425" s="98" t="s">
        <v>2035</v>
      </c>
      <c r="J425" s="98">
        <v>68855</v>
      </c>
      <c r="K425" s="101" t="s">
        <v>2035</v>
      </c>
      <c r="L425" s="98">
        <v>63117</v>
      </c>
      <c r="M425" s="98">
        <v>5738</v>
      </c>
      <c r="N425" s="98">
        <v>9.09</v>
      </c>
      <c r="O425" s="98" t="s">
        <v>2087</v>
      </c>
      <c r="P425" s="98" t="s">
        <v>2183</v>
      </c>
      <c r="Q425" s="98" t="s">
        <v>2050</v>
      </c>
      <c r="R425" s="98" t="s">
        <v>2198</v>
      </c>
      <c r="S425" t="s">
        <v>2060</v>
      </c>
      <c r="T425" t="s">
        <v>2109</v>
      </c>
    </row>
    <row r="426" spans="1:20" x14ac:dyDescent="0.25">
      <c r="A426" s="98" t="s">
        <v>1593</v>
      </c>
      <c r="B426" s="98" t="s">
        <v>1594</v>
      </c>
      <c r="C426" s="98" t="s">
        <v>1136</v>
      </c>
      <c r="D426" s="98" t="s">
        <v>2034</v>
      </c>
      <c r="E426" s="101">
        <v>42684</v>
      </c>
      <c r="F426" s="101">
        <v>219512</v>
      </c>
      <c r="G426" s="98">
        <v>0</v>
      </c>
      <c r="H426" s="101">
        <v>45766</v>
      </c>
      <c r="I426" s="98" t="s">
        <v>2035</v>
      </c>
      <c r="J426" s="98">
        <v>42684</v>
      </c>
      <c r="K426" s="101" t="s">
        <v>2035</v>
      </c>
      <c r="L426" s="98">
        <v>46952</v>
      </c>
      <c r="M426" s="98">
        <v>-4268</v>
      </c>
      <c r="N426" s="98">
        <v>-9.09</v>
      </c>
      <c r="O426" s="98" t="s">
        <v>2087</v>
      </c>
      <c r="P426" s="98" t="s">
        <v>2183</v>
      </c>
      <c r="Q426" s="98" t="s">
        <v>2050</v>
      </c>
      <c r="R426" s="98" t="s">
        <v>2198</v>
      </c>
      <c r="S426" t="s">
        <v>2199</v>
      </c>
      <c r="T426" t="s">
        <v>2109</v>
      </c>
    </row>
    <row r="427" spans="1:20" x14ac:dyDescent="0.25">
      <c r="A427" s="98" t="s">
        <v>1595</v>
      </c>
      <c r="B427" s="98" t="s">
        <v>1596</v>
      </c>
      <c r="C427" s="98" t="s">
        <v>1136</v>
      </c>
      <c r="D427" s="98" t="s">
        <v>2034</v>
      </c>
      <c r="E427" s="101">
        <v>39504</v>
      </c>
      <c r="F427" s="101">
        <v>219512</v>
      </c>
      <c r="G427" s="98">
        <v>0</v>
      </c>
      <c r="H427" s="101">
        <v>45897</v>
      </c>
      <c r="I427" s="98" t="s">
        <v>2035</v>
      </c>
      <c r="J427" s="98">
        <v>39504</v>
      </c>
      <c r="K427" s="101" t="s">
        <v>2035</v>
      </c>
      <c r="L427" s="98">
        <v>37623</v>
      </c>
      <c r="M427" s="98">
        <v>1881</v>
      </c>
      <c r="N427" s="98">
        <v>5</v>
      </c>
      <c r="O427" s="98" t="s">
        <v>2087</v>
      </c>
      <c r="P427" s="98" t="s">
        <v>2183</v>
      </c>
      <c r="Q427" s="98" t="s">
        <v>2050</v>
      </c>
      <c r="R427" s="98" t="s">
        <v>2198</v>
      </c>
      <c r="S427" t="s">
        <v>2200</v>
      </c>
      <c r="T427" t="s">
        <v>2109</v>
      </c>
    </row>
    <row r="428" spans="1:20" x14ac:dyDescent="0.25">
      <c r="A428" s="98" t="s">
        <v>606</v>
      </c>
      <c r="B428" s="98" t="s">
        <v>1597</v>
      </c>
      <c r="C428" s="98" t="s">
        <v>1179</v>
      </c>
      <c r="D428" s="98" t="s">
        <v>2034</v>
      </c>
      <c r="E428" s="101">
        <v>33677</v>
      </c>
      <c r="F428" s="101">
        <v>219512</v>
      </c>
      <c r="G428" s="98">
        <v>0</v>
      </c>
      <c r="H428" s="101">
        <v>45919</v>
      </c>
      <c r="I428" s="98" t="s">
        <v>2035</v>
      </c>
      <c r="J428" s="98">
        <v>33677</v>
      </c>
      <c r="K428" s="101" t="s">
        <v>2035</v>
      </c>
      <c r="L428" s="98">
        <v>32073</v>
      </c>
      <c r="M428" s="98">
        <v>1604</v>
      </c>
      <c r="N428" s="98">
        <v>5</v>
      </c>
      <c r="O428" s="98" t="s">
        <v>2176</v>
      </c>
      <c r="P428" s="98" t="s">
        <v>2183</v>
      </c>
      <c r="Q428" s="98" t="s">
        <v>2076</v>
      </c>
      <c r="R428" s="98" t="s">
        <v>2195</v>
      </c>
      <c r="S428" t="s">
        <v>2201</v>
      </c>
      <c r="T428" t="s">
        <v>2184</v>
      </c>
    </row>
    <row r="429" spans="1:20" x14ac:dyDescent="0.25">
      <c r="A429" s="98" t="s">
        <v>607</v>
      </c>
      <c r="B429" s="98" t="s">
        <v>1598</v>
      </c>
      <c r="C429" s="98" t="s">
        <v>1179</v>
      </c>
      <c r="D429" s="98" t="s">
        <v>2034</v>
      </c>
      <c r="E429" s="101">
        <v>43943</v>
      </c>
      <c r="F429" s="101">
        <v>219512</v>
      </c>
      <c r="G429" s="98">
        <v>0</v>
      </c>
      <c r="H429" s="101">
        <v>45919</v>
      </c>
      <c r="I429" s="98" t="s">
        <v>2035</v>
      </c>
      <c r="J429" s="98">
        <v>43943</v>
      </c>
      <c r="K429" s="101" t="s">
        <v>2035</v>
      </c>
      <c r="L429" s="98">
        <v>41850</v>
      </c>
      <c r="M429" s="98">
        <v>2093</v>
      </c>
      <c r="N429" s="98">
        <v>5</v>
      </c>
      <c r="O429" s="98" t="s">
        <v>2176</v>
      </c>
      <c r="P429" s="98" t="s">
        <v>2183</v>
      </c>
      <c r="Q429" s="98" t="s">
        <v>2076</v>
      </c>
      <c r="R429" s="98" t="s">
        <v>2195</v>
      </c>
      <c r="S429" t="s">
        <v>2201</v>
      </c>
      <c r="T429" t="s">
        <v>2184</v>
      </c>
    </row>
    <row r="430" spans="1:20" x14ac:dyDescent="0.25">
      <c r="A430" s="98" t="s">
        <v>608</v>
      </c>
      <c r="B430" s="98" t="s">
        <v>1599</v>
      </c>
      <c r="C430" s="98" t="s">
        <v>1179</v>
      </c>
      <c r="D430" s="98" t="s">
        <v>2034</v>
      </c>
      <c r="E430" s="101">
        <v>63648</v>
      </c>
      <c r="F430" s="101">
        <v>219512</v>
      </c>
      <c r="G430" s="98">
        <v>0</v>
      </c>
      <c r="H430" s="101">
        <v>45919</v>
      </c>
      <c r="I430" s="98" t="s">
        <v>2035</v>
      </c>
      <c r="J430" s="98">
        <v>63648</v>
      </c>
      <c r="K430" s="101" t="s">
        <v>2035</v>
      </c>
      <c r="L430" s="98">
        <v>60617</v>
      </c>
      <c r="M430" s="98">
        <v>3031</v>
      </c>
      <c r="N430" s="98">
        <v>5</v>
      </c>
      <c r="O430" s="98" t="s">
        <v>2176</v>
      </c>
      <c r="P430" s="98" t="s">
        <v>2183</v>
      </c>
      <c r="Q430" s="98" t="s">
        <v>2076</v>
      </c>
      <c r="R430" s="98" t="s">
        <v>2195</v>
      </c>
      <c r="S430" t="s">
        <v>2201</v>
      </c>
      <c r="T430" t="s">
        <v>2184</v>
      </c>
    </row>
    <row r="431" spans="1:20" x14ac:dyDescent="0.25">
      <c r="A431" s="98" t="s">
        <v>609</v>
      </c>
      <c r="B431" s="98" t="s">
        <v>1600</v>
      </c>
      <c r="C431" s="98" t="s">
        <v>1179</v>
      </c>
      <c r="D431" s="98" t="s">
        <v>2034</v>
      </c>
      <c r="E431" s="101">
        <v>43989</v>
      </c>
      <c r="F431" s="101">
        <v>219512</v>
      </c>
      <c r="G431" s="98">
        <v>0</v>
      </c>
      <c r="H431" s="101">
        <v>45919</v>
      </c>
      <c r="I431" s="98" t="s">
        <v>2035</v>
      </c>
      <c r="J431" s="98">
        <v>43989</v>
      </c>
      <c r="K431" s="101" t="s">
        <v>2035</v>
      </c>
      <c r="L431" s="98">
        <v>41894</v>
      </c>
      <c r="M431" s="98">
        <v>2095</v>
      </c>
      <c r="N431" s="98">
        <v>5</v>
      </c>
      <c r="O431" s="98" t="s">
        <v>2176</v>
      </c>
      <c r="P431" s="98" t="s">
        <v>2183</v>
      </c>
      <c r="Q431" s="98" t="s">
        <v>2076</v>
      </c>
      <c r="R431" s="98" t="s">
        <v>2195</v>
      </c>
      <c r="S431" t="s">
        <v>2202</v>
      </c>
      <c r="T431" t="s">
        <v>2184</v>
      </c>
    </row>
    <row r="432" spans="1:20" x14ac:dyDescent="0.25">
      <c r="A432" s="98" t="s">
        <v>610</v>
      </c>
      <c r="B432" s="98" t="s">
        <v>1601</v>
      </c>
      <c r="C432" s="98" t="s">
        <v>1179</v>
      </c>
      <c r="D432" s="98" t="s">
        <v>2034</v>
      </c>
      <c r="E432" s="101">
        <v>60071</v>
      </c>
      <c r="F432" s="101">
        <v>219512</v>
      </c>
      <c r="G432" s="98">
        <v>0</v>
      </c>
      <c r="H432" s="101">
        <v>45919</v>
      </c>
      <c r="I432" s="98" t="s">
        <v>2035</v>
      </c>
      <c r="J432" s="98">
        <v>60071</v>
      </c>
      <c r="K432" s="101" t="s">
        <v>2035</v>
      </c>
      <c r="L432" s="98">
        <v>57210</v>
      </c>
      <c r="M432" s="98">
        <v>2861</v>
      </c>
      <c r="N432" s="98">
        <v>5</v>
      </c>
      <c r="O432" s="98" t="s">
        <v>2176</v>
      </c>
      <c r="P432" s="98" t="s">
        <v>2183</v>
      </c>
      <c r="Q432" s="98" t="s">
        <v>2076</v>
      </c>
      <c r="R432" s="98" t="s">
        <v>2195</v>
      </c>
      <c r="S432" t="s">
        <v>2202</v>
      </c>
      <c r="T432" t="s">
        <v>2184</v>
      </c>
    </row>
    <row r="433" spans="1:20" x14ac:dyDescent="0.25">
      <c r="A433" s="98" t="s">
        <v>611</v>
      </c>
      <c r="B433" s="98" t="s">
        <v>1602</v>
      </c>
      <c r="C433" s="98" t="s">
        <v>1179</v>
      </c>
      <c r="D433" s="98" t="s">
        <v>2034</v>
      </c>
      <c r="E433" s="101">
        <v>59300</v>
      </c>
      <c r="F433" s="101">
        <v>219512</v>
      </c>
      <c r="G433" s="98">
        <v>0</v>
      </c>
      <c r="H433" s="101">
        <v>45919</v>
      </c>
      <c r="I433" s="98" t="s">
        <v>2035</v>
      </c>
      <c r="J433" s="98">
        <v>59300</v>
      </c>
      <c r="K433" s="101" t="s">
        <v>2035</v>
      </c>
      <c r="L433" s="98">
        <v>56476</v>
      </c>
      <c r="M433" s="98">
        <v>2824</v>
      </c>
      <c r="N433" s="98">
        <v>5</v>
      </c>
      <c r="O433" s="98" t="s">
        <v>2176</v>
      </c>
      <c r="P433" s="98" t="s">
        <v>2183</v>
      </c>
      <c r="Q433" s="98" t="s">
        <v>2076</v>
      </c>
      <c r="R433" s="98" t="s">
        <v>2195</v>
      </c>
      <c r="S433" t="s">
        <v>2203</v>
      </c>
      <c r="T433" t="s">
        <v>2184</v>
      </c>
    </row>
    <row r="434" spans="1:20" x14ac:dyDescent="0.25">
      <c r="A434" s="98" t="s">
        <v>612</v>
      </c>
      <c r="B434" s="98" t="s">
        <v>1603</v>
      </c>
      <c r="C434" s="98" t="s">
        <v>1179</v>
      </c>
      <c r="D434" s="98" t="s">
        <v>2034</v>
      </c>
      <c r="E434" s="101">
        <v>40955</v>
      </c>
      <c r="F434" s="101">
        <v>219512</v>
      </c>
      <c r="G434" s="98">
        <v>0</v>
      </c>
      <c r="H434" s="101">
        <v>45919</v>
      </c>
      <c r="I434" s="98" t="s">
        <v>2035</v>
      </c>
      <c r="J434" s="98">
        <v>40955</v>
      </c>
      <c r="K434" s="101" t="s">
        <v>2035</v>
      </c>
      <c r="L434" s="98">
        <v>39005</v>
      </c>
      <c r="M434" s="98">
        <v>1950</v>
      </c>
      <c r="N434" s="98">
        <v>5</v>
      </c>
      <c r="O434" s="98" t="s">
        <v>2176</v>
      </c>
      <c r="P434" s="98" t="s">
        <v>2183</v>
      </c>
      <c r="Q434" s="98" t="s">
        <v>2076</v>
      </c>
      <c r="R434" s="98" t="s">
        <v>2195</v>
      </c>
      <c r="S434" t="s">
        <v>2202</v>
      </c>
      <c r="T434" t="s">
        <v>2184</v>
      </c>
    </row>
    <row r="435" spans="1:20" x14ac:dyDescent="0.25">
      <c r="A435" s="98" t="s">
        <v>613</v>
      </c>
      <c r="B435" s="98" t="s">
        <v>1604</v>
      </c>
      <c r="C435" s="98" t="s">
        <v>1179</v>
      </c>
      <c r="D435" s="98" t="s">
        <v>2034</v>
      </c>
      <c r="E435" s="101">
        <v>64676</v>
      </c>
      <c r="F435" s="101">
        <v>219512</v>
      </c>
      <c r="G435" s="98">
        <v>0</v>
      </c>
      <c r="H435" s="101">
        <v>45919</v>
      </c>
      <c r="I435" s="98" t="s">
        <v>2035</v>
      </c>
      <c r="J435" s="98">
        <v>64676</v>
      </c>
      <c r="K435" s="101" t="s">
        <v>2035</v>
      </c>
      <c r="L435" s="98">
        <v>61596</v>
      </c>
      <c r="M435" s="98">
        <v>3080</v>
      </c>
      <c r="N435" s="98">
        <v>5</v>
      </c>
      <c r="O435" s="98" t="s">
        <v>2176</v>
      </c>
      <c r="P435" s="98" t="s">
        <v>2183</v>
      </c>
      <c r="Q435" s="98" t="s">
        <v>2076</v>
      </c>
      <c r="R435" s="98" t="s">
        <v>2195</v>
      </c>
      <c r="S435" t="s">
        <v>2202</v>
      </c>
      <c r="T435" t="s">
        <v>2184</v>
      </c>
    </row>
    <row r="436" spans="1:20" x14ac:dyDescent="0.25">
      <c r="A436" s="98" t="s">
        <v>614</v>
      </c>
      <c r="B436" s="98" t="s">
        <v>1605</v>
      </c>
      <c r="C436" s="98" t="s">
        <v>1179</v>
      </c>
      <c r="D436" s="98" t="s">
        <v>2034</v>
      </c>
      <c r="E436" s="101">
        <v>36227</v>
      </c>
      <c r="F436" s="101">
        <v>219512</v>
      </c>
      <c r="G436" s="98">
        <v>0</v>
      </c>
      <c r="H436" s="101">
        <v>45919</v>
      </c>
      <c r="I436" s="98" t="s">
        <v>2035</v>
      </c>
      <c r="J436" s="98">
        <v>36227</v>
      </c>
      <c r="K436" s="101" t="s">
        <v>2035</v>
      </c>
      <c r="L436" s="98">
        <v>34502</v>
      </c>
      <c r="M436" s="98">
        <v>1725</v>
      </c>
      <c r="N436" s="98">
        <v>5</v>
      </c>
      <c r="O436" s="98" t="s">
        <v>2176</v>
      </c>
      <c r="P436" s="98" t="s">
        <v>2183</v>
      </c>
      <c r="Q436" s="98" t="s">
        <v>2076</v>
      </c>
      <c r="R436" s="98" t="s">
        <v>2195</v>
      </c>
      <c r="S436" t="s">
        <v>2204</v>
      </c>
      <c r="T436" t="s">
        <v>2184</v>
      </c>
    </row>
    <row r="437" spans="1:20" x14ac:dyDescent="0.25">
      <c r="A437" s="98" t="s">
        <v>923</v>
      </c>
      <c r="B437" s="98" t="s">
        <v>1606</v>
      </c>
      <c r="C437" s="98" t="s">
        <v>1179</v>
      </c>
      <c r="D437" s="98" t="s">
        <v>2034</v>
      </c>
      <c r="E437" s="101">
        <v>50667</v>
      </c>
      <c r="F437" s="101">
        <v>219512</v>
      </c>
      <c r="G437" s="98">
        <v>0</v>
      </c>
      <c r="H437" s="101">
        <v>45919</v>
      </c>
      <c r="I437" s="98" t="s">
        <v>2035</v>
      </c>
      <c r="J437" s="98">
        <v>50667</v>
      </c>
      <c r="K437" s="101" t="s">
        <v>2035</v>
      </c>
      <c r="L437" s="98">
        <v>44058</v>
      </c>
      <c r="M437" s="98">
        <v>6609</v>
      </c>
      <c r="N437" s="98">
        <v>15</v>
      </c>
      <c r="O437" s="98" t="s">
        <v>2176</v>
      </c>
      <c r="P437" s="98" t="s">
        <v>2183</v>
      </c>
      <c r="Q437" s="98" t="s">
        <v>2076</v>
      </c>
      <c r="R437" s="98" t="s">
        <v>2195</v>
      </c>
      <c r="S437" t="s">
        <v>2204</v>
      </c>
      <c r="T437" t="s">
        <v>2184</v>
      </c>
    </row>
    <row r="438" spans="1:20" x14ac:dyDescent="0.25">
      <c r="A438" s="98" t="s">
        <v>924</v>
      </c>
      <c r="B438" s="98" t="s">
        <v>1607</v>
      </c>
      <c r="C438" s="98" t="s">
        <v>1179</v>
      </c>
      <c r="D438" s="98" t="s">
        <v>2034</v>
      </c>
      <c r="E438" s="101">
        <v>70955</v>
      </c>
      <c r="F438" s="101">
        <v>219512</v>
      </c>
      <c r="G438" s="98">
        <v>0</v>
      </c>
      <c r="H438" s="101">
        <v>45919</v>
      </c>
      <c r="I438" s="98" t="s">
        <v>2035</v>
      </c>
      <c r="J438" s="98">
        <v>70955</v>
      </c>
      <c r="K438" s="101" t="s">
        <v>2035</v>
      </c>
      <c r="L438" s="98">
        <v>61700</v>
      </c>
      <c r="M438" s="98">
        <v>9255</v>
      </c>
      <c r="N438" s="98">
        <v>15</v>
      </c>
      <c r="O438" s="98" t="s">
        <v>2176</v>
      </c>
      <c r="P438" s="98" t="s">
        <v>2183</v>
      </c>
      <c r="Q438" s="98" t="s">
        <v>2076</v>
      </c>
      <c r="R438" s="98" t="s">
        <v>2195</v>
      </c>
      <c r="S438" t="s">
        <v>2204</v>
      </c>
      <c r="T438" t="s">
        <v>2184</v>
      </c>
    </row>
    <row r="439" spans="1:20" x14ac:dyDescent="0.25">
      <c r="A439" s="98" t="s">
        <v>615</v>
      </c>
      <c r="B439" s="98" t="s">
        <v>1608</v>
      </c>
      <c r="C439" s="98" t="s">
        <v>1179</v>
      </c>
      <c r="D439" s="98" t="s">
        <v>2034</v>
      </c>
      <c r="E439" s="101">
        <v>37013</v>
      </c>
      <c r="F439" s="101">
        <v>219512</v>
      </c>
      <c r="G439" s="98">
        <v>0</v>
      </c>
      <c r="H439" s="101">
        <v>45919</v>
      </c>
      <c r="I439" s="98" t="s">
        <v>2035</v>
      </c>
      <c r="J439" s="98">
        <v>37013</v>
      </c>
      <c r="K439" s="101" t="s">
        <v>2035</v>
      </c>
      <c r="L439" s="98">
        <v>35250</v>
      </c>
      <c r="M439" s="98">
        <v>1763</v>
      </c>
      <c r="N439" s="98">
        <v>5</v>
      </c>
      <c r="O439" s="98" t="s">
        <v>2176</v>
      </c>
      <c r="P439" s="98" t="s">
        <v>2183</v>
      </c>
      <c r="Q439" s="98" t="s">
        <v>2076</v>
      </c>
      <c r="R439" s="98" t="s">
        <v>2195</v>
      </c>
      <c r="S439" t="s">
        <v>2205</v>
      </c>
      <c r="T439" t="s">
        <v>2184</v>
      </c>
    </row>
    <row r="440" spans="1:20" x14ac:dyDescent="0.25">
      <c r="A440" s="98" t="s">
        <v>616</v>
      </c>
      <c r="B440" s="98" t="s">
        <v>1609</v>
      </c>
      <c r="C440" s="98" t="s">
        <v>1179</v>
      </c>
      <c r="D440" s="98" t="s">
        <v>2034</v>
      </c>
      <c r="E440" s="101">
        <v>12385</v>
      </c>
      <c r="F440" s="101">
        <v>219512</v>
      </c>
      <c r="G440" s="98">
        <v>0</v>
      </c>
      <c r="H440" s="101">
        <v>45919</v>
      </c>
      <c r="I440" s="98" t="s">
        <v>2035</v>
      </c>
      <c r="J440" s="98">
        <v>12385</v>
      </c>
      <c r="K440" s="101" t="s">
        <v>2035</v>
      </c>
      <c r="L440" s="98">
        <v>11468</v>
      </c>
      <c r="M440" s="98">
        <v>917</v>
      </c>
      <c r="N440" s="98">
        <v>8</v>
      </c>
      <c r="O440" s="98" t="s">
        <v>2176</v>
      </c>
      <c r="P440" s="98" t="s">
        <v>2183</v>
      </c>
      <c r="Q440" s="98" t="s">
        <v>2076</v>
      </c>
      <c r="R440" s="98" t="s">
        <v>2195</v>
      </c>
      <c r="S440" t="s">
        <v>2201</v>
      </c>
      <c r="T440" t="s">
        <v>2184</v>
      </c>
    </row>
    <row r="441" spans="1:20" x14ac:dyDescent="0.25">
      <c r="A441" s="98" t="s">
        <v>617</v>
      </c>
      <c r="B441" s="98" t="s">
        <v>1610</v>
      </c>
      <c r="C441" s="98" t="s">
        <v>1179</v>
      </c>
      <c r="D441" s="98" t="s">
        <v>2034</v>
      </c>
      <c r="E441" s="101">
        <v>13191</v>
      </c>
      <c r="F441" s="101">
        <v>219512</v>
      </c>
      <c r="G441" s="98">
        <v>0</v>
      </c>
      <c r="H441" s="101">
        <v>45919</v>
      </c>
      <c r="I441" s="98" t="s">
        <v>2035</v>
      </c>
      <c r="J441" s="98">
        <v>13191</v>
      </c>
      <c r="K441" s="101" t="s">
        <v>2035</v>
      </c>
      <c r="L441" s="98">
        <v>12214</v>
      </c>
      <c r="M441" s="98">
        <v>977</v>
      </c>
      <c r="N441" s="98">
        <v>8</v>
      </c>
      <c r="O441" s="98" t="s">
        <v>2176</v>
      </c>
      <c r="P441" s="98" t="s">
        <v>2183</v>
      </c>
      <c r="Q441" s="98" t="s">
        <v>2076</v>
      </c>
      <c r="R441" s="98" t="s">
        <v>2195</v>
      </c>
      <c r="S441" t="s">
        <v>2201</v>
      </c>
      <c r="T441" t="s">
        <v>2184</v>
      </c>
    </row>
    <row r="442" spans="1:20" x14ac:dyDescent="0.25">
      <c r="A442" s="98" t="s">
        <v>618</v>
      </c>
      <c r="B442" s="98" t="s">
        <v>1611</v>
      </c>
      <c r="C442" s="98" t="s">
        <v>1179</v>
      </c>
      <c r="D442" s="98" t="s">
        <v>2034</v>
      </c>
      <c r="E442" s="101">
        <v>12858</v>
      </c>
      <c r="F442" s="101">
        <v>219512</v>
      </c>
      <c r="G442" s="98">
        <v>0</v>
      </c>
      <c r="H442" s="101">
        <v>45919</v>
      </c>
      <c r="I442" s="98" t="s">
        <v>2035</v>
      </c>
      <c r="J442" s="98">
        <v>12858</v>
      </c>
      <c r="K442" s="101" t="s">
        <v>2035</v>
      </c>
      <c r="L442" s="98">
        <v>11906</v>
      </c>
      <c r="M442" s="98">
        <v>952</v>
      </c>
      <c r="N442" s="98">
        <v>8</v>
      </c>
      <c r="O442" s="98" t="s">
        <v>2176</v>
      </c>
      <c r="P442" s="98" t="s">
        <v>2183</v>
      </c>
      <c r="Q442" s="98" t="s">
        <v>2076</v>
      </c>
      <c r="R442" s="98" t="s">
        <v>2195</v>
      </c>
      <c r="S442" t="s">
        <v>2201</v>
      </c>
      <c r="T442" t="s">
        <v>2184</v>
      </c>
    </row>
    <row r="443" spans="1:20" x14ac:dyDescent="0.25">
      <c r="A443" s="98" t="s">
        <v>619</v>
      </c>
      <c r="B443" s="98" t="s">
        <v>1612</v>
      </c>
      <c r="C443" s="98" t="s">
        <v>1179</v>
      </c>
      <c r="D443" s="98" t="s">
        <v>2034</v>
      </c>
      <c r="E443" s="101">
        <v>11200</v>
      </c>
      <c r="F443" s="101">
        <v>219512</v>
      </c>
      <c r="G443" s="98">
        <v>0</v>
      </c>
      <c r="H443" s="101">
        <v>45919</v>
      </c>
      <c r="I443" s="98" t="s">
        <v>2035</v>
      </c>
      <c r="J443" s="98">
        <v>11200</v>
      </c>
      <c r="K443" s="101" t="s">
        <v>2035</v>
      </c>
      <c r="L443" s="98">
        <v>10370</v>
      </c>
      <c r="M443" s="98">
        <v>830</v>
      </c>
      <c r="N443" s="98">
        <v>8</v>
      </c>
      <c r="O443" s="98" t="s">
        <v>2176</v>
      </c>
      <c r="P443" s="98" t="s">
        <v>2183</v>
      </c>
      <c r="Q443" s="98" t="s">
        <v>2076</v>
      </c>
      <c r="R443" s="98" t="s">
        <v>2195</v>
      </c>
      <c r="S443" t="s">
        <v>2202</v>
      </c>
      <c r="T443" t="s">
        <v>2184</v>
      </c>
    </row>
    <row r="444" spans="1:20" x14ac:dyDescent="0.25">
      <c r="A444" s="98" t="s">
        <v>620</v>
      </c>
      <c r="B444" s="98" t="s">
        <v>1613</v>
      </c>
      <c r="C444" s="98" t="s">
        <v>1179</v>
      </c>
      <c r="D444" s="98" t="s">
        <v>2034</v>
      </c>
      <c r="E444" s="101">
        <v>9290</v>
      </c>
      <c r="F444" s="101">
        <v>219512</v>
      </c>
      <c r="G444" s="98">
        <v>0</v>
      </c>
      <c r="H444" s="101">
        <v>45919</v>
      </c>
      <c r="I444" s="98" t="s">
        <v>2035</v>
      </c>
      <c r="J444" s="98">
        <v>9290</v>
      </c>
      <c r="K444" s="101" t="s">
        <v>2035</v>
      </c>
      <c r="L444" s="98">
        <v>8602</v>
      </c>
      <c r="M444" s="98">
        <v>688</v>
      </c>
      <c r="N444" s="98">
        <v>8</v>
      </c>
      <c r="O444" s="98" t="s">
        <v>2176</v>
      </c>
      <c r="P444" s="98" t="s">
        <v>2183</v>
      </c>
      <c r="Q444" s="98" t="s">
        <v>2076</v>
      </c>
      <c r="R444" s="98" t="s">
        <v>2195</v>
      </c>
      <c r="S444" t="s">
        <v>2204</v>
      </c>
      <c r="T444" t="s">
        <v>2184</v>
      </c>
    </row>
    <row r="445" spans="1:20" x14ac:dyDescent="0.25">
      <c r="A445" s="98" t="s">
        <v>621</v>
      </c>
      <c r="B445" s="98" t="s">
        <v>1614</v>
      </c>
      <c r="C445" s="98" t="s">
        <v>1179</v>
      </c>
      <c r="D445" s="98" t="s">
        <v>2034</v>
      </c>
      <c r="E445" s="101">
        <v>9280</v>
      </c>
      <c r="F445" s="101">
        <v>219512</v>
      </c>
      <c r="G445" s="98">
        <v>0</v>
      </c>
      <c r="H445" s="101">
        <v>45919</v>
      </c>
      <c r="I445" s="98" t="s">
        <v>2035</v>
      </c>
      <c r="J445" s="98">
        <v>9280</v>
      </c>
      <c r="K445" s="101" t="s">
        <v>2035</v>
      </c>
      <c r="L445" s="98">
        <v>8286</v>
      </c>
      <c r="M445" s="98">
        <v>994</v>
      </c>
      <c r="N445" s="98">
        <v>12</v>
      </c>
      <c r="O445" s="98" t="s">
        <v>2176</v>
      </c>
      <c r="P445" s="98" t="s">
        <v>2183</v>
      </c>
      <c r="Q445" s="98" t="s">
        <v>2076</v>
      </c>
      <c r="R445" s="98" t="s">
        <v>2195</v>
      </c>
      <c r="S445" t="s">
        <v>2204</v>
      </c>
      <c r="T445" t="s">
        <v>2184</v>
      </c>
    </row>
    <row r="446" spans="1:20" x14ac:dyDescent="0.25">
      <c r="A446" s="98" t="s">
        <v>1615</v>
      </c>
      <c r="B446" s="98" t="s">
        <v>1616</v>
      </c>
      <c r="C446" s="98" t="s">
        <v>1179</v>
      </c>
      <c r="D446" s="98" t="s">
        <v>2034</v>
      </c>
      <c r="E446" s="101">
        <v>98724</v>
      </c>
      <c r="F446" s="101">
        <v>219512</v>
      </c>
      <c r="G446" s="98">
        <v>0</v>
      </c>
      <c r="H446" s="101">
        <v>45762</v>
      </c>
      <c r="I446" s="98" t="s">
        <v>2035</v>
      </c>
      <c r="J446" s="98">
        <v>98724</v>
      </c>
      <c r="K446" s="101" t="s">
        <v>2035</v>
      </c>
      <c r="L446" s="98">
        <v>89749</v>
      </c>
      <c r="M446" s="98">
        <v>8975</v>
      </c>
      <c r="N446" s="98">
        <v>10</v>
      </c>
      <c r="O446" s="98" t="s">
        <v>2150</v>
      </c>
      <c r="P446" s="98" t="s">
        <v>2147</v>
      </c>
      <c r="Q446" s="98" t="s">
        <v>2050</v>
      </c>
      <c r="R446" s="98" t="s">
        <v>2206</v>
      </c>
      <c r="S446" t="s">
        <v>2085</v>
      </c>
      <c r="T446" t="s">
        <v>2184</v>
      </c>
    </row>
    <row r="447" spans="1:20" x14ac:dyDescent="0.25">
      <c r="A447" s="98" t="s">
        <v>1617</v>
      </c>
      <c r="B447" s="98" t="s">
        <v>1618</v>
      </c>
      <c r="C447" s="98" t="s">
        <v>1179</v>
      </c>
      <c r="D447" s="98" t="s">
        <v>2034</v>
      </c>
      <c r="E447" s="101">
        <v>79726</v>
      </c>
      <c r="F447" s="101">
        <v>219512</v>
      </c>
      <c r="G447" s="98">
        <v>0</v>
      </c>
      <c r="H447" s="101">
        <v>45762</v>
      </c>
      <c r="I447" s="98" t="s">
        <v>2035</v>
      </c>
      <c r="J447" s="98">
        <v>79726</v>
      </c>
      <c r="K447" s="101" t="s">
        <v>2035</v>
      </c>
      <c r="L447" s="98">
        <v>72478</v>
      </c>
      <c r="M447" s="98">
        <v>7248</v>
      </c>
      <c r="N447" s="98">
        <v>10</v>
      </c>
      <c r="O447" s="98" t="s">
        <v>2150</v>
      </c>
      <c r="P447" s="98" t="s">
        <v>2147</v>
      </c>
      <c r="Q447" s="98" t="s">
        <v>2050</v>
      </c>
      <c r="R447" s="98" t="s">
        <v>2206</v>
      </c>
      <c r="S447" t="s">
        <v>2085</v>
      </c>
      <c r="T447" t="s">
        <v>2184</v>
      </c>
    </row>
    <row r="448" spans="1:20" x14ac:dyDescent="0.25">
      <c r="A448" s="98" t="s">
        <v>1619</v>
      </c>
      <c r="B448" s="98" t="s">
        <v>1620</v>
      </c>
      <c r="C448" s="98" t="s">
        <v>1136</v>
      </c>
      <c r="D448" s="98" t="s">
        <v>2034</v>
      </c>
      <c r="E448" s="101">
        <v>3311</v>
      </c>
      <c r="F448" s="101">
        <v>219512</v>
      </c>
      <c r="G448" s="98">
        <v>0</v>
      </c>
      <c r="H448" s="101">
        <v>45897</v>
      </c>
      <c r="I448" s="98" t="s">
        <v>2035</v>
      </c>
      <c r="J448" s="98">
        <v>3311</v>
      </c>
      <c r="K448" s="101" t="s">
        <v>2035</v>
      </c>
      <c r="L448" s="98">
        <v>3153</v>
      </c>
      <c r="M448" s="98">
        <v>158</v>
      </c>
      <c r="N448" s="98">
        <v>5.01</v>
      </c>
      <c r="O448" s="98" t="s">
        <v>2150</v>
      </c>
      <c r="P448" s="98" t="s">
        <v>2147</v>
      </c>
      <c r="Q448" s="98" t="s">
        <v>2050</v>
      </c>
      <c r="R448" s="98" t="s">
        <v>2206</v>
      </c>
      <c r="S448" t="s">
        <v>2058</v>
      </c>
      <c r="T448" t="s">
        <v>2184</v>
      </c>
    </row>
    <row r="449" spans="1:20" x14ac:dyDescent="0.25">
      <c r="A449" s="98" t="s">
        <v>1621</v>
      </c>
      <c r="B449" s="98" t="s">
        <v>1622</v>
      </c>
      <c r="C449" s="98" t="s">
        <v>1136</v>
      </c>
      <c r="D449" s="98" t="s">
        <v>2034</v>
      </c>
      <c r="E449" s="101">
        <v>5817</v>
      </c>
      <c r="F449" s="101">
        <v>219512</v>
      </c>
      <c r="G449" s="98">
        <v>0</v>
      </c>
      <c r="H449" s="101">
        <v>45897</v>
      </c>
      <c r="I449" s="98" t="s">
        <v>2035</v>
      </c>
      <c r="J449" s="98">
        <v>5817</v>
      </c>
      <c r="K449" s="101" t="s">
        <v>2035</v>
      </c>
      <c r="L449" s="98">
        <v>5540</v>
      </c>
      <c r="M449" s="98">
        <v>277</v>
      </c>
      <c r="N449" s="98">
        <v>5</v>
      </c>
      <c r="O449" s="98" t="s">
        <v>2150</v>
      </c>
      <c r="P449" s="98" t="s">
        <v>2147</v>
      </c>
      <c r="Q449" s="98" t="s">
        <v>2050</v>
      </c>
      <c r="R449" s="98" t="s">
        <v>2206</v>
      </c>
      <c r="S449" t="s">
        <v>2058</v>
      </c>
      <c r="T449" t="s">
        <v>2184</v>
      </c>
    </row>
    <row r="450" spans="1:20" x14ac:dyDescent="0.25">
      <c r="A450" s="98" t="s">
        <v>1623</v>
      </c>
      <c r="B450" s="98" t="s">
        <v>1624</v>
      </c>
      <c r="C450" s="98" t="s">
        <v>1136</v>
      </c>
      <c r="D450" s="98" t="s">
        <v>2034</v>
      </c>
      <c r="E450" s="101">
        <v>7701</v>
      </c>
      <c r="F450" s="101">
        <v>219512</v>
      </c>
      <c r="G450" s="98">
        <v>0</v>
      </c>
      <c r="H450" s="101">
        <v>45766</v>
      </c>
      <c r="I450" s="98" t="s">
        <v>2035</v>
      </c>
      <c r="J450" s="98">
        <v>7701</v>
      </c>
      <c r="K450" s="101" t="s">
        <v>2035</v>
      </c>
      <c r="L450" s="98">
        <v>8471</v>
      </c>
      <c r="M450" s="98">
        <v>-770</v>
      </c>
      <c r="N450" s="98">
        <v>-9.09</v>
      </c>
      <c r="O450" s="98" t="s">
        <v>2150</v>
      </c>
      <c r="P450" s="98" t="s">
        <v>2147</v>
      </c>
      <c r="Q450" s="98" t="s">
        <v>2050</v>
      </c>
      <c r="R450" s="98" t="s">
        <v>2206</v>
      </c>
      <c r="S450" t="s">
        <v>2058</v>
      </c>
      <c r="T450" t="s">
        <v>2184</v>
      </c>
    </row>
    <row r="451" spans="1:20" x14ac:dyDescent="0.25">
      <c r="A451" s="98" t="s">
        <v>1625</v>
      </c>
      <c r="B451" s="98" t="s">
        <v>1626</v>
      </c>
      <c r="C451" s="98" t="s">
        <v>1136</v>
      </c>
      <c r="D451" s="98" t="s">
        <v>2034</v>
      </c>
      <c r="E451" s="101">
        <v>13822</v>
      </c>
      <c r="F451" s="101">
        <v>219512</v>
      </c>
      <c r="G451" s="98">
        <v>0</v>
      </c>
      <c r="H451" s="101">
        <v>45897</v>
      </c>
      <c r="I451" s="98" t="s">
        <v>2035</v>
      </c>
      <c r="J451" s="98">
        <v>13822</v>
      </c>
      <c r="K451" s="101" t="s">
        <v>2035</v>
      </c>
      <c r="L451" s="98">
        <v>12565</v>
      </c>
      <c r="M451" s="98">
        <v>1257</v>
      </c>
      <c r="N451" s="98">
        <v>10</v>
      </c>
      <c r="O451" s="98" t="s">
        <v>2150</v>
      </c>
      <c r="P451" s="98" t="s">
        <v>2147</v>
      </c>
      <c r="Q451" s="98" t="s">
        <v>2050</v>
      </c>
      <c r="R451" s="98" t="s">
        <v>2206</v>
      </c>
      <c r="S451" t="s">
        <v>2058</v>
      </c>
      <c r="T451" t="s">
        <v>2184</v>
      </c>
    </row>
    <row r="452" spans="1:20" x14ac:dyDescent="0.25">
      <c r="A452" s="98" t="s">
        <v>1627</v>
      </c>
      <c r="B452" s="98" t="s">
        <v>1628</v>
      </c>
      <c r="C452" s="98" t="s">
        <v>1136</v>
      </c>
      <c r="D452" s="98" t="s">
        <v>2034</v>
      </c>
      <c r="E452" s="101">
        <v>16675</v>
      </c>
      <c r="F452" s="101">
        <v>219512</v>
      </c>
      <c r="G452" s="98">
        <v>0</v>
      </c>
      <c r="H452" s="101">
        <v>45897</v>
      </c>
      <c r="I452" s="98" t="s">
        <v>2035</v>
      </c>
      <c r="J452" s="98">
        <v>16675</v>
      </c>
      <c r="K452" s="101" t="s">
        <v>2035</v>
      </c>
      <c r="L452" s="98">
        <v>15159</v>
      </c>
      <c r="M452" s="98">
        <v>1516</v>
      </c>
      <c r="N452" s="98">
        <v>10</v>
      </c>
      <c r="O452" s="98" t="s">
        <v>2150</v>
      </c>
      <c r="P452" s="98" t="s">
        <v>2147</v>
      </c>
      <c r="Q452" s="98" t="s">
        <v>2050</v>
      </c>
      <c r="R452" s="98" t="s">
        <v>2206</v>
      </c>
      <c r="S452" t="s">
        <v>2058</v>
      </c>
      <c r="T452" t="s">
        <v>2184</v>
      </c>
    </row>
    <row r="453" spans="1:20" x14ac:dyDescent="0.25">
      <c r="A453" s="98" t="s">
        <v>789</v>
      </c>
      <c r="B453" s="98" t="s">
        <v>809</v>
      </c>
      <c r="C453" s="98" t="s">
        <v>1179</v>
      </c>
      <c r="D453" s="98" t="s">
        <v>2034</v>
      </c>
      <c r="E453" s="101">
        <v>71330</v>
      </c>
      <c r="F453" s="101">
        <v>219512</v>
      </c>
      <c r="G453" s="98">
        <v>0</v>
      </c>
      <c r="H453" s="101">
        <v>45880</v>
      </c>
      <c r="I453" s="98" t="s">
        <v>2035</v>
      </c>
      <c r="J453" s="98">
        <v>71330</v>
      </c>
      <c r="K453" s="101" t="s">
        <v>2035</v>
      </c>
      <c r="L453" s="98">
        <v>62026</v>
      </c>
      <c r="M453" s="98">
        <v>9304</v>
      </c>
      <c r="N453" s="98">
        <v>15</v>
      </c>
      <c r="O453" s="98" t="s">
        <v>2176</v>
      </c>
      <c r="P453" s="98" t="s">
        <v>2183</v>
      </c>
      <c r="Q453" s="98" t="s">
        <v>2076</v>
      </c>
      <c r="R453" s="98" t="s">
        <v>2207</v>
      </c>
      <c r="S453" t="s">
        <v>2049</v>
      </c>
      <c r="T453" t="s">
        <v>2184</v>
      </c>
    </row>
    <row r="454" spans="1:20" x14ac:dyDescent="0.25">
      <c r="A454" s="98" t="s">
        <v>790</v>
      </c>
      <c r="B454" s="98" t="s">
        <v>810</v>
      </c>
      <c r="C454" s="98" t="s">
        <v>1179</v>
      </c>
      <c r="D454" s="98" t="s">
        <v>2034</v>
      </c>
      <c r="E454" s="101">
        <v>54403</v>
      </c>
      <c r="F454" s="101">
        <v>219512</v>
      </c>
      <c r="G454" s="98">
        <v>0</v>
      </c>
      <c r="H454" s="101">
        <v>45880</v>
      </c>
      <c r="I454" s="98" t="s">
        <v>2035</v>
      </c>
      <c r="J454" s="98">
        <v>54403</v>
      </c>
      <c r="K454" s="101" t="s">
        <v>2035</v>
      </c>
      <c r="L454" s="98">
        <v>47307</v>
      </c>
      <c r="M454" s="98">
        <v>7096</v>
      </c>
      <c r="N454" s="98">
        <v>15</v>
      </c>
      <c r="O454" s="98" t="s">
        <v>2176</v>
      </c>
      <c r="P454" s="98" t="s">
        <v>2183</v>
      </c>
      <c r="Q454" s="98" t="s">
        <v>2076</v>
      </c>
      <c r="R454" s="98" t="s">
        <v>2207</v>
      </c>
      <c r="S454" t="s">
        <v>2049</v>
      </c>
      <c r="T454" t="s">
        <v>2184</v>
      </c>
    </row>
    <row r="455" spans="1:20" x14ac:dyDescent="0.25">
      <c r="A455" s="98" t="s">
        <v>791</v>
      </c>
      <c r="B455" s="98" t="s">
        <v>811</v>
      </c>
      <c r="C455" s="98" t="s">
        <v>1179</v>
      </c>
      <c r="D455" s="98" t="s">
        <v>2034</v>
      </c>
      <c r="E455" s="101">
        <v>54922</v>
      </c>
      <c r="F455" s="101">
        <v>219512</v>
      </c>
      <c r="G455" s="98">
        <v>0</v>
      </c>
      <c r="H455" s="101">
        <v>45880</v>
      </c>
      <c r="I455" s="98" t="s">
        <v>2035</v>
      </c>
      <c r="J455" s="98">
        <v>54922</v>
      </c>
      <c r="K455" s="101" t="s">
        <v>2035</v>
      </c>
      <c r="L455" s="98">
        <v>47758</v>
      </c>
      <c r="M455" s="98">
        <v>7164</v>
      </c>
      <c r="N455" s="98">
        <v>15</v>
      </c>
      <c r="O455" s="98" t="s">
        <v>2176</v>
      </c>
      <c r="P455" s="98" t="s">
        <v>2183</v>
      </c>
      <c r="Q455" s="98" t="s">
        <v>2076</v>
      </c>
      <c r="R455" s="98" t="s">
        <v>2207</v>
      </c>
      <c r="S455" t="s">
        <v>2049</v>
      </c>
      <c r="T455" t="s">
        <v>2184</v>
      </c>
    </row>
    <row r="456" spans="1:20" x14ac:dyDescent="0.25">
      <c r="A456" s="98" t="s">
        <v>1629</v>
      </c>
      <c r="B456" s="98" t="s">
        <v>1630</v>
      </c>
      <c r="C456" s="98" t="s">
        <v>1179</v>
      </c>
      <c r="D456" s="98" t="s">
        <v>2034</v>
      </c>
      <c r="E456" s="101">
        <v>69705</v>
      </c>
      <c r="F456" s="101">
        <v>219512</v>
      </c>
      <c r="G456" s="98">
        <v>0</v>
      </c>
      <c r="H456" s="101">
        <v>45880</v>
      </c>
      <c r="I456" s="98" t="s">
        <v>2035</v>
      </c>
      <c r="J456" s="98">
        <v>69705</v>
      </c>
      <c r="K456" s="101" t="s">
        <v>2035</v>
      </c>
      <c r="L456" s="98">
        <v>60613</v>
      </c>
      <c r="M456" s="98">
        <v>9092</v>
      </c>
      <c r="N456" s="98">
        <v>15</v>
      </c>
      <c r="O456" s="98" t="s">
        <v>2176</v>
      </c>
      <c r="P456" s="98" t="s">
        <v>2183</v>
      </c>
      <c r="Q456" s="98" t="s">
        <v>2076</v>
      </c>
      <c r="R456" s="98" t="s">
        <v>2207</v>
      </c>
      <c r="S456" t="s">
        <v>2049</v>
      </c>
      <c r="T456" t="s">
        <v>2184</v>
      </c>
    </row>
    <row r="457" spans="1:20" x14ac:dyDescent="0.25">
      <c r="A457" s="98" t="s">
        <v>792</v>
      </c>
      <c r="B457" s="98" t="s">
        <v>812</v>
      </c>
      <c r="C457" s="98" t="s">
        <v>1179</v>
      </c>
      <c r="D457" s="98" t="s">
        <v>2034</v>
      </c>
      <c r="E457" s="101">
        <v>75998</v>
      </c>
      <c r="F457" s="101">
        <v>219512</v>
      </c>
      <c r="G457" s="98">
        <v>0</v>
      </c>
      <c r="H457" s="101">
        <v>45880</v>
      </c>
      <c r="I457" s="98" t="s">
        <v>2035</v>
      </c>
      <c r="J457" s="98">
        <v>75998</v>
      </c>
      <c r="K457" s="101" t="s">
        <v>2035</v>
      </c>
      <c r="L457" s="98">
        <v>66085</v>
      </c>
      <c r="M457" s="98">
        <v>9913</v>
      </c>
      <c r="N457" s="98">
        <v>15</v>
      </c>
      <c r="O457" s="98" t="s">
        <v>2176</v>
      </c>
      <c r="P457" s="98" t="s">
        <v>2183</v>
      </c>
      <c r="Q457" s="98" t="s">
        <v>2076</v>
      </c>
      <c r="R457" s="98" t="s">
        <v>2207</v>
      </c>
      <c r="S457" t="s">
        <v>2049</v>
      </c>
      <c r="T457" t="s">
        <v>2184</v>
      </c>
    </row>
    <row r="458" spans="1:20" x14ac:dyDescent="0.25">
      <c r="A458" s="98" t="s">
        <v>793</v>
      </c>
      <c r="B458" s="98" t="s">
        <v>813</v>
      </c>
      <c r="C458" s="98" t="s">
        <v>1179</v>
      </c>
      <c r="D458" s="98" t="s">
        <v>2034</v>
      </c>
      <c r="E458" s="101">
        <v>99426</v>
      </c>
      <c r="F458" s="101">
        <v>219512</v>
      </c>
      <c r="G458" s="98">
        <v>0</v>
      </c>
      <c r="H458" s="101">
        <v>45880</v>
      </c>
      <c r="I458" s="98" t="s">
        <v>2035</v>
      </c>
      <c r="J458" s="98">
        <v>99426</v>
      </c>
      <c r="K458" s="101" t="s">
        <v>2035</v>
      </c>
      <c r="L458" s="98">
        <v>86457</v>
      </c>
      <c r="M458" s="98">
        <v>12969</v>
      </c>
      <c r="N458" s="98">
        <v>15</v>
      </c>
      <c r="O458" s="98" t="s">
        <v>2176</v>
      </c>
      <c r="P458" s="98" t="s">
        <v>2183</v>
      </c>
      <c r="Q458" s="98" t="s">
        <v>2076</v>
      </c>
      <c r="R458" s="98" t="s">
        <v>2207</v>
      </c>
      <c r="S458" t="s">
        <v>2049</v>
      </c>
      <c r="T458" t="s">
        <v>2184</v>
      </c>
    </row>
    <row r="459" spans="1:20" x14ac:dyDescent="0.25">
      <c r="A459" s="98" t="s">
        <v>794</v>
      </c>
      <c r="B459" s="98" t="s">
        <v>814</v>
      </c>
      <c r="C459" s="98" t="s">
        <v>1179</v>
      </c>
      <c r="D459" s="98" t="s">
        <v>2034</v>
      </c>
      <c r="E459" s="101">
        <v>28966</v>
      </c>
      <c r="F459" s="101">
        <v>219512</v>
      </c>
      <c r="G459" s="98">
        <v>0</v>
      </c>
      <c r="H459" s="101">
        <v>45880</v>
      </c>
      <c r="I459" s="98" t="s">
        <v>2035</v>
      </c>
      <c r="J459" s="98">
        <v>28966</v>
      </c>
      <c r="K459" s="101" t="s">
        <v>2035</v>
      </c>
      <c r="L459" s="98">
        <v>25188</v>
      </c>
      <c r="M459" s="98">
        <v>3778</v>
      </c>
      <c r="N459" s="98">
        <v>15</v>
      </c>
      <c r="O459" s="98" t="s">
        <v>2176</v>
      </c>
      <c r="P459" s="98" t="s">
        <v>2183</v>
      </c>
      <c r="Q459" s="98" t="s">
        <v>2076</v>
      </c>
      <c r="R459" s="98" t="s">
        <v>2207</v>
      </c>
      <c r="S459" t="s">
        <v>2060</v>
      </c>
      <c r="T459" t="s">
        <v>2184</v>
      </c>
    </row>
    <row r="460" spans="1:20" x14ac:dyDescent="0.25">
      <c r="A460" s="98" t="s">
        <v>1631</v>
      </c>
      <c r="B460" s="98" t="s">
        <v>1632</v>
      </c>
      <c r="C460" s="98" t="s">
        <v>1179</v>
      </c>
      <c r="D460" s="98" t="s">
        <v>2034</v>
      </c>
      <c r="E460" s="101">
        <v>64950</v>
      </c>
      <c r="F460" s="101">
        <v>219512</v>
      </c>
      <c r="G460" s="98">
        <v>0</v>
      </c>
      <c r="H460" s="101">
        <v>45919</v>
      </c>
      <c r="I460" s="98" t="s">
        <v>2035</v>
      </c>
      <c r="J460" s="98">
        <v>64950</v>
      </c>
      <c r="K460" s="101" t="s">
        <v>2035</v>
      </c>
      <c r="L460" s="98">
        <v>61274</v>
      </c>
      <c r="M460" s="98">
        <v>3676</v>
      </c>
      <c r="N460" s="98">
        <v>6</v>
      </c>
      <c r="O460" s="98" t="s">
        <v>2176</v>
      </c>
      <c r="P460" s="98" t="s">
        <v>2183</v>
      </c>
      <c r="Q460" s="98" t="s">
        <v>2076</v>
      </c>
      <c r="R460" s="98" t="s">
        <v>2207</v>
      </c>
      <c r="S460" t="s">
        <v>2049</v>
      </c>
      <c r="T460" t="s">
        <v>2184</v>
      </c>
    </row>
    <row r="461" spans="1:20" x14ac:dyDescent="0.25">
      <c r="A461" s="98" t="s">
        <v>795</v>
      </c>
      <c r="B461" s="98" t="s">
        <v>815</v>
      </c>
      <c r="C461" s="98" t="s">
        <v>1179</v>
      </c>
      <c r="D461" s="98" t="s">
        <v>2034</v>
      </c>
      <c r="E461" s="101">
        <v>70354</v>
      </c>
      <c r="F461" s="101">
        <v>219512</v>
      </c>
      <c r="G461" s="98">
        <v>0</v>
      </c>
      <c r="H461" s="101">
        <v>45919</v>
      </c>
      <c r="I461" s="98" t="s">
        <v>2035</v>
      </c>
      <c r="J461" s="98">
        <v>70354</v>
      </c>
      <c r="K461" s="101" t="s">
        <v>2035</v>
      </c>
      <c r="L461" s="98">
        <v>66372</v>
      </c>
      <c r="M461" s="98">
        <v>3982</v>
      </c>
      <c r="N461" s="98">
        <v>6</v>
      </c>
      <c r="O461" s="98" t="s">
        <v>2176</v>
      </c>
      <c r="P461" s="98" t="s">
        <v>2183</v>
      </c>
      <c r="Q461" s="98" t="s">
        <v>2076</v>
      </c>
      <c r="R461" s="98" t="s">
        <v>2207</v>
      </c>
      <c r="S461" t="s">
        <v>2049</v>
      </c>
      <c r="T461" t="s">
        <v>2184</v>
      </c>
    </row>
    <row r="462" spans="1:20" x14ac:dyDescent="0.25">
      <c r="A462" s="98" t="s">
        <v>1633</v>
      </c>
      <c r="B462" s="98" t="s">
        <v>1634</v>
      </c>
      <c r="C462" s="98" t="s">
        <v>1179</v>
      </c>
      <c r="D462" s="98" t="s">
        <v>2034</v>
      </c>
      <c r="E462" s="101">
        <v>90377</v>
      </c>
      <c r="F462" s="101">
        <v>219512</v>
      </c>
      <c r="G462" s="98">
        <v>0</v>
      </c>
      <c r="H462" s="101">
        <v>45919</v>
      </c>
      <c r="I462" s="98" t="s">
        <v>2035</v>
      </c>
      <c r="J462" s="98">
        <v>90377</v>
      </c>
      <c r="K462" s="101" t="s">
        <v>2035</v>
      </c>
      <c r="L462" s="98">
        <v>85261</v>
      </c>
      <c r="M462" s="98">
        <v>5116</v>
      </c>
      <c r="N462" s="98">
        <v>6</v>
      </c>
      <c r="O462" s="98" t="s">
        <v>2176</v>
      </c>
      <c r="P462" s="98" t="s">
        <v>2183</v>
      </c>
      <c r="Q462" s="98" t="s">
        <v>2076</v>
      </c>
      <c r="R462" s="98" t="s">
        <v>2207</v>
      </c>
      <c r="S462" t="s">
        <v>2049</v>
      </c>
      <c r="T462" t="s">
        <v>2184</v>
      </c>
    </row>
    <row r="463" spans="1:20" x14ac:dyDescent="0.25">
      <c r="A463" s="98" t="s">
        <v>796</v>
      </c>
      <c r="B463" s="98" t="s">
        <v>816</v>
      </c>
      <c r="C463" s="98" t="s">
        <v>1179</v>
      </c>
      <c r="D463" s="98" t="s">
        <v>2034</v>
      </c>
      <c r="E463" s="101">
        <v>64788</v>
      </c>
      <c r="F463" s="101">
        <v>219512</v>
      </c>
      <c r="G463" s="98">
        <v>0</v>
      </c>
      <c r="H463" s="101">
        <v>45919</v>
      </c>
      <c r="I463" s="98" t="s">
        <v>2035</v>
      </c>
      <c r="J463" s="98">
        <v>64788</v>
      </c>
      <c r="K463" s="101" t="s">
        <v>2035</v>
      </c>
      <c r="L463" s="98">
        <v>61121</v>
      </c>
      <c r="M463" s="98">
        <v>3667</v>
      </c>
      <c r="N463" s="98">
        <v>6</v>
      </c>
      <c r="O463" s="98" t="s">
        <v>2176</v>
      </c>
      <c r="P463" s="98" t="s">
        <v>2183</v>
      </c>
      <c r="Q463" s="98" t="s">
        <v>2076</v>
      </c>
      <c r="R463" s="98" t="s">
        <v>2207</v>
      </c>
      <c r="S463" t="s">
        <v>2049</v>
      </c>
      <c r="T463" t="s">
        <v>2184</v>
      </c>
    </row>
    <row r="464" spans="1:20" x14ac:dyDescent="0.25">
      <c r="A464" s="98" t="s">
        <v>797</v>
      </c>
      <c r="B464" s="98" t="s">
        <v>817</v>
      </c>
      <c r="C464" s="98" t="s">
        <v>1179</v>
      </c>
      <c r="D464" s="98" t="s">
        <v>2034</v>
      </c>
      <c r="E464" s="101">
        <v>90318</v>
      </c>
      <c r="F464" s="101">
        <v>219512</v>
      </c>
      <c r="G464" s="98">
        <v>0</v>
      </c>
      <c r="H464" s="101">
        <v>45919</v>
      </c>
      <c r="I464" s="98" t="s">
        <v>2035</v>
      </c>
      <c r="J464" s="98">
        <v>90318</v>
      </c>
      <c r="K464" s="101" t="s">
        <v>2035</v>
      </c>
      <c r="L464" s="98">
        <v>85206</v>
      </c>
      <c r="M464" s="98">
        <v>5112</v>
      </c>
      <c r="N464" s="98">
        <v>6</v>
      </c>
      <c r="O464" s="98" t="s">
        <v>2176</v>
      </c>
      <c r="P464" s="98" t="s">
        <v>2183</v>
      </c>
      <c r="Q464" s="98" t="s">
        <v>2076</v>
      </c>
      <c r="R464" s="98" t="s">
        <v>2207</v>
      </c>
      <c r="S464" t="s">
        <v>2049</v>
      </c>
      <c r="T464" t="s">
        <v>2184</v>
      </c>
    </row>
    <row r="465" spans="1:20" x14ac:dyDescent="0.25">
      <c r="A465" s="98" t="s">
        <v>798</v>
      </c>
      <c r="B465" s="98" t="s">
        <v>818</v>
      </c>
      <c r="C465" s="98" t="s">
        <v>1179</v>
      </c>
      <c r="D465" s="98" t="s">
        <v>2034</v>
      </c>
      <c r="E465" s="101">
        <v>69828</v>
      </c>
      <c r="F465" s="101">
        <v>219512</v>
      </c>
      <c r="G465" s="98">
        <v>0</v>
      </c>
      <c r="H465" s="101">
        <v>45919</v>
      </c>
      <c r="I465" s="98" t="s">
        <v>2035</v>
      </c>
      <c r="J465" s="98">
        <v>69828</v>
      </c>
      <c r="K465" s="101" t="s">
        <v>2035</v>
      </c>
      <c r="L465" s="98">
        <v>65875</v>
      </c>
      <c r="M465" s="98">
        <v>3953</v>
      </c>
      <c r="N465" s="98">
        <v>6</v>
      </c>
      <c r="O465" s="98" t="s">
        <v>2176</v>
      </c>
      <c r="P465" s="98" t="s">
        <v>2183</v>
      </c>
      <c r="Q465" s="98" t="s">
        <v>2076</v>
      </c>
      <c r="R465" s="98" t="s">
        <v>2207</v>
      </c>
      <c r="S465" t="s">
        <v>2049</v>
      </c>
      <c r="T465" t="s">
        <v>2184</v>
      </c>
    </row>
    <row r="466" spans="1:20" x14ac:dyDescent="0.25">
      <c r="A466" s="98" t="s">
        <v>1635</v>
      </c>
      <c r="B466" s="98" t="s">
        <v>1636</v>
      </c>
      <c r="C466" s="98" t="s">
        <v>1136</v>
      </c>
      <c r="D466" s="98" t="s">
        <v>2034</v>
      </c>
      <c r="E466" s="101">
        <v>3346</v>
      </c>
      <c r="F466" s="101">
        <v>219512</v>
      </c>
      <c r="G466" s="98">
        <v>0</v>
      </c>
      <c r="H466" s="101">
        <v>45766</v>
      </c>
      <c r="I466" s="98" t="s">
        <v>2035</v>
      </c>
      <c r="J466" s="98">
        <v>3346</v>
      </c>
      <c r="K466" s="101" t="s">
        <v>2035</v>
      </c>
      <c r="L466" s="98">
        <v>3681</v>
      </c>
      <c r="M466" s="98">
        <v>-335</v>
      </c>
      <c r="N466" s="98">
        <v>-9.1</v>
      </c>
      <c r="O466" s="98" t="s">
        <v>2150</v>
      </c>
      <c r="P466" s="98" t="s">
        <v>2147</v>
      </c>
      <c r="Q466" s="98" t="s">
        <v>2050</v>
      </c>
      <c r="R466" s="98" t="s">
        <v>2206</v>
      </c>
      <c r="S466" t="s">
        <v>2058</v>
      </c>
      <c r="T466" t="s">
        <v>2184</v>
      </c>
    </row>
    <row r="467" spans="1:20" x14ac:dyDescent="0.25">
      <c r="A467" s="98" t="s">
        <v>1637</v>
      </c>
      <c r="B467" s="98" t="s">
        <v>1638</v>
      </c>
      <c r="C467" s="98" t="s">
        <v>1136</v>
      </c>
      <c r="D467" s="98" t="s">
        <v>2034</v>
      </c>
      <c r="E467" s="101">
        <v>4660</v>
      </c>
      <c r="F467" s="101">
        <v>219512</v>
      </c>
      <c r="G467" s="98">
        <v>0</v>
      </c>
      <c r="H467" s="101">
        <v>45766</v>
      </c>
      <c r="I467" s="98" t="s">
        <v>2035</v>
      </c>
      <c r="J467" s="98">
        <v>4660</v>
      </c>
      <c r="K467" s="101" t="s">
        <v>2035</v>
      </c>
      <c r="L467" s="98">
        <v>5126</v>
      </c>
      <c r="M467" s="98">
        <v>-466</v>
      </c>
      <c r="N467" s="98">
        <v>-9.09</v>
      </c>
      <c r="O467" s="98" t="s">
        <v>2150</v>
      </c>
      <c r="P467" s="98" t="s">
        <v>2147</v>
      </c>
      <c r="Q467" s="98" t="s">
        <v>2050</v>
      </c>
      <c r="R467" s="98" t="s">
        <v>2206</v>
      </c>
      <c r="S467" t="s">
        <v>2058</v>
      </c>
      <c r="T467" t="s">
        <v>2184</v>
      </c>
    </row>
    <row r="468" spans="1:20" x14ac:dyDescent="0.25">
      <c r="A468" s="98" t="s">
        <v>1639</v>
      </c>
      <c r="B468" s="98" t="s">
        <v>1640</v>
      </c>
      <c r="C468" s="98" t="s">
        <v>1136</v>
      </c>
      <c r="D468" s="98" t="s">
        <v>2034</v>
      </c>
      <c r="E468" s="101">
        <v>6574</v>
      </c>
      <c r="F468" s="101">
        <v>219512</v>
      </c>
      <c r="G468" s="98">
        <v>0</v>
      </c>
      <c r="H468" s="101">
        <v>45766</v>
      </c>
      <c r="I468" s="98" t="s">
        <v>2035</v>
      </c>
      <c r="J468" s="98">
        <v>6574</v>
      </c>
      <c r="K468" s="101" t="s">
        <v>2035</v>
      </c>
      <c r="L468" s="98">
        <v>7231</v>
      </c>
      <c r="M468" s="98">
        <v>-657</v>
      </c>
      <c r="N468" s="98">
        <v>-9.09</v>
      </c>
      <c r="O468" s="98" t="s">
        <v>2150</v>
      </c>
      <c r="P468" s="98" t="s">
        <v>2147</v>
      </c>
      <c r="Q468" s="98" t="s">
        <v>2050</v>
      </c>
      <c r="R468" s="98" t="s">
        <v>2206</v>
      </c>
      <c r="S468" t="s">
        <v>2058</v>
      </c>
      <c r="T468" t="s">
        <v>2184</v>
      </c>
    </row>
    <row r="469" spans="1:20" x14ac:dyDescent="0.25">
      <c r="A469" s="98" t="s">
        <v>1641</v>
      </c>
      <c r="B469" s="98" t="s">
        <v>1642</v>
      </c>
      <c r="C469" s="98" t="s">
        <v>1136</v>
      </c>
      <c r="D469" s="98" t="s">
        <v>2034</v>
      </c>
      <c r="E469" s="101">
        <v>11920</v>
      </c>
      <c r="F469" s="101">
        <v>219512</v>
      </c>
      <c r="G469" s="98">
        <v>0</v>
      </c>
      <c r="H469" s="101">
        <v>45766</v>
      </c>
      <c r="I469" s="98" t="s">
        <v>2035</v>
      </c>
      <c r="J469" s="98">
        <v>11920</v>
      </c>
      <c r="K469" s="101" t="s">
        <v>2035</v>
      </c>
      <c r="L469" s="98">
        <v>13112</v>
      </c>
      <c r="M469" s="98">
        <v>-1192</v>
      </c>
      <c r="N469" s="98">
        <v>-9.09</v>
      </c>
      <c r="O469" s="98" t="s">
        <v>2150</v>
      </c>
      <c r="P469" s="98" t="s">
        <v>2147</v>
      </c>
      <c r="Q469" s="98" t="s">
        <v>2050</v>
      </c>
      <c r="R469" s="98" t="s">
        <v>2206</v>
      </c>
      <c r="S469" t="s">
        <v>2058</v>
      </c>
      <c r="T469" t="s">
        <v>2184</v>
      </c>
    </row>
    <row r="470" spans="1:20" x14ac:dyDescent="0.25">
      <c r="A470" s="98" t="s">
        <v>1643</v>
      </c>
      <c r="B470" s="98" t="s">
        <v>1644</v>
      </c>
      <c r="C470" s="98" t="s">
        <v>1136</v>
      </c>
      <c r="D470" s="98" t="s">
        <v>2034</v>
      </c>
      <c r="E470" s="101">
        <v>12037</v>
      </c>
      <c r="F470" s="101">
        <v>219512</v>
      </c>
      <c r="G470" s="98">
        <v>0</v>
      </c>
      <c r="H470" s="101">
        <v>45897</v>
      </c>
      <c r="I470" s="98" t="s">
        <v>2035</v>
      </c>
      <c r="J470" s="98">
        <v>12037</v>
      </c>
      <c r="K470" s="101" t="s">
        <v>2035</v>
      </c>
      <c r="L470" s="98">
        <v>11464</v>
      </c>
      <c r="M470" s="98">
        <v>573</v>
      </c>
      <c r="N470" s="98">
        <v>5</v>
      </c>
      <c r="O470" s="98" t="s">
        <v>2150</v>
      </c>
      <c r="P470" s="98" t="s">
        <v>2147</v>
      </c>
      <c r="Q470" s="98" t="s">
        <v>2050</v>
      </c>
      <c r="R470" s="98" t="s">
        <v>2206</v>
      </c>
      <c r="S470" t="s">
        <v>2058</v>
      </c>
      <c r="T470" t="s">
        <v>2184</v>
      </c>
    </row>
    <row r="471" spans="1:20" x14ac:dyDescent="0.25">
      <c r="A471" s="98" t="s">
        <v>1645</v>
      </c>
      <c r="B471" s="98" t="s">
        <v>1646</v>
      </c>
      <c r="C471" s="98" t="s">
        <v>1136</v>
      </c>
      <c r="D471" s="98" t="s">
        <v>2034</v>
      </c>
      <c r="E471" s="101">
        <v>14471</v>
      </c>
      <c r="F471" s="101">
        <v>219512</v>
      </c>
      <c r="G471" s="98">
        <v>0</v>
      </c>
      <c r="H471" s="101">
        <v>45897</v>
      </c>
      <c r="I471" s="98" t="s">
        <v>2035</v>
      </c>
      <c r="J471" s="98">
        <v>14471</v>
      </c>
      <c r="K471" s="101" t="s">
        <v>2035</v>
      </c>
      <c r="L471" s="98">
        <v>24118</v>
      </c>
      <c r="M471" s="98">
        <v>-9647</v>
      </c>
      <c r="N471" s="98">
        <v>-40</v>
      </c>
      <c r="O471" s="98" t="s">
        <v>2150</v>
      </c>
      <c r="P471" s="98" t="s">
        <v>2147</v>
      </c>
      <c r="Q471" s="98" t="s">
        <v>2050</v>
      </c>
      <c r="R471" s="98" t="s">
        <v>2206</v>
      </c>
      <c r="S471" t="s">
        <v>2058</v>
      </c>
      <c r="T471" t="s">
        <v>2184</v>
      </c>
    </row>
    <row r="472" spans="1:20" x14ac:dyDescent="0.25">
      <c r="A472" s="98" t="s">
        <v>1647</v>
      </c>
      <c r="B472" s="98" t="s">
        <v>1648</v>
      </c>
      <c r="C472" s="98" t="s">
        <v>1136</v>
      </c>
      <c r="D472" s="98" t="s">
        <v>2034</v>
      </c>
      <c r="E472" s="101">
        <v>7215</v>
      </c>
      <c r="F472" s="101">
        <v>219512</v>
      </c>
      <c r="G472" s="98">
        <v>0</v>
      </c>
      <c r="H472" s="101">
        <v>45766</v>
      </c>
      <c r="I472" s="98" t="s">
        <v>2035</v>
      </c>
      <c r="J472" s="98">
        <v>7215</v>
      </c>
      <c r="K472" s="101" t="s">
        <v>2035</v>
      </c>
      <c r="L472" s="98">
        <v>7937</v>
      </c>
      <c r="M472" s="98">
        <v>-722</v>
      </c>
      <c r="N472" s="98">
        <v>-9.1</v>
      </c>
      <c r="O472" s="98" t="s">
        <v>2150</v>
      </c>
      <c r="P472" s="98" t="s">
        <v>2147</v>
      </c>
      <c r="Q472" s="98" t="s">
        <v>2050</v>
      </c>
      <c r="R472" s="98" t="s">
        <v>2206</v>
      </c>
      <c r="S472" t="s">
        <v>2058</v>
      </c>
      <c r="T472" t="s">
        <v>2184</v>
      </c>
    </row>
    <row r="473" spans="1:20" x14ac:dyDescent="0.25">
      <c r="A473" s="98" t="s">
        <v>1649</v>
      </c>
      <c r="B473" s="98" t="s">
        <v>1650</v>
      </c>
      <c r="C473" s="98" t="s">
        <v>1136</v>
      </c>
      <c r="D473" s="98" t="s">
        <v>2034</v>
      </c>
      <c r="E473" s="101">
        <v>10210</v>
      </c>
      <c r="F473" s="101">
        <v>219512</v>
      </c>
      <c r="G473" s="98">
        <v>0</v>
      </c>
      <c r="H473" s="101">
        <v>45766</v>
      </c>
      <c r="I473" s="98" t="s">
        <v>2035</v>
      </c>
      <c r="J473" s="98">
        <v>10210</v>
      </c>
      <c r="K473" s="101" t="s">
        <v>2035</v>
      </c>
      <c r="L473" s="98">
        <v>11231</v>
      </c>
      <c r="M473" s="98">
        <v>-1021</v>
      </c>
      <c r="N473" s="98">
        <v>-9.09</v>
      </c>
      <c r="O473" s="98" t="s">
        <v>2150</v>
      </c>
      <c r="P473" s="98" t="s">
        <v>2147</v>
      </c>
      <c r="Q473" s="98" t="s">
        <v>2050</v>
      </c>
      <c r="R473" s="98" t="s">
        <v>2206</v>
      </c>
      <c r="S473" t="s">
        <v>2058</v>
      </c>
      <c r="T473" t="s">
        <v>2184</v>
      </c>
    </row>
    <row r="474" spans="1:20" x14ac:dyDescent="0.25">
      <c r="A474" s="98" t="s">
        <v>1651</v>
      </c>
      <c r="B474" s="98" t="s">
        <v>1652</v>
      </c>
      <c r="C474" s="98" t="s">
        <v>1136</v>
      </c>
      <c r="D474" s="98" t="s">
        <v>2034</v>
      </c>
      <c r="E474" s="101">
        <v>16423</v>
      </c>
      <c r="F474" s="101">
        <v>219512</v>
      </c>
      <c r="G474" s="98">
        <v>0</v>
      </c>
      <c r="H474" s="101">
        <v>45766</v>
      </c>
      <c r="I474" s="98" t="s">
        <v>2035</v>
      </c>
      <c r="J474" s="98">
        <v>16423</v>
      </c>
      <c r="K474" s="101" t="s">
        <v>2035</v>
      </c>
      <c r="L474" s="98">
        <v>18065</v>
      </c>
      <c r="M474" s="98">
        <v>-1642</v>
      </c>
      <c r="N474" s="98">
        <v>-9.09</v>
      </c>
      <c r="O474" s="98" t="s">
        <v>2150</v>
      </c>
      <c r="P474" s="98" t="s">
        <v>2147</v>
      </c>
      <c r="Q474" s="98" t="s">
        <v>2050</v>
      </c>
      <c r="R474" s="98" t="s">
        <v>2206</v>
      </c>
      <c r="S474" t="s">
        <v>2058</v>
      </c>
      <c r="T474" t="s">
        <v>2184</v>
      </c>
    </row>
    <row r="475" spans="1:20" x14ac:dyDescent="0.25">
      <c r="A475" s="98" t="s">
        <v>1653</v>
      </c>
      <c r="B475" s="98" t="s">
        <v>1654</v>
      </c>
      <c r="C475" s="98" t="s">
        <v>1136</v>
      </c>
      <c r="D475" s="98" t="s">
        <v>2034</v>
      </c>
      <c r="E475" s="101">
        <v>21428</v>
      </c>
      <c r="F475" s="101">
        <v>219512</v>
      </c>
      <c r="G475" s="98">
        <v>0</v>
      </c>
      <c r="H475" s="101">
        <v>45766</v>
      </c>
      <c r="I475" s="98" t="s">
        <v>2035</v>
      </c>
      <c r="J475" s="98">
        <v>21428</v>
      </c>
      <c r="K475" s="101" t="s">
        <v>2035</v>
      </c>
      <c r="L475" s="98">
        <v>23571</v>
      </c>
      <c r="M475" s="98">
        <v>-2143</v>
      </c>
      <c r="N475" s="98">
        <v>-9.09</v>
      </c>
      <c r="O475" s="98" t="s">
        <v>2150</v>
      </c>
      <c r="P475" s="98" t="s">
        <v>2147</v>
      </c>
      <c r="Q475" s="98" t="s">
        <v>2050</v>
      </c>
      <c r="R475" s="98" t="s">
        <v>2206</v>
      </c>
      <c r="S475" t="s">
        <v>2058</v>
      </c>
      <c r="T475" t="s">
        <v>2184</v>
      </c>
    </row>
    <row r="476" spans="1:20" x14ac:dyDescent="0.25">
      <c r="A476" s="98" t="s">
        <v>1655</v>
      </c>
      <c r="B476" s="98" t="s">
        <v>1656</v>
      </c>
      <c r="C476" s="98" t="s">
        <v>1179</v>
      </c>
      <c r="D476" s="98" t="s">
        <v>2034</v>
      </c>
      <c r="E476" s="101">
        <v>75965</v>
      </c>
      <c r="F476" s="101">
        <v>219512</v>
      </c>
      <c r="G476" s="98">
        <v>0</v>
      </c>
      <c r="H476" s="101">
        <v>45766</v>
      </c>
      <c r="I476" s="98" t="s">
        <v>2035</v>
      </c>
      <c r="J476" s="98">
        <v>75965</v>
      </c>
      <c r="K476" s="101" t="s">
        <v>2035</v>
      </c>
      <c r="L476" s="98">
        <v>83562</v>
      </c>
      <c r="M476" s="98">
        <v>-7597</v>
      </c>
      <c r="N476" s="98">
        <v>-9.09</v>
      </c>
      <c r="O476" s="98" t="s">
        <v>2150</v>
      </c>
      <c r="P476" s="98" t="s">
        <v>2183</v>
      </c>
      <c r="Q476" s="98" t="s">
        <v>2050</v>
      </c>
      <c r="R476" s="98" t="s">
        <v>2195</v>
      </c>
      <c r="S476" t="s">
        <v>2049</v>
      </c>
      <c r="T476" t="s">
        <v>2184</v>
      </c>
    </row>
    <row r="477" spans="1:20" x14ac:dyDescent="0.25">
      <c r="A477" s="98" t="s">
        <v>1657</v>
      </c>
      <c r="B477" s="98" t="s">
        <v>1658</v>
      </c>
      <c r="C477" s="98" t="s">
        <v>1179</v>
      </c>
      <c r="D477" s="98" t="s">
        <v>2034</v>
      </c>
      <c r="E477" s="101">
        <v>37434</v>
      </c>
      <c r="F477" s="101">
        <v>219512</v>
      </c>
      <c r="G477" s="98">
        <v>0</v>
      </c>
      <c r="H477" s="101">
        <v>45766</v>
      </c>
      <c r="I477" s="98" t="s">
        <v>2035</v>
      </c>
      <c r="J477" s="98">
        <v>37434</v>
      </c>
      <c r="K477" s="101" t="s">
        <v>2035</v>
      </c>
      <c r="L477" s="98">
        <v>41177</v>
      </c>
      <c r="M477" s="98">
        <v>-3743</v>
      </c>
      <c r="N477" s="98">
        <v>-9.09</v>
      </c>
      <c r="O477" s="98" t="s">
        <v>2150</v>
      </c>
      <c r="P477" s="98" t="s">
        <v>2208</v>
      </c>
      <c r="Q477" s="98" t="s">
        <v>2050</v>
      </c>
      <c r="R477" s="98" t="s">
        <v>2195</v>
      </c>
      <c r="S477" t="s">
        <v>2058</v>
      </c>
      <c r="T477" t="s">
        <v>2184</v>
      </c>
    </row>
    <row r="478" spans="1:20" x14ac:dyDescent="0.25">
      <c r="A478" s="98" t="s">
        <v>1659</v>
      </c>
      <c r="B478" s="98" t="s">
        <v>1660</v>
      </c>
      <c r="C478" s="98" t="s">
        <v>1179</v>
      </c>
      <c r="D478" s="98" t="s">
        <v>2034</v>
      </c>
      <c r="E478" s="101">
        <v>54024</v>
      </c>
      <c r="F478" s="101">
        <v>219512</v>
      </c>
      <c r="G478" s="98">
        <v>0</v>
      </c>
      <c r="H478" s="101">
        <v>45897</v>
      </c>
      <c r="I478" s="98" t="s">
        <v>2035</v>
      </c>
      <c r="J478" s="98">
        <v>54024</v>
      </c>
      <c r="K478" s="101" t="s">
        <v>2035</v>
      </c>
      <c r="L478" s="98">
        <v>46977</v>
      </c>
      <c r="M478" s="98">
        <v>7047</v>
      </c>
      <c r="N478" s="98">
        <v>15</v>
      </c>
      <c r="O478" s="98" t="s">
        <v>2150</v>
      </c>
      <c r="P478" s="98" t="s">
        <v>2147</v>
      </c>
      <c r="Q478" s="98" t="s">
        <v>2050</v>
      </c>
      <c r="R478" s="98" t="s">
        <v>2206</v>
      </c>
      <c r="S478" t="s">
        <v>2058</v>
      </c>
      <c r="T478" t="s">
        <v>2184</v>
      </c>
    </row>
    <row r="479" spans="1:20" x14ac:dyDescent="0.25">
      <c r="A479" s="98" t="s">
        <v>113</v>
      </c>
      <c r="B479" s="98" t="s">
        <v>1661</v>
      </c>
      <c r="C479" s="98" t="s">
        <v>1179</v>
      </c>
      <c r="D479" s="98" t="s">
        <v>2034</v>
      </c>
      <c r="E479" s="101">
        <v>68711</v>
      </c>
      <c r="F479" s="101">
        <v>219512</v>
      </c>
      <c r="G479" s="98">
        <v>0</v>
      </c>
      <c r="H479" s="101">
        <v>45897</v>
      </c>
      <c r="I479" s="98" t="s">
        <v>2035</v>
      </c>
      <c r="J479" s="98">
        <v>68711</v>
      </c>
      <c r="K479" s="101" t="s">
        <v>2035</v>
      </c>
      <c r="L479" s="98">
        <v>65439</v>
      </c>
      <c r="M479" s="98">
        <v>3272</v>
      </c>
      <c r="N479" s="98">
        <v>5</v>
      </c>
      <c r="O479" s="98" t="s">
        <v>2150</v>
      </c>
      <c r="P479" s="98" t="s">
        <v>2147</v>
      </c>
      <c r="Q479" s="98" t="s">
        <v>2050</v>
      </c>
      <c r="R479" s="98" t="s">
        <v>2206</v>
      </c>
      <c r="S479" t="s">
        <v>2209</v>
      </c>
      <c r="T479" t="s">
        <v>2184</v>
      </c>
    </row>
    <row r="480" spans="1:20" x14ac:dyDescent="0.25">
      <c r="A480" s="98" t="s">
        <v>114</v>
      </c>
      <c r="B480" s="98" t="s">
        <v>1662</v>
      </c>
      <c r="C480" s="98" t="s">
        <v>1179</v>
      </c>
      <c r="D480" s="98" t="s">
        <v>2034</v>
      </c>
      <c r="E480" s="101">
        <v>61136</v>
      </c>
      <c r="F480" s="101">
        <v>219512</v>
      </c>
      <c r="G480" s="98">
        <v>0</v>
      </c>
      <c r="H480" s="101">
        <v>45897</v>
      </c>
      <c r="I480" s="98" t="s">
        <v>2035</v>
      </c>
      <c r="J480" s="98">
        <v>61136</v>
      </c>
      <c r="K480" s="101" t="s">
        <v>2035</v>
      </c>
      <c r="L480" s="98">
        <v>58225</v>
      </c>
      <c r="M480" s="98">
        <v>2911</v>
      </c>
      <c r="N480" s="98">
        <v>5</v>
      </c>
      <c r="O480" s="98" t="s">
        <v>2150</v>
      </c>
      <c r="P480" s="98" t="s">
        <v>2147</v>
      </c>
      <c r="Q480" s="98" t="s">
        <v>2050</v>
      </c>
      <c r="R480" s="98" t="s">
        <v>2206</v>
      </c>
      <c r="S480" t="s">
        <v>2210</v>
      </c>
      <c r="T480" t="s">
        <v>2184</v>
      </c>
    </row>
    <row r="481" spans="1:20" x14ac:dyDescent="0.25">
      <c r="A481" s="98" t="s">
        <v>115</v>
      </c>
      <c r="B481" s="98" t="s">
        <v>1663</v>
      </c>
      <c r="C481" s="98" t="s">
        <v>1179</v>
      </c>
      <c r="D481" s="98" t="s">
        <v>2034</v>
      </c>
      <c r="E481" s="101">
        <v>56471</v>
      </c>
      <c r="F481" s="101">
        <v>219512</v>
      </c>
      <c r="G481" s="98">
        <v>0</v>
      </c>
      <c r="H481" s="101">
        <v>45897</v>
      </c>
      <c r="I481" s="98" t="s">
        <v>2035</v>
      </c>
      <c r="J481" s="98">
        <v>56471</v>
      </c>
      <c r="K481" s="101" t="s">
        <v>2035</v>
      </c>
      <c r="L481" s="98">
        <v>53782</v>
      </c>
      <c r="M481" s="98">
        <v>2689</v>
      </c>
      <c r="N481" s="98">
        <v>5</v>
      </c>
      <c r="O481" s="98" t="s">
        <v>2150</v>
      </c>
      <c r="P481" s="98" t="s">
        <v>2147</v>
      </c>
      <c r="Q481" s="98" t="s">
        <v>2050</v>
      </c>
      <c r="R481" s="98" t="s">
        <v>2206</v>
      </c>
      <c r="S481" t="s">
        <v>2210</v>
      </c>
      <c r="T481" t="s">
        <v>2184</v>
      </c>
    </row>
    <row r="482" spans="1:20" x14ac:dyDescent="0.25">
      <c r="A482" s="98" t="s">
        <v>116</v>
      </c>
      <c r="B482" s="98" t="s">
        <v>1664</v>
      </c>
      <c r="C482" s="98" t="s">
        <v>1179</v>
      </c>
      <c r="D482" s="98" t="s">
        <v>2034</v>
      </c>
      <c r="E482" s="101">
        <v>67629</v>
      </c>
      <c r="F482" s="101">
        <v>219512</v>
      </c>
      <c r="G482" s="98">
        <v>0</v>
      </c>
      <c r="H482" s="101">
        <v>45897</v>
      </c>
      <c r="I482" s="98" t="s">
        <v>2035</v>
      </c>
      <c r="J482" s="98">
        <v>67629</v>
      </c>
      <c r="K482" s="101" t="s">
        <v>2035</v>
      </c>
      <c r="L482" s="98">
        <v>64409</v>
      </c>
      <c r="M482" s="98">
        <v>3220</v>
      </c>
      <c r="N482" s="98">
        <v>5</v>
      </c>
      <c r="O482" s="98" t="s">
        <v>2150</v>
      </c>
      <c r="P482" s="98" t="s">
        <v>2147</v>
      </c>
      <c r="Q482" s="98" t="s">
        <v>2050</v>
      </c>
      <c r="R482" s="98" t="s">
        <v>2206</v>
      </c>
      <c r="S482" t="s">
        <v>2159</v>
      </c>
      <c r="T482" t="s">
        <v>2184</v>
      </c>
    </row>
    <row r="483" spans="1:20" x14ac:dyDescent="0.25">
      <c r="A483" s="98" t="s">
        <v>117</v>
      </c>
      <c r="B483" s="98" t="s">
        <v>1665</v>
      </c>
      <c r="C483" s="98" t="s">
        <v>1179</v>
      </c>
      <c r="D483" s="98" t="s">
        <v>2034</v>
      </c>
      <c r="E483" s="101">
        <v>71568</v>
      </c>
      <c r="F483" s="101">
        <v>219512</v>
      </c>
      <c r="G483" s="98">
        <v>0</v>
      </c>
      <c r="H483" s="101">
        <v>45897</v>
      </c>
      <c r="I483" s="98" t="s">
        <v>2035</v>
      </c>
      <c r="J483" s="98">
        <v>71568</v>
      </c>
      <c r="K483" s="101" t="s">
        <v>2035</v>
      </c>
      <c r="L483" s="98">
        <v>68160</v>
      </c>
      <c r="M483" s="98">
        <v>3408</v>
      </c>
      <c r="N483" s="98">
        <v>5</v>
      </c>
      <c r="O483" s="98" t="s">
        <v>2150</v>
      </c>
      <c r="P483" s="98" t="s">
        <v>2147</v>
      </c>
      <c r="Q483" s="98" t="s">
        <v>2050</v>
      </c>
      <c r="R483" s="98" t="s">
        <v>2206</v>
      </c>
      <c r="S483" t="s">
        <v>2159</v>
      </c>
      <c r="T483" t="s">
        <v>2184</v>
      </c>
    </row>
    <row r="484" spans="1:20" x14ac:dyDescent="0.25">
      <c r="A484" s="98" t="s">
        <v>118</v>
      </c>
      <c r="B484" s="98" t="s">
        <v>1666</v>
      </c>
      <c r="C484" s="98" t="s">
        <v>1179</v>
      </c>
      <c r="D484" s="98" t="s">
        <v>2034</v>
      </c>
      <c r="E484" s="101">
        <v>55586</v>
      </c>
      <c r="F484" s="101">
        <v>219512</v>
      </c>
      <c r="G484" s="98">
        <v>0</v>
      </c>
      <c r="H484" s="101">
        <v>45897</v>
      </c>
      <c r="I484" s="98" t="s">
        <v>2035</v>
      </c>
      <c r="J484" s="98">
        <v>55586</v>
      </c>
      <c r="K484" s="101" t="s">
        <v>2035</v>
      </c>
      <c r="L484" s="98">
        <v>52939</v>
      </c>
      <c r="M484" s="98">
        <v>2647</v>
      </c>
      <c r="N484" s="98">
        <v>5</v>
      </c>
      <c r="O484" s="98" t="s">
        <v>2150</v>
      </c>
      <c r="P484" s="98" t="s">
        <v>2147</v>
      </c>
      <c r="Q484" s="98" t="s">
        <v>2050</v>
      </c>
      <c r="R484" s="98" t="s">
        <v>2206</v>
      </c>
      <c r="S484" t="s">
        <v>2211</v>
      </c>
      <c r="T484" t="s">
        <v>2184</v>
      </c>
    </row>
    <row r="485" spans="1:20" x14ac:dyDescent="0.25">
      <c r="A485" s="98" t="s">
        <v>119</v>
      </c>
      <c r="B485" s="98" t="s">
        <v>1667</v>
      </c>
      <c r="C485" s="98" t="s">
        <v>1179</v>
      </c>
      <c r="D485" s="98" t="s">
        <v>2034</v>
      </c>
      <c r="E485" s="101">
        <v>58645</v>
      </c>
      <c r="F485" s="101">
        <v>219512</v>
      </c>
      <c r="G485" s="98">
        <v>0</v>
      </c>
      <c r="H485" s="101">
        <v>45897</v>
      </c>
      <c r="I485" s="98" t="s">
        <v>2035</v>
      </c>
      <c r="J485" s="98">
        <v>58645</v>
      </c>
      <c r="K485" s="101" t="s">
        <v>2035</v>
      </c>
      <c r="L485" s="98">
        <v>55852</v>
      </c>
      <c r="M485" s="98">
        <v>2793</v>
      </c>
      <c r="N485" s="98">
        <v>5</v>
      </c>
      <c r="O485" s="98" t="s">
        <v>2150</v>
      </c>
      <c r="P485" s="98" t="s">
        <v>2147</v>
      </c>
      <c r="Q485" s="98" t="s">
        <v>2050</v>
      </c>
      <c r="R485" s="98" t="s">
        <v>2206</v>
      </c>
      <c r="S485" t="s">
        <v>2211</v>
      </c>
      <c r="T485" t="s">
        <v>2184</v>
      </c>
    </row>
    <row r="486" spans="1:20" x14ac:dyDescent="0.25">
      <c r="A486" s="98" t="s">
        <v>120</v>
      </c>
      <c r="B486" s="98" t="s">
        <v>1668</v>
      </c>
      <c r="C486" s="98" t="s">
        <v>1179</v>
      </c>
      <c r="D486" s="98" t="s">
        <v>2034</v>
      </c>
      <c r="E486" s="101">
        <v>62253</v>
      </c>
      <c r="F486" s="101">
        <v>219512</v>
      </c>
      <c r="G486" s="98">
        <v>0</v>
      </c>
      <c r="H486" s="101">
        <v>45897</v>
      </c>
      <c r="I486" s="98" t="s">
        <v>2035</v>
      </c>
      <c r="J486" s="98">
        <v>62253</v>
      </c>
      <c r="K486" s="101" t="s">
        <v>2035</v>
      </c>
      <c r="L486" s="98">
        <v>59289</v>
      </c>
      <c r="M486" s="98">
        <v>2964</v>
      </c>
      <c r="N486" s="98">
        <v>5</v>
      </c>
      <c r="O486" s="98" t="s">
        <v>2150</v>
      </c>
      <c r="P486" s="98" t="s">
        <v>2147</v>
      </c>
      <c r="Q486" s="98" t="s">
        <v>2050</v>
      </c>
      <c r="R486" s="98" t="s">
        <v>2206</v>
      </c>
      <c r="S486" t="s">
        <v>2211</v>
      </c>
      <c r="T486" t="s">
        <v>2184</v>
      </c>
    </row>
    <row r="487" spans="1:20" x14ac:dyDescent="0.25">
      <c r="A487" s="98" t="s">
        <v>121</v>
      </c>
      <c r="B487" s="98" t="s">
        <v>1669</v>
      </c>
      <c r="C487" s="98" t="s">
        <v>1179</v>
      </c>
      <c r="D487" s="98" t="s">
        <v>2034</v>
      </c>
      <c r="E487" s="101">
        <v>57994</v>
      </c>
      <c r="F487" s="101">
        <v>219512</v>
      </c>
      <c r="G487" s="98">
        <v>0</v>
      </c>
      <c r="H487" s="101">
        <v>45897</v>
      </c>
      <c r="I487" s="98" t="s">
        <v>2035</v>
      </c>
      <c r="J487" s="98">
        <v>57994</v>
      </c>
      <c r="K487" s="101" t="s">
        <v>2035</v>
      </c>
      <c r="L487" s="98">
        <v>55232</v>
      </c>
      <c r="M487" s="98">
        <v>2762</v>
      </c>
      <c r="N487" s="98">
        <v>5</v>
      </c>
      <c r="O487" s="98" t="s">
        <v>2150</v>
      </c>
      <c r="P487" s="98" t="s">
        <v>2147</v>
      </c>
      <c r="Q487" s="98" t="s">
        <v>2050</v>
      </c>
      <c r="R487" s="98" t="s">
        <v>2206</v>
      </c>
      <c r="S487" t="s">
        <v>2212</v>
      </c>
      <c r="T487" t="s">
        <v>2184</v>
      </c>
    </row>
    <row r="488" spans="1:20" x14ac:dyDescent="0.25">
      <c r="A488" s="98" t="s">
        <v>122</v>
      </c>
      <c r="B488" s="98" t="s">
        <v>1670</v>
      </c>
      <c r="C488" s="98" t="s">
        <v>1179</v>
      </c>
      <c r="D488" s="98" t="s">
        <v>2034</v>
      </c>
      <c r="E488" s="101">
        <v>59391</v>
      </c>
      <c r="F488" s="101">
        <v>219512</v>
      </c>
      <c r="G488" s="98">
        <v>0</v>
      </c>
      <c r="H488" s="101">
        <v>45897</v>
      </c>
      <c r="I488" s="98" t="s">
        <v>2035</v>
      </c>
      <c r="J488" s="98">
        <v>59391</v>
      </c>
      <c r="K488" s="101" t="s">
        <v>2035</v>
      </c>
      <c r="L488" s="98">
        <v>56563</v>
      </c>
      <c r="M488" s="98">
        <v>2828</v>
      </c>
      <c r="N488" s="98">
        <v>5</v>
      </c>
      <c r="O488" s="98" t="s">
        <v>2150</v>
      </c>
      <c r="P488" s="98" t="s">
        <v>2147</v>
      </c>
      <c r="Q488" s="98" t="s">
        <v>2050</v>
      </c>
      <c r="R488" s="98" t="s">
        <v>2206</v>
      </c>
      <c r="S488" t="s">
        <v>2212</v>
      </c>
      <c r="T488" t="s">
        <v>2184</v>
      </c>
    </row>
    <row r="489" spans="1:20" x14ac:dyDescent="0.25">
      <c r="A489" s="98" t="s">
        <v>123</v>
      </c>
      <c r="B489" s="98" t="s">
        <v>1671</v>
      </c>
      <c r="C489" s="98" t="s">
        <v>1179</v>
      </c>
      <c r="D489" s="98" t="s">
        <v>2034</v>
      </c>
      <c r="E489" s="101">
        <v>61199</v>
      </c>
      <c r="F489" s="101">
        <v>219512</v>
      </c>
      <c r="G489" s="98">
        <v>0</v>
      </c>
      <c r="H489" s="101">
        <v>45897</v>
      </c>
      <c r="I489" s="98" t="s">
        <v>2035</v>
      </c>
      <c r="J489" s="98">
        <v>61199</v>
      </c>
      <c r="K489" s="101" t="s">
        <v>2035</v>
      </c>
      <c r="L489" s="98">
        <v>58285</v>
      </c>
      <c r="M489" s="98">
        <v>2914</v>
      </c>
      <c r="N489" s="98">
        <v>5</v>
      </c>
      <c r="O489" s="98" t="s">
        <v>2150</v>
      </c>
      <c r="P489" s="98" t="s">
        <v>2147</v>
      </c>
      <c r="Q489" s="98" t="s">
        <v>2050</v>
      </c>
      <c r="R489" s="98" t="s">
        <v>2206</v>
      </c>
      <c r="S489" t="s">
        <v>2212</v>
      </c>
      <c r="T489" t="s">
        <v>2184</v>
      </c>
    </row>
    <row r="490" spans="1:20" x14ac:dyDescent="0.25">
      <c r="A490" s="98" t="s">
        <v>1672</v>
      </c>
      <c r="B490" s="98" t="s">
        <v>1673</v>
      </c>
      <c r="C490" s="98" t="s">
        <v>1179</v>
      </c>
      <c r="D490" s="98" t="s">
        <v>2034</v>
      </c>
      <c r="E490" s="101">
        <v>6821</v>
      </c>
      <c r="F490" s="101">
        <v>219512</v>
      </c>
      <c r="G490" s="98">
        <v>0</v>
      </c>
      <c r="H490" s="101">
        <v>45766</v>
      </c>
      <c r="I490" s="98" t="s">
        <v>2035</v>
      </c>
      <c r="J490" s="98">
        <v>6821</v>
      </c>
      <c r="K490" s="101" t="s">
        <v>2035</v>
      </c>
      <c r="L490" s="98">
        <v>7503</v>
      </c>
      <c r="M490" s="98">
        <v>-682</v>
      </c>
      <c r="N490" s="98">
        <v>-9.09</v>
      </c>
      <c r="O490" s="98" t="s">
        <v>2150</v>
      </c>
      <c r="P490" s="98" t="s">
        <v>2147</v>
      </c>
      <c r="Q490" s="98" t="s">
        <v>2050</v>
      </c>
      <c r="R490" s="98" t="s">
        <v>2206</v>
      </c>
      <c r="S490" t="s">
        <v>2058</v>
      </c>
      <c r="T490" t="s">
        <v>2184</v>
      </c>
    </row>
    <row r="491" spans="1:20" x14ac:dyDescent="0.25">
      <c r="A491" s="98" t="s">
        <v>1674</v>
      </c>
      <c r="B491" s="98" t="s">
        <v>1675</v>
      </c>
      <c r="C491" s="98" t="s">
        <v>1179</v>
      </c>
      <c r="D491" s="98" t="s">
        <v>2034</v>
      </c>
      <c r="E491" s="101">
        <v>11392</v>
      </c>
      <c r="F491" s="101">
        <v>219512</v>
      </c>
      <c r="G491" s="98">
        <v>0</v>
      </c>
      <c r="H491" s="101">
        <v>45766</v>
      </c>
      <c r="I491" s="98" t="s">
        <v>2035</v>
      </c>
      <c r="J491" s="98">
        <v>11392</v>
      </c>
      <c r="K491" s="101" t="s">
        <v>2035</v>
      </c>
      <c r="L491" s="98">
        <v>12531</v>
      </c>
      <c r="M491" s="98">
        <v>-1139</v>
      </c>
      <c r="N491" s="98">
        <v>-9.09</v>
      </c>
      <c r="O491" s="98" t="s">
        <v>2150</v>
      </c>
      <c r="P491" s="98" t="s">
        <v>2147</v>
      </c>
      <c r="Q491" s="98" t="s">
        <v>2050</v>
      </c>
      <c r="R491" s="98" t="s">
        <v>2206</v>
      </c>
      <c r="S491" t="s">
        <v>2058</v>
      </c>
      <c r="T491" t="s">
        <v>2184</v>
      </c>
    </row>
    <row r="492" spans="1:20" x14ac:dyDescent="0.25">
      <c r="A492" s="98" t="s">
        <v>1676</v>
      </c>
      <c r="B492" s="98" t="s">
        <v>1677</v>
      </c>
      <c r="C492" s="98" t="s">
        <v>1179</v>
      </c>
      <c r="D492" s="98" t="s">
        <v>2034</v>
      </c>
      <c r="E492" s="101">
        <v>1</v>
      </c>
      <c r="F492" s="101">
        <v>219512</v>
      </c>
      <c r="G492" s="98">
        <v>0</v>
      </c>
      <c r="H492" s="101">
        <v>45432</v>
      </c>
      <c r="I492" s="98" t="s">
        <v>2035</v>
      </c>
      <c r="J492" s="98">
        <v>1</v>
      </c>
      <c r="K492" s="101" t="s">
        <v>2035</v>
      </c>
      <c r="L492" s="98">
        <v>20000</v>
      </c>
      <c r="M492" s="98">
        <v>-19999</v>
      </c>
      <c r="N492" s="98">
        <v>-100</v>
      </c>
      <c r="O492" s="98" t="s">
        <v>2150</v>
      </c>
      <c r="P492" s="98" t="s">
        <v>2183</v>
      </c>
      <c r="Q492" s="98" t="s">
        <v>2050</v>
      </c>
      <c r="R492" s="98" t="s">
        <v>2207</v>
      </c>
      <c r="S492" t="s">
        <v>2068</v>
      </c>
      <c r="T492" t="s">
        <v>2184</v>
      </c>
    </row>
    <row r="493" spans="1:20" x14ac:dyDescent="0.25">
      <c r="A493" s="98" t="s">
        <v>1678</v>
      </c>
      <c r="B493" s="98" t="s">
        <v>1679</v>
      </c>
      <c r="C493" s="98" t="s">
        <v>1179</v>
      </c>
      <c r="D493" s="98" t="s">
        <v>2034</v>
      </c>
      <c r="E493" s="101">
        <v>1</v>
      </c>
      <c r="F493" s="101">
        <v>219512</v>
      </c>
      <c r="G493" s="98">
        <v>0</v>
      </c>
      <c r="H493" s="101">
        <v>45432</v>
      </c>
      <c r="I493" s="98" t="s">
        <v>2035</v>
      </c>
      <c r="J493" s="98">
        <v>1</v>
      </c>
      <c r="K493" s="101" t="s">
        <v>2035</v>
      </c>
      <c r="L493" s="98">
        <v>20000</v>
      </c>
      <c r="M493" s="98">
        <v>-19999</v>
      </c>
      <c r="N493" s="98">
        <v>-100</v>
      </c>
      <c r="O493" s="98" t="s">
        <v>2150</v>
      </c>
      <c r="P493" s="98" t="s">
        <v>2183</v>
      </c>
      <c r="Q493" s="98" t="s">
        <v>2050</v>
      </c>
      <c r="R493" s="98" t="s">
        <v>2207</v>
      </c>
      <c r="S493" t="s">
        <v>2213</v>
      </c>
      <c r="T493" t="s">
        <v>2184</v>
      </c>
    </row>
    <row r="494" spans="1:20" x14ac:dyDescent="0.25">
      <c r="A494" s="98" t="s">
        <v>1680</v>
      </c>
      <c r="B494" s="98" t="s">
        <v>1681</v>
      </c>
      <c r="C494" s="98" t="s">
        <v>1179</v>
      </c>
      <c r="D494" s="98" t="s">
        <v>2034</v>
      </c>
      <c r="E494" s="101">
        <v>1</v>
      </c>
      <c r="F494" s="101">
        <v>219512</v>
      </c>
      <c r="G494" s="98">
        <v>0</v>
      </c>
      <c r="H494" s="101">
        <v>45432</v>
      </c>
      <c r="I494" s="98" t="s">
        <v>2035</v>
      </c>
      <c r="J494" s="98">
        <v>1</v>
      </c>
      <c r="K494" s="101" t="s">
        <v>2035</v>
      </c>
      <c r="L494" s="98">
        <v>20000</v>
      </c>
      <c r="M494" s="98">
        <v>-19999</v>
      </c>
      <c r="N494" s="98">
        <v>-100</v>
      </c>
      <c r="O494" s="98" t="s">
        <v>2150</v>
      </c>
      <c r="P494" s="98" t="s">
        <v>2183</v>
      </c>
      <c r="Q494" s="98" t="s">
        <v>2050</v>
      </c>
      <c r="R494" s="98" t="s">
        <v>2207</v>
      </c>
      <c r="S494" t="s">
        <v>2214</v>
      </c>
      <c r="T494" t="s">
        <v>2184</v>
      </c>
    </row>
    <row r="495" spans="1:20" x14ac:dyDescent="0.25">
      <c r="A495" s="98" t="s">
        <v>1682</v>
      </c>
      <c r="B495" s="98" t="s">
        <v>1683</v>
      </c>
      <c r="C495" s="98" t="s">
        <v>1179</v>
      </c>
      <c r="D495" s="98" t="s">
        <v>2034</v>
      </c>
      <c r="E495" s="101">
        <v>54522</v>
      </c>
      <c r="F495" s="101">
        <v>219512</v>
      </c>
      <c r="G495" s="98">
        <v>0</v>
      </c>
      <c r="H495" s="101">
        <v>45766</v>
      </c>
      <c r="I495" s="98" t="s">
        <v>2035</v>
      </c>
      <c r="J495" s="98">
        <v>54522</v>
      </c>
      <c r="K495" s="101" t="s">
        <v>2035</v>
      </c>
      <c r="L495" s="98">
        <v>59974</v>
      </c>
      <c r="M495" s="98">
        <v>-5452</v>
      </c>
      <c r="N495" s="98">
        <v>-9.09</v>
      </c>
      <c r="O495" s="98" t="s">
        <v>2150</v>
      </c>
      <c r="P495" s="98" t="s">
        <v>2147</v>
      </c>
      <c r="Q495" s="98" t="s">
        <v>2050</v>
      </c>
      <c r="R495" s="98" t="s">
        <v>2207</v>
      </c>
      <c r="S495" t="s">
        <v>2215</v>
      </c>
      <c r="T495" t="s">
        <v>2184</v>
      </c>
    </row>
    <row r="496" spans="1:20" x14ac:dyDescent="0.25">
      <c r="A496" s="98" t="s">
        <v>1684</v>
      </c>
      <c r="B496" s="98" t="s">
        <v>1685</v>
      </c>
      <c r="C496" s="98" t="s">
        <v>1179</v>
      </c>
      <c r="D496" s="98" t="s">
        <v>2034</v>
      </c>
      <c r="E496" s="101">
        <v>181343</v>
      </c>
      <c r="F496" s="101">
        <v>219512</v>
      </c>
      <c r="G496" s="98">
        <v>0</v>
      </c>
      <c r="H496" s="101">
        <v>45897</v>
      </c>
      <c r="I496" s="98" t="s">
        <v>2035</v>
      </c>
      <c r="J496" s="98">
        <v>181343</v>
      </c>
      <c r="K496" s="101" t="s">
        <v>2035</v>
      </c>
      <c r="L496" s="98">
        <v>164857</v>
      </c>
      <c r="M496" s="98">
        <v>16486</v>
      </c>
      <c r="N496" s="98">
        <v>10</v>
      </c>
      <c r="O496" s="98" t="s">
        <v>2150</v>
      </c>
      <c r="P496" s="98" t="s">
        <v>2208</v>
      </c>
      <c r="Q496" s="98" t="s">
        <v>2050</v>
      </c>
      <c r="R496" s="98" t="s">
        <v>2195</v>
      </c>
      <c r="S496" t="s">
        <v>2216</v>
      </c>
      <c r="T496" t="s">
        <v>2184</v>
      </c>
    </row>
    <row r="497" spans="1:20" x14ac:dyDescent="0.25">
      <c r="A497" s="98" t="s">
        <v>1686</v>
      </c>
      <c r="B497" s="98" t="s">
        <v>1687</v>
      </c>
      <c r="C497" s="98" t="s">
        <v>1179</v>
      </c>
      <c r="D497" s="98" t="s">
        <v>2034</v>
      </c>
      <c r="E497" s="101">
        <v>142551</v>
      </c>
      <c r="F497" s="101">
        <v>219512</v>
      </c>
      <c r="G497" s="98">
        <v>0</v>
      </c>
      <c r="H497" s="101">
        <v>45766</v>
      </c>
      <c r="I497" s="98" t="s">
        <v>2035</v>
      </c>
      <c r="J497" s="98">
        <v>142551</v>
      </c>
      <c r="K497" s="101" t="s">
        <v>2035</v>
      </c>
      <c r="L497" s="98">
        <v>156806</v>
      </c>
      <c r="M497" s="98">
        <v>-14255</v>
      </c>
      <c r="N497" s="98">
        <v>-9.09</v>
      </c>
      <c r="O497" s="98" t="s">
        <v>2150</v>
      </c>
      <c r="P497" s="98" t="s">
        <v>2208</v>
      </c>
      <c r="Q497" s="98" t="s">
        <v>2050</v>
      </c>
      <c r="R497" s="98" t="s">
        <v>2195</v>
      </c>
      <c r="S497" t="s">
        <v>2209</v>
      </c>
      <c r="T497" t="s">
        <v>2184</v>
      </c>
    </row>
    <row r="498" spans="1:20" x14ac:dyDescent="0.25">
      <c r="A498" s="98" t="s">
        <v>1688</v>
      </c>
      <c r="B498" s="98" t="s">
        <v>1689</v>
      </c>
      <c r="C498" s="98" t="s">
        <v>1179</v>
      </c>
      <c r="D498" s="98" t="s">
        <v>2034</v>
      </c>
      <c r="E498" s="101">
        <v>170809</v>
      </c>
      <c r="F498" s="101">
        <v>219512</v>
      </c>
      <c r="G498" s="98">
        <v>0</v>
      </c>
      <c r="H498" s="101">
        <v>45762</v>
      </c>
      <c r="I498" s="98" t="s">
        <v>2035</v>
      </c>
      <c r="J498" s="98">
        <v>170809</v>
      </c>
      <c r="K498" s="101" t="s">
        <v>2035</v>
      </c>
      <c r="L498" s="98">
        <v>155281</v>
      </c>
      <c r="M498" s="98">
        <v>15528</v>
      </c>
      <c r="N498" s="98">
        <v>10</v>
      </c>
      <c r="O498" s="98" t="s">
        <v>2150</v>
      </c>
      <c r="P498" s="98" t="s">
        <v>2183</v>
      </c>
      <c r="Q498" s="98" t="s">
        <v>2050</v>
      </c>
      <c r="R498" s="98" t="s">
        <v>2195</v>
      </c>
      <c r="S498" t="s">
        <v>2060</v>
      </c>
      <c r="T498" t="s">
        <v>2184</v>
      </c>
    </row>
    <row r="499" spans="1:20" x14ac:dyDescent="0.25">
      <c r="A499" s="98" t="s">
        <v>1690</v>
      </c>
      <c r="B499" s="98" t="s">
        <v>1691</v>
      </c>
      <c r="C499" s="98" t="s">
        <v>1179</v>
      </c>
      <c r="D499" s="98" t="s">
        <v>2034</v>
      </c>
      <c r="E499" s="101">
        <v>68087</v>
      </c>
      <c r="F499" s="101">
        <v>219512</v>
      </c>
      <c r="G499" s="98">
        <v>0</v>
      </c>
      <c r="H499" s="101">
        <v>45762</v>
      </c>
      <c r="I499" s="98" t="s">
        <v>2035</v>
      </c>
      <c r="J499" s="98">
        <v>68087</v>
      </c>
      <c r="K499" s="101" t="s">
        <v>2035</v>
      </c>
      <c r="L499" s="98">
        <v>61897</v>
      </c>
      <c r="M499" s="98">
        <v>6190</v>
      </c>
      <c r="N499" s="98">
        <v>10</v>
      </c>
      <c r="O499" s="98" t="s">
        <v>2150</v>
      </c>
      <c r="P499" s="98" t="s">
        <v>2183</v>
      </c>
      <c r="Q499" s="98" t="s">
        <v>2050</v>
      </c>
      <c r="R499" s="98" t="s">
        <v>2195</v>
      </c>
      <c r="S499" t="s">
        <v>2217</v>
      </c>
      <c r="T499" t="s">
        <v>2184</v>
      </c>
    </row>
    <row r="500" spans="1:20" x14ac:dyDescent="0.25">
      <c r="A500" s="98" t="s">
        <v>1692</v>
      </c>
      <c r="B500" s="98" t="s">
        <v>1693</v>
      </c>
      <c r="C500" s="98" t="s">
        <v>1179</v>
      </c>
      <c r="D500" s="98" t="s">
        <v>2034</v>
      </c>
      <c r="E500" s="101">
        <v>151128</v>
      </c>
      <c r="F500" s="101">
        <v>219512</v>
      </c>
      <c r="G500" s="98">
        <v>0</v>
      </c>
      <c r="H500" s="101">
        <v>45762</v>
      </c>
      <c r="I500" s="98" t="s">
        <v>2035</v>
      </c>
      <c r="J500" s="98">
        <v>151128</v>
      </c>
      <c r="K500" s="101" t="s">
        <v>2035</v>
      </c>
      <c r="L500" s="98">
        <v>137389</v>
      </c>
      <c r="M500" s="98">
        <v>13739</v>
      </c>
      <c r="N500" s="98">
        <v>10</v>
      </c>
      <c r="O500" s="98" t="s">
        <v>2150</v>
      </c>
      <c r="P500" s="98" t="s">
        <v>2208</v>
      </c>
      <c r="Q500" s="98" t="s">
        <v>2050</v>
      </c>
      <c r="R500" s="98" t="s">
        <v>2195</v>
      </c>
      <c r="S500" t="s">
        <v>2049</v>
      </c>
      <c r="T500" t="s">
        <v>2184</v>
      </c>
    </row>
    <row r="501" spans="1:20" x14ac:dyDescent="0.25">
      <c r="A501" s="98" t="s">
        <v>1694</v>
      </c>
      <c r="B501" s="98" t="s">
        <v>1695</v>
      </c>
      <c r="C501" s="98" t="s">
        <v>1179</v>
      </c>
      <c r="D501" s="98" t="s">
        <v>2034</v>
      </c>
      <c r="E501" s="101">
        <v>95504</v>
      </c>
      <c r="F501" s="101">
        <v>219512</v>
      </c>
      <c r="G501" s="98">
        <v>0</v>
      </c>
      <c r="H501" s="101">
        <v>45762</v>
      </c>
      <c r="I501" s="98" t="s">
        <v>2035</v>
      </c>
      <c r="J501" s="98">
        <v>95504</v>
      </c>
      <c r="K501" s="101" t="s">
        <v>2035</v>
      </c>
      <c r="L501" s="98">
        <v>86822</v>
      </c>
      <c r="M501" s="98">
        <v>8682</v>
      </c>
      <c r="N501" s="98">
        <v>10</v>
      </c>
      <c r="O501" s="98" t="s">
        <v>2150</v>
      </c>
      <c r="P501" s="98" t="s">
        <v>2208</v>
      </c>
      <c r="Q501" s="98" t="s">
        <v>2050</v>
      </c>
      <c r="R501" s="98" t="s">
        <v>2195</v>
      </c>
      <c r="S501" t="s">
        <v>2212</v>
      </c>
      <c r="T501" t="s">
        <v>2184</v>
      </c>
    </row>
    <row r="502" spans="1:20" x14ac:dyDescent="0.25">
      <c r="A502" s="98" t="s">
        <v>1696</v>
      </c>
      <c r="B502" s="98" t="s">
        <v>1697</v>
      </c>
      <c r="C502" s="98" t="s">
        <v>1179</v>
      </c>
      <c r="D502" s="98" t="s">
        <v>2034</v>
      </c>
      <c r="E502" s="101">
        <v>92781</v>
      </c>
      <c r="F502" s="101">
        <v>219512</v>
      </c>
      <c r="G502" s="98">
        <v>0</v>
      </c>
      <c r="H502" s="101">
        <v>45762</v>
      </c>
      <c r="I502" s="98" t="s">
        <v>2035</v>
      </c>
      <c r="J502" s="98">
        <v>92781</v>
      </c>
      <c r="K502" s="101" t="s">
        <v>2035</v>
      </c>
      <c r="L502" s="98">
        <v>84346</v>
      </c>
      <c r="M502" s="98">
        <v>8435</v>
      </c>
      <c r="N502" s="98">
        <v>10</v>
      </c>
      <c r="O502" s="98" t="s">
        <v>2150</v>
      </c>
      <c r="P502" s="98" t="s">
        <v>2183</v>
      </c>
      <c r="Q502" s="98" t="s">
        <v>2050</v>
      </c>
      <c r="R502" s="98" t="s">
        <v>2195</v>
      </c>
      <c r="S502" t="s">
        <v>2060</v>
      </c>
      <c r="T502" t="s">
        <v>2184</v>
      </c>
    </row>
    <row r="503" spans="1:20" x14ac:dyDescent="0.25">
      <c r="A503" s="98" t="s">
        <v>1698</v>
      </c>
      <c r="B503" s="98" t="s">
        <v>1699</v>
      </c>
      <c r="C503" s="98" t="s">
        <v>1179</v>
      </c>
      <c r="D503" s="98" t="s">
        <v>2034</v>
      </c>
      <c r="E503" s="101">
        <v>11541</v>
      </c>
      <c r="F503" s="101">
        <v>219512</v>
      </c>
      <c r="G503" s="98">
        <v>0</v>
      </c>
      <c r="H503" s="101">
        <v>45762</v>
      </c>
      <c r="I503" s="98" t="s">
        <v>2035</v>
      </c>
      <c r="J503" s="98">
        <v>11541</v>
      </c>
      <c r="K503" s="101" t="s">
        <v>2035</v>
      </c>
      <c r="L503" s="98">
        <v>10492</v>
      </c>
      <c r="M503" s="98">
        <v>1049</v>
      </c>
      <c r="N503" s="98">
        <v>10</v>
      </c>
      <c r="O503" s="98" t="s">
        <v>2087</v>
      </c>
      <c r="P503" s="98" t="s">
        <v>2172</v>
      </c>
      <c r="Q503" s="98" t="s">
        <v>2050</v>
      </c>
      <c r="R503" s="98" t="s">
        <v>2195</v>
      </c>
      <c r="S503" t="s">
        <v>2068</v>
      </c>
      <c r="T503" t="s">
        <v>2174</v>
      </c>
    </row>
    <row r="504" spans="1:20" x14ac:dyDescent="0.25">
      <c r="A504" s="98" t="s">
        <v>489</v>
      </c>
      <c r="B504" s="98" t="s">
        <v>1700</v>
      </c>
      <c r="C504" s="98" t="s">
        <v>1179</v>
      </c>
      <c r="D504" s="98" t="s">
        <v>2034</v>
      </c>
      <c r="E504" s="101">
        <v>201976</v>
      </c>
      <c r="F504" s="101">
        <v>219512</v>
      </c>
      <c r="G504" s="98">
        <v>0</v>
      </c>
      <c r="H504" s="101">
        <v>45766</v>
      </c>
      <c r="I504" s="98" t="s">
        <v>2035</v>
      </c>
      <c r="J504" s="98">
        <v>201976</v>
      </c>
      <c r="K504" s="101" t="s">
        <v>2035</v>
      </c>
      <c r="L504" s="98">
        <v>170903</v>
      </c>
      <c r="M504" s="98">
        <v>31073</v>
      </c>
      <c r="N504" s="98">
        <v>18.18</v>
      </c>
      <c r="O504" s="98" t="s">
        <v>2087</v>
      </c>
      <c r="P504" s="98" t="s">
        <v>2172</v>
      </c>
      <c r="Q504" s="98" t="s">
        <v>2050</v>
      </c>
      <c r="R504" s="98" t="s">
        <v>2195</v>
      </c>
      <c r="S504" t="s">
        <v>2067</v>
      </c>
      <c r="T504" t="s">
        <v>2174</v>
      </c>
    </row>
    <row r="505" spans="1:20" x14ac:dyDescent="0.25">
      <c r="A505" s="98" t="s">
        <v>490</v>
      </c>
      <c r="B505" s="98" t="s">
        <v>1701</v>
      </c>
      <c r="C505" s="98" t="s">
        <v>1179</v>
      </c>
      <c r="D505" s="98" t="s">
        <v>2034</v>
      </c>
      <c r="E505" s="101">
        <v>172198</v>
      </c>
      <c r="F505" s="101">
        <v>219512</v>
      </c>
      <c r="G505" s="98">
        <v>0</v>
      </c>
      <c r="H505" s="101">
        <v>45766</v>
      </c>
      <c r="I505" s="98" t="s">
        <v>2035</v>
      </c>
      <c r="J505" s="98">
        <v>172198</v>
      </c>
      <c r="K505" s="101" t="s">
        <v>2035</v>
      </c>
      <c r="L505" s="98">
        <v>199387</v>
      </c>
      <c r="M505" s="98">
        <v>-27189</v>
      </c>
      <c r="N505" s="98">
        <v>-13.64</v>
      </c>
      <c r="O505" s="98" t="s">
        <v>2087</v>
      </c>
      <c r="P505" s="98" t="s">
        <v>2172</v>
      </c>
      <c r="Q505" s="98" t="s">
        <v>2050</v>
      </c>
      <c r="R505" s="98" t="s">
        <v>2195</v>
      </c>
      <c r="S505" t="s">
        <v>2173</v>
      </c>
      <c r="T505" t="s">
        <v>2174</v>
      </c>
    </row>
    <row r="506" spans="1:20" x14ac:dyDescent="0.25">
      <c r="A506" s="98" t="s">
        <v>491</v>
      </c>
      <c r="B506" s="98" t="s">
        <v>1702</v>
      </c>
      <c r="C506" s="98" t="s">
        <v>1179</v>
      </c>
      <c r="D506" s="98" t="s">
        <v>2034</v>
      </c>
      <c r="E506" s="101">
        <v>131090</v>
      </c>
      <c r="F506" s="101">
        <v>219512</v>
      </c>
      <c r="G506" s="98">
        <v>0</v>
      </c>
      <c r="H506" s="101">
        <v>45766</v>
      </c>
      <c r="I506" s="98" t="s">
        <v>2035</v>
      </c>
      <c r="J506" s="98">
        <v>131090</v>
      </c>
      <c r="K506" s="101" t="s">
        <v>2035</v>
      </c>
      <c r="L506" s="98">
        <v>160222</v>
      </c>
      <c r="M506" s="98">
        <v>-29132</v>
      </c>
      <c r="N506" s="98">
        <v>-18.18</v>
      </c>
      <c r="O506" s="98" t="s">
        <v>2087</v>
      </c>
      <c r="P506" s="98" t="s">
        <v>2172</v>
      </c>
      <c r="Q506" s="98" t="s">
        <v>2050</v>
      </c>
      <c r="R506" s="98" t="s">
        <v>2195</v>
      </c>
      <c r="S506" t="s">
        <v>2056</v>
      </c>
      <c r="T506" t="s">
        <v>2174</v>
      </c>
    </row>
    <row r="507" spans="1:20" x14ac:dyDescent="0.25">
      <c r="A507" s="98" t="s">
        <v>492</v>
      </c>
      <c r="B507" s="98" t="s">
        <v>1703</v>
      </c>
      <c r="C507" s="98" t="s">
        <v>1179</v>
      </c>
      <c r="D507" s="98" t="s">
        <v>2034</v>
      </c>
      <c r="E507" s="101">
        <v>87005</v>
      </c>
      <c r="F507" s="101">
        <v>219512</v>
      </c>
      <c r="G507" s="98">
        <v>0</v>
      </c>
      <c r="H507" s="101">
        <v>45766</v>
      </c>
      <c r="I507" s="98" t="s">
        <v>2035</v>
      </c>
      <c r="J507" s="98">
        <v>87005</v>
      </c>
      <c r="K507" s="101" t="s">
        <v>2035</v>
      </c>
      <c r="L507" s="98">
        <v>119632</v>
      </c>
      <c r="M507" s="98">
        <v>-32627</v>
      </c>
      <c r="N507" s="98">
        <v>-27.27</v>
      </c>
      <c r="O507" s="98" t="s">
        <v>2087</v>
      </c>
      <c r="P507" s="98" t="s">
        <v>2172</v>
      </c>
      <c r="Q507" s="98" t="s">
        <v>2050</v>
      </c>
      <c r="R507" s="98" t="s">
        <v>2195</v>
      </c>
      <c r="S507" t="s">
        <v>2067</v>
      </c>
      <c r="T507" t="s">
        <v>2174</v>
      </c>
    </row>
    <row r="508" spans="1:20" x14ac:dyDescent="0.25">
      <c r="A508" s="98" t="s">
        <v>493</v>
      </c>
      <c r="B508" s="98" t="s">
        <v>1704</v>
      </c>
      <c r="C508" s="98" t="s">
        <v>1179</v>
      </c>
      <c r="D508" s="98" t="s">
        <v>2034</v>
      </c>
      <c r="E508" s="101">
        <v>158028</v>
      </c>
      <c r="F508" s="101">
        <v>219512</v>
      </c>
      <c r="G508" s="98">
        <v>0</v>
      </c>
      <c r="H508" s="101">
        <v>45897</v>
      </c>
      <c r="I508" s="98" t="s">
        <v>2035</v>
      </c>
      <c r="J508" s="98">
        <v>158028</v>
      </c>
      <c r="K508" s="101" t="s">
        <v>2035</v>
      </c>
      <c r="L508" s="98">
        <v>149083</v>
      </c>
      <c r="M508" s="98">
        <v>8945</v>
      </c>
      <c r="N508" s="98">
        <v>6</v>
      </c>
      <c r="O508" s="98" t="s">
        <v>2087</v>
      </c>
      <c r="P508" s="98" t="s">
        <v>2172</v>
      </c>
      <c r="Q508" s="98" t="s">
        <v>2050</v>
      </c>
      <c r="R508" s="98" t="s">
        <v>2195</v>
      </c>
      <c r="S508" t="s">
        <v>2173</v>
      </c>
      <c r="T508" t="s">
        <v>2174</v>
      </c>
    </row>
    <row r="509" spans="1:20" x14ac:dyDescent="0.25">
      <c r="A509" s="98" t="s">
        <v>494</v>
      </c>
      <c r="B509" s="98" t="s">
        <v>1705</v>
      </c>
      <c r="C509" s="98" t="s">
        <v>1179</v>
      </c>
      <c r="D509" s="98" t="s">
        <v>2034</v>
      </c>
      <c r="E509" s="101">
        <v>156889</v>
      </c>
      <c r="F509" s="101">
        <v>219512</v>
      </c>
      <c r="G509" s="98">
        <v>0</v>
      </c>
      <c r="H509" s="101">
        <v>45897</v>
      </c>
      <c r="I509" s="98" t="s">
        <v>2035</v>
      </c>
      <c r="J509" s="98">
        <v>156889</v>
      </c>
      <c r="K509" s="101" t="s">
        <v>2035</v>
      </c>
      <c r="L509" s="98">
        <v>153813</v>
      </c>
      <c r="M509" s="98">
        <v>3076</v>
      </c>
      <c r="N509" s="98">
        <v>2</v>
      </c>
      <c r="O509" s="98" t="s">
        <v>2087</v>
      </c>
      <c r="P509" s="98" t="s">
        <v>2172</v>
      </c>
      <c r="Q509" s="98" t="s">
        <v>2050</v>
      </c>
      <c r="R509" s="98" t="s">
        <v>2195</v>
      </c>
      <c r="S509" t="s">
        <v>2056</v>
      </c>
      <c r="T509" t="s">
        <v>2174</v>
      </c>
    </row>
    <row r="510" spans="1:20" x14ac:dyDescent="0.25">
      <c r="A510" s="98" t="s">
        <v>1706</v>
      </c>
      <c r="B510" s="98" t="s">
        <v>1707</v>
      </c>
      <c r="C510" s="98" t="s">
        <v>1179</v>
      </c>
      <c r="D510" s="98" t="s">
        <v>2034</v>
      </c>
      <c r="E510" s="101">
        <v>167904</v>
      </c>
      <c r="F510" s="101">
        <v>219512</v>
      </c>
      <c r="G510" s="98">
        <v>0</v>
      </c>
      <c r="H510" s="101">
        <v>45769</v>
      </c>
      <c r="I510" s="98" t="s">
        <v>2035</v>
      </c>
      <c r="J510" s="98">
        <v>167904</v>
      </c>
      <c r="K510" s="101" t="s">
        <v>2035</v>
      </c>
      <c r="L510" s="98">
        <v>175900</v>
      </c>
      <c r="M510" s="98">
        <v>-7996</v>
      </c>
      <c r="N510" s="98">
        <v>-4.55</v>
      </c>
      <c r="O510" s="98" t="s">
        <v>2150</v>
      </c>
      <c r="P510" s="98" t="s">
        <v>2144</v>
      </c>
      <c r="Q510" s="98" t="s">
        <v>2050</v>
      </c>
      <c r="R510" s="98" t="s">
        <v>2195</v>
      </c>
      <c r="S510" t="s">
        <v>2218</v>
      </c>
      <c r="T510" t="s">
        <v>2184</v>
      </c>
    </row>
    <row r="511" spans="1:20" x14ac:dyDescent="0.25">
      <c r="A511" s="98" t="s">
        <v>1708</v>
      </c>
      <c r="B511" s="98" t="s">
        <v>1709</v>
      </c>
      <c r="C511" s="98" t="s">
        <v>1179</v>
      </c>
      <c r="D511" s="98" t="s">
        <v>2034</v>
      </c>
      <c r="E511" s="101">
        <v>291416</v>
      </c>
      <c r="F511" s="101">
        <v>219512</v>
      </c>
      <c r="G511" s="98">
        <v>0</v>
      </c>
      <c r="H511" s="101">
        <v>45769</v>
      </c>
      <c r="I511" s="98" t="s">
        <v>2035</v>
      </c>
      <c r="J511" s="98">
        <v>291416</v>
      </c>
      <c r="K511" s="101" t="s">
        <v>2035</v>
      </c>
      <c r="L511" s="98">
        <v>305293</v>
      </c>
      <c r="M511" s="98">
        <v>-13877</v>
      </c>
      <c r="N511" s="98">
        <v>-4.55</v>
      </c>
      <c r="O511" s="98" t="s">
        <v>2150</v>
      </c>
      <c r="P511" s="98" t="s">
        <v>2144</v>
      </c>
      <c r="Q511" s="98" t="s">
        <v>2050</v>
      </c>
      <c r="R511" s="98" t="s">
        <v>2195</v>
      </c>
      <c r="S511" t="s">
        <v>2219</v>
      </c>
      <c r="T511" t="s">
        <v>2184</v>
      </c>
    </row>
    <row r="512" spans="1:20" x14ac:dyDescent="0.25">
      <c r="A512" s="98" t="s">
        <v>1710</v>
      </c>
      <c r="B512" s="98" t="s">
        <v>1711</v>
      </c>
      <c r="C512" s="98" t="s">
        <v>1179</v>
      </c>
      <c r="D512" s="98" t="s">
        <v>2034</v>
      </c>
      <c r="E512" s="101">
        <v>155745</v>
      </c>
      <c r="F512" s="101">
        <v>219512</v>
      </c>
      <c r="G512" s="98">
        <v>0</v>
      </c>
      <c r="H512" s="101">
        <v>45769</v>
      </c>
      <c r="I512" s="98" t="s">
        <v>2035</v>
      </c>
      <c r="J512" s="98">
        <v>155745</v>
      </c>
      <c r="K512" s="101" t="s">
        <v>2035</v>
      </c>
      <c r="L512" s="98">
        <v>163162</v>
      </c>
      <c r="M512" s="98">
        <v>-7417</v>
      </c>
      <c r="N512" s="98">
        <v>-4.55</v>
      </c>
      <c r="O512" s="98" t="s">
        <v>2150</v>
      </c>
      <c r="P512" s="98" t="s">
        <v>2144</v>
      </c>
      <c r="Q512" s="98" t="s">
        <v>2050</v>
      </c>
      <c r="R512" s="98" t="s">
        <v>2195</v>
      </c>
      <c r="S512" t="s">
        <v>2220</v>
      </c>
      <c r="T512" t="s">
        <v>2184</v>
      </c>
    </row>
    <row r="513" spans="1:20" x14ac:dyDescent="0.25">
      <c r="A513" s="98" t="s">
        <v>1712</v>
      </c>
      <c r="B513" s="98" t="s">
        <v>1713</v>
      </c>
      <c r="C513" s="98" t="s">
        <v>1179</v>
      </c>
      <c r="D513" s="98" t="s">
        <v>2034</v>
      </c>
      <c r="E513" s="101">
        <v>111540</v>
      </c>
      <c r="F513" s="101">
        <v>219512</v>
      </c>
      <c r="G513" s="98">
        <v>0</v>
      </c>
      <c r="H513" s="101">
        <v>45769</v>
      </c>
      <c r="I513" s="98" t="s">
        <v>2035</v>
      </c>
      <c r="J513" s="98">
        <v>111540</v>
      </c>
      <c r="K513" s="101" t="s">
        <v>2035</v>
      </c>
      <c r="L513" s="98">
        <v>116852</v>
      </c>
      <c r="M513" s="98">
        <v>-5312</v>
      </c>
      <c r="N513" s="98">
        <v>-4.55</v>
      </c>
      <c r="O513" s="98" t="s">
        <v>2150</v>
      </c>
      <c r="P513" s="98" t="s">
        <v>2144</v>
      </c>
      <c r="Q513" s="98" t="s">
        <v>2050</v>
      </c>
      <c r="R513" s="98" t="s">
        <v>2195</v>
      </c>
      <c r="S513" t="s">
        <v>2221</v>
      </c>
      <c r="T513" t="s">
        <v>2109</v>
      </c>
    </row>
    <row r="514" spans="1:20" x14ac:dyDescent="0.25">
      <c r="A514" s="98" t="s">
        <v>1714</v>
      </c>
      <c r="B514" s="98" t="s">
        <v>1715</v>
      </c>
      <c r="C514" s="98" t="s">
        <v>1179</v>
      </c>
      <c r="D514" s="98" t="s">
        <v>2034</v>
      </c>
      <c r="E514" s="101">
        <v>150071</v>
      </c>
      <c r="F514" s="101">
        <v>219512</v>
      </c>
      <c r="G514" s="98">
        <v>0</v>
      </c>
      <c r="H514" s="101">
        <v>45769</v>
      </c>
      <c r="I514" s="98" t="s">
        <v>2035</v>
      </c>
      <c r="J514" s="98">
        <v>150071</v>
      </c>
      <c r="K514" s="101" t="s">
        <v>2035</v>
      </c>
      <c r="L514" s="98">
        <v>157218</v>
      </c>
      <c r="M514" s="98">
        <v>-7147</v>
      </c>
      <c r="N514" s="98">
        <v>-4.55</v>
      </c>
      <c r="O514" s="98" t="s">
        <v>2150</v>
      </c>
      <c r="P514" s="98" t="s">
        <v>2144</v>
      </c>
      <c r="Q514" s="98" t="s">
        <v>2050</v>
      </c>
      <c r="R514" s="98" t="s">
        <v>2195</v>
      </c>
      <c r="S514" t="s">
        <v>2221</v>
      </c>
      <c r="T514" t="s">
        <v>2109</v>
      </c>
    </row>
    <row r="515" spans="1:20" x14ac:dyDescent="0.25">
      <c r="A515" s="98" t="s">
        <v>1716</v>
      </c>
      <c r="B515" s="98" t="s">
        <v>1717</v>
      </c>
      <c r="C515" s="98" t="s">
        <v>1179</v>
      </c>
      <c r="D515" s="98" t="s">
        <v>2034</v>
      </c>
      <c r="E515" s="101">
        <v>100667</v>
      </c>
      <c r="F515" s="101">
        <v>219512</v>
      </c>
      <c r="G515" s="98">
        <v>0</v>
      </c>
      <c r="H515" s="101">
        <v>45769</v>
      </c>
      <c r="I515" s="98" t="s">
        <v>2035</v>
      </c>
      <c r="J515" s="98">
        <v>100667</v>
      </c>
      <c r="K515" s="101" t="s">
        <v>2035</v>
      </c>
      <c r="L515" s="98">
        <v>105460</v>
      </c>
      <c r="M515" s="98">
        <v>-4793</v>
      </c>
      <c r="N515" s="98">
        <v>-4.54</v>
      </c>
      <c r="O515" s="98" t="s">
        <v>2150</v>
      </c>
      <c r="P515" s="98" t="s">
        <v>2208</v>
      </c>
      <c r="Q515" s="98" t="s">
        <v>2050</v>
      </c>
      <c r="R515" s="98" t="s">
        <v>2195</v>
      </c>
      <c r="S515" t="s">
        <v>2221</v>
      </c>
      <c r="T515" t="s">
        <v>2109</v>
      </c>
    </row>
    <row r="516" spans="1:20" x14ac:dyDescent="0.25">
      <c r="A516" s="98" t="s">
        <v>1718</v>
      </c>
      <c r="B516" s="98" t="s">
        <v>1719</v>
      </c>
      <c r="C516" s="98" t="s">
        <v>1179</v>
      </c>
      <c r="D516" s="98" t="s">
        <v>2034</v>
      </c>
      <c r="E516" s="101">
        <v>50480</v>
      </c>
      <c r="F516" s="101">
        <v>219512</v>
      </c>
      <c r="G516" s="98">
        <v>0</v>
      </c>
      <c r="H516" s="101">
        <v>45897</v>
      </c>
      <c r="I516" s="98" t="s">
        <v>2035</v>
      </c>
      <c r="J516" s="98">
        <v>50480</v>
      </c>
      <c r="K516" s="101" t="s">
        <v>2035</v>
      </c>
      <c r="L516" s="98">
        <v>43896</v>
      </c>
      <c r="M516" s="98">
        <v>6584</v>
      </c>
      <c r="N516" s="98">
        <v>15</v>
      </c>
      <c r="O516" s="98" t="s">
        <v>2150</v>
      </c>
      <c r="P516" s="98" t="s">
        <v>2144</v>
      </c>
      <c r="Q516" s="98" t="s">
        <v>2050</v>
      </c>
      <c r="R516" s="98" t="s">
        <v>2195</v>
      </c>
      <c r="S516" t="s">
        <v>2199</v>
      </c>
      <c r="T516" t="s">
        <v>2109</v>
      </c>
    </row>
    <row r="517" spans="1:20" x14ac:dyDescent="0.25">
      <c r="A517" s="98" t="s">
        <v>1720</v>
      </c>
      <c r="B517" s="98" t="s">
        <v>1721</v>
      </c>
      <c r="C517" s="98" t="s">
        <v>1179</v>
      </c>
      <c r="D517" s="98" t="s">
        <v>2034</v>
      </c>
      <c r="E517" s="101">
        <v>58248</v>
      </c>
      <c r="F517" s="101">
        <v>219512</v>
      </c>
      <c r="G517" s="98">
        <v>0</v>
      </c>
      <c r="H517" s="101">
        <v>45769</v>
      </c>
      <c r="I517" s="98" t="s">
        <v>2035</v>
      </c>
      <c r="J517" s="98">
        <v>58248</v>
      </c>
      <c r="K517" s="101" t="s">
        <v>2035</v>
      </c>
      <c r="L517" s="98">
        <v>61021</v>
      </c>
      <c r="M517" s="98">
        <v>-2773</v>
      </c>
      <c r="N517" s="98">
        <v>-4.54</v>
      </c>
      <c r="O517" s="98" t="s">
        <v>2150</v>
      </c>
      <c r="P517" s="98" t="s">
        <v>2183</v>
      </c>
      <c r="Q517" s="98" t="s">
        <v>2050</v>
      </c>
      <c r="R517" s="98" t="s">
        <v>2195</v>
      </c>
      <c r="S517" t="s">
        <v>2056</v>
      </c>
      <c r="T517" t="s">
        <v>2109</v>
      </c>
    </row>
    <row r="518" spans="1:20" x14ac:dyDescent="0.25">
      <c r="A518" s="98" t="s">
        <v>1722</v>
      </c>
      <c r="B518" s="98" t="s">
        <v>1723</v>
      </c>
      <c r="C518" s="98" t="s">
        <v>1179</v>
      </c>
      <c r="D518" s="98" t="s">
        <v>2034</v>
      </c>
      <c r="E518" s="101">
        <v>64110</v>
      </c>
      <c r="F518" s="101">
        <v>219512</v>
      </c>
      <c r="G518" s="98">
        <v>0</v>
      </c>
      <c r="H518" s="101">
        <v>45769</v>
      </c>
      <c r="I518" s="98" t="s">
        <v>2035</v>
      </c>
      <c r="J518" s="98">
        <v>64110</v>
      </c>
      <c r="K518" s="101" t="s">
        <v>2035</v>
      </c>
      <c r="L518" s="98">
        <v>67163</v>
      </c>
      <c r="M518" s="98">
        <v>-3053</v>
      </c>
      <c r="N518" s="98">
        <v>-4.55</v>
      </c>
      <c r="O518" s="98" t="s">
        <v>2150</v>
      </c>
      <c r="P518" s="98" t="s">
        <v>2183</v>
      </c>
      <c r="Q518" s="98" t="s">
        <v>2050</v>
      </c>
      <c r="R518" s="98" t="s">
        <v>2195</v>
      </c>
      <c r="S518" t="s">
        <v>2056</v>
      </c>
      <c r="T518" t="s">
        <v>2109</v>
      </c>
    </row>
    <row r="519" spans="1:20" x14ac:dyDescent="0.25">
      <c r="A519" s="98" t="s">
        <v>1724</v>
      </c>
      <c r="B519" s="98" t="s">
        <v>1725</v>
      </c>
      <c r="C519" s="98" t="s">
        <v>1179</v>
      </c>
      <c r="D519" s="98" t="s">
        <v>2034</v>
      </c>
      <c r="E519" s="101">
        <v>77641</v>
      </c>
      <c r="F519" s="101">
        <v>219512</v>
      </c>
      <c r="G519" s="98">
        <v>0</v>
      </c>
      <c r="H519" s="101">
        <v>45769</v>
      </c>
      <c r="I519" s="98" t="s">
        <v>2035</v>
      </c>
      <c r="J519" s="98">
        <v>77641</v>
      </c>
      <c r="K519" s="101" t="s">
        <v>2035</v>
      </c>
      <c r="L519" s="98">
        <v>81338</v>
      </c>
      <c r="M519" s="98">
        <v>-3697</v>
      </c>
      <c r="N519" s="98">
        <v>-4.55</v>
      </c>
      <c r="O519" s="98" t="s">
        <v>2150</v>
      </c>
      <c r="P519" s="98" t="s">
        <v>2183</v>
      </c>
      <c r="Q519" s="98" t="s">
        <v>2050</v>
      </c>
      <c r="R519" s="98" t="s">
        <v>2195</v>
      </c>
      <c r="S519" t="s">
        <v>2056</v>
      </c>
      <c r="T519" t="s">
        <v>2109</v>
      </c>
    </row>
    <row r="520" spans="1:20" x14ac:dyDescent="0.25">
      <c r="A520" s="98" t="s">
        <v>1726</v>
      </c>
      <c r="B520" s="98" t="s">
        <v>1727</v>
      </c>
      <c r="C520" s="98" t="s">
        <v>1179</v>
      </c>
      <c r="D520" s="98" t="s">
        <v>2034</v>
      </c>
      <c r="E520" s="101">
        <v>61318</v>
      </c>
      <c r="F520" s="101">
        <v>219512</v>
      </c>
      <c r="G520" s="98">
        <v>0</v>
      </c>
      <c r="H520" s="101">
        <v>45769</v>
      </c>
      <c r="I520" s="98" t="s">
        <v>2035</v>
      </c>
      <c r="J520" s="98">
        <v>61318</v>
      </c>
      <c r="K520" s="101" t="s">
        <v>2035</v>
      </c>
      <c r="L520" s="98">
        <v>64238</v>
      </c>
      <c r="M520" s="98">
        <v>-2920</v>
      </c>
      <c r="N520" s="98">
        <v>-4.55</v>
      </c>
      <c r="O520" s="98" t="s">
        <v>2150</v>
      </c>
      <c r="P520" s="98" t="s">
        <v>2144</v>
      </c>
      <c r="Q520" s="98" t="s">
        <v>2050</v>
      </c>
      <c r="R520" s="98" t="s">
        <v>2222</v>
      </c>
      <c r="S520" t="s">
        <v>2052</v>
      </c>
      <c r="T520" t="s">
        <v>2113</v>
      </c>
    </row>
    <row r="521" spans="1:20" x14ac:dyDescent="0.25">
      <c r="A521" s="98" t="s">
        <v>1728</v>
      </c>
      <c r="B521" s="98" t="s">
        <v>1729</v>
      </c>
      <c r="C521" s="98" t="s">
        <v>1179</v>
      </c>
      <c r="D521" s="98" t="s">
        <v>2034</v>
      </c>
      <c r="E521" s="101">
        <v>43358</v>
      </c>
      <c r="F521" s="101">
        <v>219512</v>
      </c>
      <c r="G521" s="98">
        <v>0</v>
      </c>
      <c r="H521" s="101">
        <v>45769</v>
      </c>
      <c r="I521" s="98" t="s">
        <v>2035</v>
      </c>
      <c r="J521" s="98">
        <v>43358</v>
      </c>
      <c r="K521" s="101" t="s">
        <v>2035</v>
      </c>
      <c r="L521" s="98">
        <v>45422</v>
      </c>
      <c r="M521" s="98">
        <v>-2064</v>
      </c>
      <c r="N521" s="98">
        <v>-4.54</v>
      </c>
      <c r="O521" s="98" t="s">
        <v>2150</v>
      </c>
      <c r="P521" s="98" t="s">
        <v>2144</v>
      </c>
      <c r="Q521" s="98" t="s">
        <v>2050</v>
      </c>
      <c r="R521" s="98" t="s">
        <v>2222</v>
      </c>
      <c r="S521" t="s">
        <v>2223</v>
      </c>
      <c r="T521" t="s">
        <v>2113</v>
      </c>
    </row>
    <row r="522" spans="1:20" x14ac:dyDescent="0.25">
      <c r="A522" s="98" t="s">
        <v>1730</v>
      </c>
      <c r="B522" s="98" t="s">
        <v>1731</v>
      </c>
      <c r="C522" s="98" t="s">
        <v>1179</v>
      </c>
      <c r="D522" s="98" t="s">
        <v>2034</v>
      </c>
      <c r="E522" s="101">
        <v>46172</v>
      </c>
      <c r="F522" s="101">
        <v>219512</v>
      </c>
      <c r="G522" s="98">
        <v>0</v>
      </c>
      <c r="H522" s="101">
        <v>45769</v>
      </c>
      <c r="I522" s="98" t="s">
        <v>2035</v>
      </c>
      <c r="J522" s="98">
        <v>46172</v>
      </c>
      <c r="K522" s="101" t="s">
        <v>2035</v>
      </c>
      <c r="L522" s="98">
        <v>48370</v>
      </c>
      <c r="M522" s="98">
        <v>-2198</v>
      </c>
      <c r="N522" s="98">
        <v>-4.54</v>
      </c>
      <c r="O522" s="98" t="s">
        <v>2150</v>
      </c>
      <c r="P522" s="98" t="s">
        <v>2144</v>
      </c>
      <c r="Q522" s="98" t="s">
        <v>2050</v>
      </c>
      <c r="R522" s="98" t="s">
        <v>2222</v>
      </c>
      <c r="S522" t="s">
        <v>2223</v>
      </c>
      <c r="T522" t="s">
        <v>2113</v>
      </c>
    </row>
    <row r="523" spans="1:20" x14ac:dyDescent="0.25">
      <c r="A523" s="98" t="s">
        <v>1732</v>
      </c>
      <c r="B523" s="98" t="s">
        <v>1733</v>
      </c>
      <c r="C523" s="98" t="s">
        <v>1179</v>
      </c>
      <c r="D523" s="98" t="s">
        <v>2034</v>
      </c>
      <c r="E523" s="101">
        <v>68923</v>
      </c>
      <c r="F523" s="101">
        <v>219512</v>
      </c>
      <c r="G523" s="98">
        <v>0</v>
      </c>
      <c r="H523" s="101">
        <v>45769</v>
      </c>
      <c r="I523" s="98" t="s">
        <v>2035</v>
      </c>
      <c r="J523" s="98">
        <v>68923</v>
      </c>
      <c r="K523" s="101" t="s">
        <v>2035</v>
      </c>
      <c r="L523" s="98">
        <v>72205</v>
      </c>
      <c r="M523" s="98">
        <v>-3282</v>
      </c>
      <c r="N523" s="98">
        <v>-4.55</v>
      </c>
      <c r="O523" s="98" t="s">
        <v>2150</v>
      </c>
      <c r="P523" s="98" t="s">
        <v>2144</v>
      </c>
      <c r="Q523" s="98" t="s">
        <v>2050</v>
      </c>
      <c r="R523" s="98" t="s">
        <v>2222</v>
      </c>
      <c r="S523" t="s">
        <v>2052</v>
      </c>
      <c r="T523" t="s">
        <v>2113</v>
      </c>
    </row>
    <row r="524" spans="1:20" x14ac:dyDescent="0.25">
      <c r="A524" s="98" t="s">
        <v>1734</v>
      </c>
      <c r="B524" s="98" t="s">
        <v>1735</v>
      </c>
      <c r="C524" s="98" t="s">
        <v>1179</v>
      </c>
      <c r="D524" s="98" t="s">
        <v>2034</v>
      </c>
      <c r="E524" s="101">
        <v>34054</v>
      </c>
      <c r="F524" s="101">
        <v>219512</v>
      </c>
      <c r="G524" s="98">
        <v>0</v>
      </c>
      <c r="H524" s="101">
        <v>45769</v>
      </c>
      <c r="I524" s="98" t="s">
        <v>2035</v>
      </c>
      <c r="J524" s="98">
        <v>34054</v>
      </c>
      <c r="K524" s="101" t="s">
        <v>2035</v>
      </c>
      <c r="L524" s="98">
        <v>35675</v>
      </c>
      <c r="M524" s="98">
        <v>-1621</v>
      </c>
      <c r="N524" s="98">
        <v>-4.54</v>
      </c>
      <c r="O524" s="98" t="s">
        <v>2150</v>
      </c>
      <c r="P524" s="98" t="s">
        <v>2144</v>
      </c>
      <c r="Q524" s="98" t="s">
        <v>2050</v>
      </c>
      <c r="R524" s="98" t="s">
        <v>2222</v>
      </c>
      <c r="S524" t="s">
        <v>2223</v>
      </c>
      <c r="T524" t="s">
        <v>2113</v>
      </c>
    </row>
    <row r="525" spans="1:20" x14ac:dyDescent="0.25">
      <c r="A525" s="98" t="s">
        <v>124</v>
      </c>
      <c r="B525" s="98" t="s">
        <v>125</v>
      </c>
      <c r="C525" s="98" t="s">
        <v>1179</v>
      </c>
      <c r="D525" s="98" t="s">
        <v>2034</v>
      </c>
      <c r="E525" s="101">
        <v>20707</v>
      </c>
      <c r="F525" s="101">
        <v>219512</v>
      </c>
      <c r="G525" s="98">
        <v>0</v>
      </c>
      <c r="H525" s="101">
        <v>45919</v>
      </c>
      <c r="I525" s="98" t="s">
        <v>2035</v>
      </c>
      <c r="J525" s="98">
        <v>20707</v>
      </c>
      <c r="K525" s="101" t="s">
        <v>2035</v>
      </c>
      <c r="L525" s="98">
        <v>19721</v>
      </c>
      <c r="M525" s="98">
        <v>986</v>
      </c>
      <c r="N525" s="98">
        <v>5</v>
      </c>
      <c r="O525" s="98" t="s">
        <v>2176</v>
      </c>
      <c r="P525" s="98" t="s">
        <v>2183</v>
      </c>
      <c r="Q525" s="98" t="s">
        <v>2076</v>
      </c>
      <c r="R525" s="98" t="s">
        <v>2224</v>
      </c>
      <c r="S525" t="s">
        <v>2085</v>
      </c>
      <c r="T525" t="s">
        <v>2184</v>
      </c>
    </row>
    <row r="526" spans="1:20" x14ac:dyDescent="0.25">
      <c r="A526" s="98" t="s">
        <v>126</v>
      </c>
      <c r="B526" s="98" t="s">
        <v>337</v>
      </c>
      <c r="C526" s="98" t="s">
        <v>1179</v>
      </c>
      <c r="D526" s="98" t="s">
        <v>2034</v>
      </c>
      <c r="E526" s="101">
        <v>38827</v>
      </c>
      <c r="F526" s="101">
        <v>219512</v>
      </c>
      <c r="G526" s="98">
        <v>0</v>
      </c>
      <c r="H526" s="101">
        <v>45919</v>
      </c>
      <c r="I526" s="98" t="s">
        <v>2035</v>
      </c>
      <c r="J526" s="98">
        <v>38827</v>
      </c>
      <c r="K526" s="101" t="s">
        <v>2035</v>
      </c>
      <c r="L526" s="98">
        <v>36978</v>
      </c>
      <c r="M526" s="98">
        <v>1849</v>
      </c>
      <c r="N526" s="98">
        <v>5</v>
      </c>
      <c r="O526" s="98" t="s">
        <v>2176</v>
      </c>
      <c r="P526" s="98" t="s">
        <v>2183</v>
      </c>
      <c r="Q526" s="98" t="s">
        <v>2076</v>
      </c>
      <c r="R526" s="98" t="s">
        <v>2225</v>
      </c>
      <c r="S526" t="s">
        <v>2060</v>
      </c>
      <c r="T526" t="s">
        <v>2184</v>
      </c>
    </row>
    <row r="527" spans="1:20" x14ac:dyDescent="0.25">
      <c r="A527" s="98" t="s">
        <v>127</v>
      </c>
      <c r="B527" s="98" t="s">
        <v>339</v>
      </c>
      <c r="C527" s="98" t="s">
        <v>1179</v>
      </c>
      <c r="D527" s="98" t="s">
        <v>2034</v>
      </c>
      <c r="E527" s="101">
        <v>41830</v>
      </c>
      <c r="F527" s="101">
        <v>219512</v>
      </c>
      <c r="G527" s="98">
        <v>0</v>
      </c>
      <c r="H527" s="101">
        <v>45919</v>
      </c>
      <c r="I527" s="98" t="s">
        <v>2035</v>
      </c>
      <c r="J527" s="98">
        <v>41830</v>
      </c>
      <c r="K527" s="101" t="s">
        <v>2035</v>
      </c>
      <c r="L527" s="98">
        <v>39838</v>
      </c>
      <c r="M527" s="98">
        <v>1992</v>
      </c>
      <c r="N527" s="98">
        <v>5</v>
      </c>
      <c r="O527" s="98" t="s">
        <v>2176</v>
      </c>
      <c r="P527" s="98" t="s">
        <v>2183</v>
      </c>
      <c r="Q527" s="98" t="s">
        <v>2076</v>
      </c>
      <c r="R527" s="98" t="s">
        <v>2225</v>
      </c>
      <c r="S527" t="s">
        <v>2060</v>
      </c>
      <c r="T527" t="s">
        <v>2184</v>
      </c>
    </row>
    <row r="528" spans="1:20" x14ac:dyDescent="0.25">
      <c r="A528" s="98" t="s">
        <v>128</v>
      </c>
      <c r="B528" s="98" t="s">
        <v>129</v>
      </c>
      <c r="C528" s="98" t="s">
        <v>1179</v>
      </c>
      <c r="D528" s="98" t="s">
        <v>2034</v>
      </c>
      <c r="E528" s="101">
        <v>42511</v>
      </c>
      <c r="F528" s="101">
        <v>219512</v>
      </c>
      <c r="G528" s="98">
        <v>0</v>
      </c>
      <c r="H528" s="101">
        <v>45919</v>
      </c>
      <c r="I528" s="98" t="s">
        <v>2035</v>
      </c>
      <c r="J528" s="98">
        <v>42511</v>
      </c>
      <c r="K528" s="101" t="s">
        <v>2035</v>
      </c>
      <c r="L528" s="98">
        <v>40487</v>
      </c>
      <c r="M528" s="98">
        <v>2024</v>
      </c>
      <c r="N528" s="98">
        <v>5</v>
      </c>
      <c r="O528" s="98" t="s">
        <v>2176</v>
      </c>
      <c r="P528" s="98" t="s">
        <v>2183</v>
      </c>
      <c r="Q528" s="98" t="s">
        <v>2076</v>
      </c>
      <c r="R528" s="98" t="s">
        <v>2225</v>
      </c>
      <c r="S528" t="s">
        <v>2060</v>
      </c>
      <c r="T528" t="s">
        <v>2184</v>
      </c>
    </row>
    <row r="529" spans="1:20" x14ac:dyDescent="0.25">
      <c r="A529" s="98" t="s">
        <v>130</v>
      </c>
      <c r="B529" s="98" t="s">
        <v>1736</v>
      </c>
      <c r="C529" s="98" t="s">
        <v>1179</v>
      </c>
      <c r="D529" s="98" t="s">
        <v>2034</v>
      </c>
      <c r="E529" s="101">
        <v>37582</v>
      </c>
      <c r="F529" s="101">
        <v>219512</v>
      </c>
      <c r="G529" s="98">
        <v>0</v>
      </c>
      <c r="H529" s="101">
        <v>45919</v>
      </c>
      <c r="I529" s="98" t="s">
        <v>2035</v>
      </c>
      <c r="J529" s="98">
        <v>37582</v>
      </c>
      <c r="K529" s="101" t="s">
        <v>2035</v>
      </c>
      <c r="L529" s="98">
        <v>35792</v>
      </c>
      <c r="M529" s="98">
        <v>1790</v>
      </c>
      <c r="N529" s="98">
        <v>5</v>
      </c>
      <c r="O529" s="98" t="s">
        <v>2176</v>
      </c>
      <c r="P529" s="98" t="s">
        <v>2183</v>
      </c>
      <c r="Q529" s="98" t="s">
        <v>2076</v>
      </c>
      <c r="R529" s="98" t="s">
        <v>2224</v>
      </c>
      <c r="S529" t="s">
        <v>2058</v>
      </c>
      <c r="T529" t="s">
        <v>2184</v>
      </c>
    </row>
    <row r="530" spans="1:20" x14ac:dyDescent="0.25">
      <c r="A530" s="98" t="s">
        <v>1737</v>
      </c>
      <c r="B530" s="98" t="s">
        <v>1738</v>
      </c>
      <c r="C530" s="98" t="s">
        <v>1179</v>
      </c>
      <c r="D530" s="98" t="s">
        <v>2034</v>
      </c>
      <c r="E530" s="101">
        <v>38914</v>
      </c>
      <c r="F530" s="101">
        <v>219512</v>
      </c>
      <c r="G530" s="98">
        <v>0</v>
      </c>
      <c r="H530" s="101">
        <v>45919</v>
      </c>
      <c r="I530" s="98" t="s">
        <v>2035</v>
      </c>
      <c r="J530" s="98">
        <v>38914</v>
      </c>
      <c r="K530" s="101" t="s">
        <v>2035</v>
      </c>
      <c r="L530" s="98">
        <v>37061</v>
      </c>
      <c r="M530" s="98">
        <v>1853</v>
      </c>
      <c r="N530" s="98">
        <v>5</v>
      </c>
      <c r="O530" s="98" t="s">
        <v>2176</v>
      </c>
      <c r="P530" s="98" t="s">
        <v>2183</v>
      </c>
      <c r="Q530" s="98" t="s">
        <v>2076</v>
      </c>
      <c r="R530" s="98" t="s">
        <v>2222</v>
      </c>
      <c r="S530" t="s">
        <v>2226</v>
      </c>
      <c r="T530" t="s">
        <v>2113</v>
      </c>
    </row>
    <row r="531" spans="1:20" x14ac:dyDescent="0.25">
      <c r="A531" s="98" t="s">
        <v>131</v>
      </c>
      <c r="B531" s="98" t="s">
        <v>298</v>
      </c>
      <c r="C531" s="98" t="s">
        <v>1179</v>
      </c>
      <c r="D531" s="98" t="s">
        <v>2034</v>
      </c>
      <c r="E531" s="101">
        <v>67858</v>
      </c>
      <c r="F531" s="101">
        <v>219512</v>
      </c>
      <c r="G531" s="98">
        <v>0</v>
      </c>
      <c r="H531" s="101">
        <v>45919</v>
      </c>
      <c r="I531" s="98" t="s">
        <v>2035</v>
      </c>
      <c r="J531" s="98">
        <v>67858</v>
      </c>
      <c r="K531" s="101" t="s">
        <v>2035</v>
      </c>
      <c r="L531" s="98">
        <v>61689</v>
      </c>
      <c r="M531" s="98">
        <v>6169</v>
      </c>
      <c r="N531" s="98">
        <v>10</v>
      </c>
      <c r="O531" s="98" t="s">
        <v>2176</v>
      </c>
      <c r="P531" s="98" t="s">
        <v>2183</v>
      </c>
      <c r="Q531" s="98" t="s">
        <v>2076</v>
      </c>
      <c r="R531" s="98" t="s">
        <v>2227</v>
      </c>
      <c r="S531" t="s">
        <v>2226</v>
      </c>
      <c r="T531" t="s">
        <v>2109</v>
      </c>
    </row>
    <row r="532" spans="1:20" x14ac:dyDescent="0.25">
      <c r="A532" s="98" t="s">
        <v>132</v>
      </c>
      <c r="B532" s="98" t="s">
        <v>300</v>
      </c>
      <c r="C532" s="98" t="s">
        <v>1179</v>
      </c>
      <c r="D532" s="98" t="s">
        <v>2034</v>
      </c>
      <c r="E532" s="101">
        <v>63749</v>
      </c>
      <c r="F532" s="101">
        <v>219512</v>
      </c>
      <c r="G532" s="98">
        <v>0</v>
      </c>
      <c r="H532" s="101">
        <v>45880</v>
      </c>
      <c r="I532" s="98" t="s">
        <v>2035</v>
      </c>
      <c r="J532" s="98">
        <v>63749</v>
      </c>
      <c r="K532" s="101" t="s">
        <v>2035</v>
      </c>
      <c r="L532" s="98">
        <v>55434</v>
      </c>
      <c r="M532" s="98">
        <v>8315</v>
      </c>
      <c r="N532" s="98">
        <v>15</v>
      </c>
      <c r="O532" s="98" t="s">
        <v>2176</v>
      </c>
      <c r="P532" s="98" t="s">
        <v>2144</v>
      </c>
      <c r="Q532" s="98" t="s">
        <v>2076</v>
      </c>
      <c r="R532" s="98" t="s">
        <v>2222</v>
      </c>
      <c r="S532" t="s">
        <v>2226</v>
      </c>
      <c r="T532" t="s">
        <v>2109</v>
      </c>
    </row>
    <row r="533" spans="1:20" x14ac:dyDescent="0.25">
      <c r="A533" s="98" t="s">
        <v>133</v>
      </c>
      <c r="B533" s="98" t="s">
        <v>302</v>
      </c>
      <c r="C533" s="98" t="s">
        <v>1179</v>
      </c>
      <c r="D533" s="98" t="s">
        <v>2034</v>
      </c>
      <c r="E533" s="101">
        <v>68206</v>
      </c>
      <c r="F533" s="101">
        <v>219512</v>
      </c>
      <c r="G533" s="98">
        <v>0</v>
      </c>
      <c r="H533" s="101">
        <v>45919</v>
      </c>
      <c r="I533" s="98" t="s">
        <v>2035</v>
      </c>
      <c r="J533" s="98">
        <v>68206</v>
      </c>
      <c r="K533" s="101" t="s">
        <v>2035</v>
      </c>
      <c r="L533" s="98">
        <v>66869</v>
      </c>
      <c r="M533" s="98">
        <v>1337</v>
      </c>
      <c r="N533" s="98">
        <v>2</v>
      </c>
      <c r="O533" s="98" t="s">
        <v>2176</v>
      </c>
      <c r="P533" s="98" t="s">
        <v>2144</v>
      </c>
      <c r="Q533" s="98" t="s">
        <v>2076</v>
      </c>
      <c r="R533" s="98" t="s">
        <v>2222</v>
      </c>
      <c r="S533" t="s">
        <v>2226</v>
      </c>
      <c r="T533" t="s">
        <v>2109</v>
      </c>
    </row>
    <row r="534" spans="1:20" x14ac:dyDescent="0.25">
      <c r="A534" s="98" t="s">
        <v>134</v>
      </c>
      <c r="B534" s="98" t="s">
        <v>304</v>
      </c>
      <c r="C534" s="98" t="s">
        <v>1179</v>
      </c>
      <c r="D534" s="98" t="s">
        <v>2034</v>
      </c>
      <c r="E534" s="101">
        <v>77456</v>
      </c>
      <c r="F534" s="101">
        <v>219512</v>
      </c>
      <c r="G534" s="98">
        <v>0</v>
      </c>
      <c r="H534" s="101">
        <v>45880</v>
      </c>
      <c r="I534" s="98" t="s">
        <v>2035</v>
      </c>
      <c r="J534" s="98">
        <v>77456</v>
      </c>
      <c r="K534" s="101" t="s">
        <v>2035</v>
      </c>
      <c r="L534" s="98">
        <v>67353</v>
      </c>
      <c r="M534" s="98">
        <v>10103</v>
      </c>
      <c r="N534" s="98">
        <v>15</v>
      </c>
      <c r="O534" s="98" t="s">
        <v>2176</v>
      </c>
      <c r="P534" s="98" t="s">
        <v>2144</v>
      </c>
      <c r="Q534" s="98" t="s">
        <v>2076</v>
      </c>
      <c r="R534" s="98" t="s">
        <v>2222</v>
      </c>
      <c r="S534" t="s">
        <v>2226</v>
      </c>
      <c r="T534" t="s">
        <v>2109</v>
      </c>
    </row>
    <row r="535" spans="1:20" x14ac:dyDescent="0.25">
      <c r="A535" s="98" t="s">
        <v>135</v>
      </c>
      <c r="B535" s="98" t="s">
        <v>136</v>
      </c>
      <c r="C535" s="98" t="s">
        <v>1179</v>
      </c>
      <c r="D535" s="98" t="s">
        <v>2034</v>
      </c>
      <c r="E535" s="101">
        <v>42003</v>
      </c>
      <c r="F535" s="101">
        <v>219512</v>
      </c>
      <c r="G535" s="98">
        <v>0</v>
      </c>
      <c r="H535" s="101">
        <v>45919</v>
      </c>
      <c r="I535" s="98" t="s">
        <v>2035</v>
      </c>
      <c r="J535" s="98">
        <v>42003</v>
      </c>
      <c r="K535" s="101" t="s">
        <v>2035</v>
      </c>
      <c r="L535" s="98">
        <v>40780</v>
      </c>
      <c r="M535" s="98">
        <v>1223</v>
      </c>
      <c r="N535" s="98">
        <v>3</v>
      </c>
      <c r="O535" s="98" t="s">
        <v>2176</v>
      </c>
      <c r="P535" s="98" t="s">
        <v>2144</v>
      </c>
      <c r="Q535" s="98" t="s">
        <v>2076</v>
      </c>
      <c r="R535" s="98" t="s">
        <v>2222</v>
      </c>
      <c r="S535" t="s">
        <v>2226</v>
      </c>
      <c r="T535" t="s">
        <v>2113</v>
      </c>
    </row>
    <row r="536" spans="1:20" x14ac:dyDescent="0.25">
      <c r="A536" s="98" t="s">
        <v>137</v>
      </c>
      <c r="B536" s="98" t="s">
        <v>138</v>
      </c>
      <c r="C536" s="98" t="s">
        <v>1179</v>
      </c>
      <c r="D536" s="98" t="s">
        <v>2034</v>
      </c>
      <c r="E536" s="101">
        <v>37173</v>
      </c>
      <c r="F536" s="101">
        <v>219512</v>
      </c>
      <c r="G536" s="98">
        <v>0</v>
      </c>
      <c r="H536" s="101">
        <v>45880</v>
      </c>
      <c r="I536" s="98" t="s">
        <v>2035</v>
      </c>
      <c r="J536" s="98">
        <v>37173</v>
      </c>
      <c r="K536" s="101" t="s">
        <v>2035</v>
      </c>
      <c r="L536" s="98">
        <v>33794</v>
      </c>
      <c r="M536" s="98">
        <v>3379</v>
      </c>
      <c r="N536" s="98">
        <v>10</v>
      </c>
      <c r="O536" s="98" t="s">
        <v>2176</v>
      </c>
      <c r="P536" s="98" t="s">
        <v>2183</v>
      </c>
      <c r="Q536" s="98" t="s">
        <v>2076</v>
      </c>
      <c r="R536" s="98" t="s">
        <v>2227</v>
      </c>
      <c r="S536" t="s">
        <v>2226</v>
      </c>
      <c r="T536" t="s">
        <v>2113</v>
      </c>
    </row>
    <row r="537" spans="1:20" x14ac:dyDescent="0.25">
      <c r="A537" s="98" t="s">
        <v>139</v>
      </c>
      <c r="B537" s="98" t="s">
        <v>1739</v>
      </c>
      <c r="C537" s="98" t="s">
        <v>1179</v>
      </c>
      <c r="D537" s="98" t="s">
        <v>2034</v>
      </c>
      <c r="E537" s="101">
        <v>161050</v>
      </c>
      <c r="F537" s="101">
        <v>219512</v>
      </c>
      <c r="G537" s="98">
        <v>0</v>
      </c>
      <c r="H537" s="101">
        <v>45919</v>
      </c>
      <c r="I537" s="98" t="s">
        <v>2035</v>
      </c>
      <c r="J537" s="98">
        <v>161050</v>
      </c>
      <c r="K537" s="101" t="s">
        <v>2035</v>
      </c>
      <c r="L537" s="98">
        <v>154856</v>
      </c>
      <c r="M537" s="98">
        <v>6194</v>
      </c>
      <c r="N537" s="98">
        <v>4</v>
      </c>
      <c r="O537" s="98" t="s">
        <v>2176</v>
      </c>
      <c r="P537" s="98" t="s">
        <v>2144</v>
      </c>
      <c r="Q537" s="98" t="s">
        <v>2076</v>
      </c>
      <c r="R537" s="98" t="s">
        <v>2222</v>
      </c>
      <c r="S537" t="s">
        <v>2226</v>
      </c>
      <c r="T537" t="s">
        <v>2109</v>
      </c>
    </row>
    <row r="538" spans="1:20" x14ac:dyDescent="0.25">
      <c r="A538" s="98" t="s">
        <v>140</v>
      </c>
      <c r="B538" s="98" t="s">
        <v>1740</v>
      </c>
      <c r="C538" s="98" t="s">
        <v>1179</v>
      </c>
      <c r="D538" s="98" t="s">
        <v>2034</v>
      </c>
      <c r="E538" s="101">
        <v>180428</v>
      </c>
      <c r="F538" s="101">
        <v>219512</v>
      </c>
      <c r="G538" s="98">
        <v>0</v>
      </c>
      <c r="H538" s="101">
        <v>45919</v>
      </c>
      <c r="I538" s="98" t="s">
        <v>2035</v>
      </c>
      <c r="J538" s="98">
        <v>180428</v>
      </c>
      <c r="K538" s="101" t="s">
        <v>2035</v>
      </c>
      <c r="L538" s="98">
        <v>175173</v>
      </c>
      <c r="M538" s="98">
        <v>5255</v>
      </c>
      <c r="N538" s="98">
        <v>3</v>
      </c>
      <c r="O538" s="98" t="s">
        <v>2176</v>
      </c>
      <c r="P538" s="98" t="s">
        <v>2144</v>
      </c>
      <c r="Q538" s="98" t="s">
        <v>2076</v>
      </c>
      <c r="R538" s="98" t="s">
        <v>2222</v>
      </c>
      <c r="S538" t="s">
        <v>2226</v>
      </c>
      <c r="T538" t="s">
        <v>2109</v>
      </c>
    </row>
    <row r="539" spans="1:20" x14ac:dyDescent="0.25">
      <c r="A539" s="98" t="s">
        <v>141</v>
      </c>
      <c r="B539" s="98" t="s">
        <v>1741</v>
      </c>
      <c r="C539" s="98" t="s">
        <v>1179</v>
      </c>
      <c r="D539" s="98" t="s">
        <v>2034</v>
      </c>
      <c r="E539" s="101">
        <v>114089</v>
      </c>
      <c r="F539" s="101">
        <v>219512</v>
      </c>
      <c r="G539" s="98">
        <v>0</v>
      </c>
      <c r="H539" s="101">
        <v>45919</v>
      </c>
      <c r="I539" s="98" t="s">
        <v>2035</v>
      </c>
      <c r="J539" s="98">
        <v>114089</v>
      </c>
      <c r="K539" s="101" t="s">
        <v>2035</v>
      </c>
      <c r="L539" s="98">
        <v>110766</v>
      </c>
      <c r="M539" s="98">
        <v>3323</v>
      </c>
      <c r="N539" s="98">
        <v>3</v>
      </c>
      <c r="O539" s="98" t="s">
        <v>2176</v>
      </c>
      <c r="P539" s="98" t="s">
        <v>2183</v>
      </c>
      <c r="Q539" s="98" t="s">
        <v>2076</v>
      </c>
      <c r="R539" s="98" t="s">
        <v>2227</v>
      </c>
      <c r="S539" t="s">
        <v>2226</v>
      </c>
      <c r="T539" t="s">
        <v>2109</v>
      </c>
    </row>
    <row r="540" spans="1:20" x14ac:dyDescent="0.25">
      <c r="A540" s="98" t="s">
        <v>1742</v>
      </c>
      <c r="B540" s="98" t="s">
        <v>1743</v>
      </c>
      <c r="C540" s="98" t="s">
        <v>1179</v>
      </c>
      <c r="D540" s="98" t="s">
        <v>2034</v>
      </c>
      <c r="E540" s="101">
        <v>97554</v>
      </c>
      <c r="F540" s="101">
        <v>219512</v>
      </c>
      <c r="G540" s="98">
        <v>0</v>
      </c>
      <c r="H540" s="101">
        <v>45880</v>
      </c>
      <c r="I540" s="98" t="s">
        <v>2035</v>
      </c>
      <c r="J540" s="98">
        <v>97554</v>
      </c>
      <c r="K540" s="101" t="s">
        <v>2035</v>
      </c>
      <c r="L540" s="98">
        <v>108393</v>
      </c>
      <c r="M540" s="98">
        <v>-10839</v>
      </c>
      <c r="N540" s="98">
        <v>-10</v>
      </c>
      <c r="O540" s="98" t="s">
        <v>2176</v>
      </c>
      <c r="P540" s="98" t="s">
        <v>2144</v>
      </c>
      <c r="Q540" s="98" t="s">
        <v>2038</v>
      </c>
      <c r="R540" s="98" t="s">
        <v>2222</v>
      </c>
      <c r="S540" t="s">
        <v>2226</v>
      </c>
      <c r="T540" t="s">
        <v>2109</v>
      </c>
    </row>
    <row r="541" spans="1:20" x14ac:dyDescent="0.25">
      <c r="A541" s="98" t="s">
        <v>1744</v>
      </c>
      <c r="B541" s="98" t="s">
        <v>1745</v>
      </c>
      <c r="C541" s="98" t="s">
        <v>1179</v>
      </c>
      <c r="D541" s="98" t="s">
        <v>2034</v>
      </c>
      <c r="E541" s="101">
        <v>23810</v>
      </c>
      <c r="F541" s="101">
        <v>219512</v>
      </c>
      <c r="G541" s="98">
        <v>0</v>
      </c>
      <c r="H541" s="101">
        <v>45880</v>
      </c>
      <c r="I541" s="98" t="s">
        <v>2035</v>
      </c>
      <c r="J541" s="98">
        <v>23810</v>
      </c>
      <c r="K541" s="101" t="s">
        <v>2035</v>
      </c>
      <c r="L541" s="98">
        <v>26455</v>
      </c>
      <c r="M541" s="98">
        <v>-2645</v>
      </c>
      <c r="N541" s="98">
        <v>-10</v>
      </c>
      <c r="O541" s="98" t="s">
        <v>2176</v>
      </c>
      <c r="P541" s="98" t="s">
        <v>2147</v>
      </c>
      <c r="Q541" s="98" t="s">
        <v>2038</v>
      </c>
      <c r="R541" s="98" t="s">
        <v>2222</v>
      </c>
      <c r="S541" t="s">
        <v>2226</v>
      </c>
      <c r="T541" t="s">
        <v>2109</v>
      </c>
    </row>
    <row r="542" spans="1:20" x14ac:dyDescent="0.25">
      <c r="A542" s="98" t="s">
        <v>769</v>
      </c>
      <c r="B542" s="98" t="s">
        <v>775</v>
      </c>
      <c r="C542" s="98" t="s">
        <v>1179</v>
      </c>
      <c r="D542" s="98" t="s">
        <v>2034</v>
      </c>
      <c r="E542" s="101">
        <v>90025</v>
      </c>
      <c r="F542" s="101">
        <v>219512</v>
      </c>
      <c r="G542" s="98">
        <v>0</v>
      </c>
      <c r="H542" s="101">
        <v>45919</v>
      </c>
      <c r="I542" s="98" t="s">
        <v>2035</v>
      </c>
      <c r="J542" s="98">
        <v>90025</v>
      </c>
      <c r="K542" s="101" t="s">
        <v>2035</v>
      </c>
      <c r="L542" s="98">
        <v>87403</v>
      </c>
      <c r="M542" s="98">
        <v>2622</v>
      </c>
      <c r="N542" s="98">
        <v>3</v>
      </c>
      <c r="O542" s="98" t="s">
        <v>2176</v>
      </c>
      <c r="P542" s="98" t="s">
        <v>2183</v>
      </c>
      <c r="Q542" s="98" t="s">
        <v>2076</v>
      </c>
      <c r="R542" s="98" t="s">
        <v>2228</v>
      </c>
      <c r="S542" t="s">
        <v>2056</v>
      </c>
      <c r="T542" t="s">
        <v>2184</v>
      </c>
    </row>
    <row r="543" spans="1:20" x14ac:dyDescent="0.25">
      <c r="A543" s="98" t="s">
        <v>770</v>
      </c>
      <c r="B543" s="98" t="s">
        <v>776</v>
      </c>
      <c r="C543" s="98" t="s">
        <v>1179</v>
      </c>
      <c r="D543" s="98" t="s">
        <v>2034</v>
      </c>
      <c r="E543" s="101">
        <v>31848</v>
      </c>
      <c r="F543" s="101">
        <v>219512</v>
      </c>
      <c r="G543" s="98">
        <v>0</v>
      </c>
      <c r="H543" s="101">
        <v>45919</v>
      </c>
      <c r="I543" s="98" t="s">
        <v>2035</v>
      </c>
      <c r="J543" s="98">
        <v>31848</v>
      </c>
      <c r="K543" s="101" t="s">
        <v>2035</v>
      </c>
      <c r="L543" s="98">
        <v>30920</v>
      </c>
      <c r="M543" s="98">
        <v>928</v>
      </c>
      <c r="N543" s="98">
        <v>3</v>
      </c>
      <c r="O543" s="98" t="s">
        <v>2176</v>
      </c>
      <c r="P543" s="98" t="s">
        <v>2183</v>
      </c>
      <c r="Q543" s="98" t="s">
        <v>2076</v>
      </c>
      <c r="R543" s="98" t="s">
        <v>2228</v>
      </c>
      <c r="S543" t="s">
        <v>2060</v>
      </c>
      <c r="T543" t="s">
        <v>2184</v>
      </c>
    </row>
    <row r="544" spans="1:20" x14ac:dyDescent="0.25">
      <c r="A544" s="98" t="s">
        <v>771</v>
      </c>
      <c r="B544" s="98" t="s">
        <v>777</v>
      </c>
      <c r="C544" s="98" t="s">
        <v>1179</v>
      </c>
      <c r="D544" s="98" t="s">
        <v>2034</v>
      </c>
      <c r="E544" s="101">
        <v>126435</v>
      </c>
      <c r="F544" s="101">
        <v>219512</v>
      </c>
      <c r="G544" s="98">
        <v>0</v>
      </c>
      <c r="H544" s="101">
        <v>45769</v>
      </c>
      <c r="I544" s="98" t="s">
        <v>2035</v>
      </c>
      <c r="J544" s="98">
        <v>126435</v>
      </c>
      <c r="K544" s="101" t="s">
        <v>2035</v>
      </c>
      <c r="L544" s="98">
        <v>132455</v>
      </c>
      <c r="M544" s="98">
        <v>-6020</v>
      </c>
      <c r="N544" s="98">
        <v>-4.54</v>
      </c>
      <c r="O544" s="98" t="s">
        <v>2176</v>
      </c>
      <c r="P544" s="98" t="s">
        <v>2183</v>
      </c>
      <c r="Q544" s="98" t="s">
        <v>2076</v>
      </c>
      <c r="R544" s="98" t="s">
        <v>2228</v>
      </c>
      <c r="S544" t="s">
        <v>2056</v>
      </c>
      <c r="T544" t="s">
        <v>2184</v>
      </c>
    </row>
    <row r="545" spans="1:20" x14ac:dyDescent="0.25">
      <c r="A545" s="98" t="s">
        <v>142</v>
      </c>
      <c r="B545" s="98" t="s">
        <v>1746</v>
      </c>
      <c r="C545" s="98" t="s">
        <v>1179</v>
      </c>
      <c r="D545" s="98" t="s">
        <v>2034</v>
      </c>
      <c r="E545" s="101">
        <v>49368</v>
      </c>
      <c r="F545" s="101">
        <v>219512</v>
      </c>
      <c r="G545" s="98">
        <v>0</v>
      </c>
      <c r="H545" s="101">
        <v>45817</v>
      </c>
      <c r="I545" s="98" t="s">
        <v>2035</v>
      </c>
      <c r="J545" s="98">
        <v>49368</v>
      </c>
      <c r="K545" s="101" t="s">
        <v>2035</v>
      </c>
      <c r="L545" s="98">
        <v>54853</v>
      </c>
      <c r="M545" s="98">
        <v>-5485</v>
      </c>
      <c r="N545" s="98">
        <v>-10</v>
      </c>
      <c r="O545" s="98" t="s">
        <v>2150</v>
      </c>
      <c r="P545" s="98" t="s">
        <v>2183</v>
      </c>
      <c r="Q545" s="98" t="s">
        <v>2038</v>
      </c>
      <c r="R545" s="98" t="s">
        <v>2229</v>
      </c>
      <c r="S545" t="s">
        <v>2056</v>
      </c>
      <c r="T545" t="s">
        <v>2184</v>
      </c>
    </row>
    <row r="546" spans="1:20" x14ac:dyDescent="0.25">
      <c r="A546" s="98" t="s">
        <v>143</v>
      </c>
      <c r="B546" s="98" t="s">
        <v>1747</v>
      </c>
      <c r="C546" s="98" t="s">
        <v>1179</v>
      </c>
      <c r="D546" s="98" t="s">
        <v>2034</v>
      </c>
      <c r="E546" s="101">
        <v>57645</v>
      </c>
      <c r="F546" s="101">
        <v>219512</v>
      </c>
      <c r="G546" s="98">
        <v>0</v>
      </c>
      <c r="H546" s="101">
        <v>45817</v>
      </c>
      <c r="I546" s="98" t="s">
        <v>2035</v>
      </c>
      <c r="J546" s="98">
        <v>57645</v>
      </c>
      <c r="K546" s="101" t="s">
        <v>2035</v>
      </c>
      <c r="L546" s="98">
        <v>64050</v>
      </c>
      <c r="M546" s="98">
        <v>-6405</v>
      </c>
      <c r="N546" s="98">
        <v>-10</v>
      </c>
      <c r="O546" s="98" t="s">
        <v>2150</v>
      </c>
      <c r="P546" s="98" t="s">
        <v>2183</v>
      </c>
      <c r="Q546" s="98" t="s">
        <v>2038</v>
      </c>
      <c r="R546" s="98" t="s">
        <v>2229</v>
      </c>
      <c r="S546" t="s">
        <v>2056</v>
      </c>
      <c r="T546" t="s">
        <v>2184</v>
      </c>
    </row>
    <row r="547" spans="1:20" x14ac:dyDescent="0.25">
      <c r="A547" s="98" t="s">
        <v>144</v>
      </c>
      <c r="B547" s="98" t="s">
        <v>1748</v>
      </c>
      <c r="C547" s="98" t="s">
        <v>1179</v>
      </c>
      <c r="D547" s="98" t="s">
        <v>2034</v>
      </c>
      <c r="E547" s="101">
        <v>62811</v>
      </c>
      <c r="F547" s="101">
        <v>219512</v>
      </c>
      <c r="G547" s="98">
        <v>0</v>
      </c>
      <c r="H547" s="101">
        <v>45817</v>
      </c>
      <c r="I547" s="98" t="s">
        <v>2035</v>
      </c>
      <c r="J547" s="98">
        <v>62811</v>
      </c>
      <c r="K547" s="101" t="s">
        <v>2035</v>
      </c>
      <c r="L547" s="98">
        <v>69790</v>
      </c>
      <c r="M547" s="98">
        <v>-6979</v>
      </c>
      <c r="N547" s="98">
        <v>-10</v>
      </c>
      <c r="O547" s="98" t="s">
        <v>2150</v>
      </c>
      <c r="P547" s="98" t="s">
        <v>2183</v>
      </c>
      <c r="Q547" s="98" t="s">
        <v>2038</v>
      </c>
      <c r="R547" s="98" t="s">
        <v>2229</v>
      </c>
      <c r="S547" t="s">
        <v>2056</v>
      </c>
      <c r="T547" t="s">
        <v>2184</v>
      </c>
    </row>
    <row r="548" spans="1:20" x14ac:dyDescent="0.25">
      <c r="A548" s="98" t="s">
        <v>145</v>
      </c>
      <c r="B548" s="98" t="s">
        <v>1749</v>
      </c>
      <c r="C548" s="98" t="s">
        <v>1179</v>
      </c>
      <c r="D548" s="98" t="s">
        <v>2034</v>
      </c>
      <c r="E548" s="101">
        <v>80752</v>
      </c>
      <c r="F548" s="101">
        <v>219512</v>
      </c>
      <c r="G548" s="98">
        <v>0</v>
      </c>
      <c r="H548" s="101">
        <v>45817</v>
      </c>
      <c r="I548" s="98" t="s">
        <v>2035</v>
      </c>
      <c r="J548" s="98">
        <v>80752</v>
      </c>
      <c r="K548" s="101" t="s">
        <v>2035</v>
      </c>
      <c r="L548" s="98">
        <v>89724</v>
      </c>
      <c r="M548" s="98">
        <v>-8972</v>
      </c>
      <c r="N548" s="98">
        <v>-10</v>
      </c>
      <c r="O548" s="98" t="s">
        <v>2150</v>
      </c>
      <c r="P548" s="98" t="s">
        <v>2183</v>
      </c>
      <c r="Q548" s="98" t="s">
        <v>2050</v>
      </c>
      <c r="R548" s="98" t="s">
        <v>2229</v>
      </c>
      <c r="S548" t="s">
        <v>2056</v>
      </c>
      <c r="T548" t="s">
        <v>2184</v>
      </c>
    </row>
    <row r="549" spans="1:20" x14ac:dyDescent="0.25">
      <c r="A549" s="98" t="s">
        <v>146</v>
      </c>
      <c r="B549" s="98" t="s">
        <v>1750</v>
      </c>
      <c r="C549" s="98" t="s">
        <v>1179</v>
      </c>
      <c r="D549" s="98" t="s">
        <v>2034</v>
      </c>
      <c r="E549" s="101">
        <v>45105</v>
      </c>
      <c r="F549" s="101">
        <v>219512</v>
      </c>
      <c r="G549" s="98">
        <v>0</v>
      </c>
      <c r="H549" s="101">
        <v>45817</v>
      </c>
      <c r="I549" s="98" t="s">
        <v>2035</v>
      </c>
      <c r="J549" s="98">
        <v>45105</v>
      </c>
      <c r="K549" s="101" t="s">
        <v>2035</v>
      </c>
      <c r="L549" s="98">
        <v>50117</v>
      </c>
      <c r="M549" s="98">
        <v>-5012</v>
      </c>
      <c r="N549" s="98">
        <v>-10</v>
      </c>
      <c r="O549" s="98" t="s">
        <v>2176</v>
      </c>
      <c r="P549" s="98" t="s">
        <v>2183</v>
      </c>
      <c r="Q549" s="98" t="s">
        <v>2050</v>
      </c>
      <c r="R549" s="98" t="s">
        <v>2229</v>
      </c>
      <c r="S549" t="s">
        <v>2056</v>
      </c>
      <c r="T549" t="s">
        <v>2184</v>
      </c>
    </row>
    <row r="550" spans="1:20" x14ac:dyDescent="0.25">
      <c r="A550" s="98" t="s">
        <v>730</v>
      </c>
      <c r="B550" s="98" t="s">
        <v>1751</v>
      </c>
      <c r="C550" s="98" t="s">
        <v>1179</v>
      </c>
      <c r="D550" s="98" t="s">
        <v>2034</v>
      </c>
      <c r="E550" s="101">
        <v>31072</v>
      </c>
      <c r="F550" s="101">
        <v>219512</v>
      </c>
      <c r="G550" s="98">
        <v>0</v>
      </c>
      <c r="H550" s="101">
        <v>45919</v>
      </c>
      <c r="I550" s="98" t="s">
        <v>2035</v>
      </c>
      <c r="J550" s="98">
        <v>31072</v>
      </c>
      <c r="K550" s="101" t="s">
        <v>2035</v>
      </c>
      <c r="L550" s="98">
        <v>29592</v>
      </c>
      <c r="M550" s="98">
        <v>1480</v>
      </c>
      <c r="N550" s="98">
        <v>5</v>
      </c>
      <c r="O550" s="98" t="s">
        <v>2176</v>
      </c>
      <c r="P550" s="98" t="s">
        <v>2183</v>
      </c>
      <c r="Q550" s="98" t="s">
        <v>2076</v>
      </c>
      <c r="R550" s="98" t="s">
        <v>2228</v>
      </c>
      <c r="S550" t="s">
        <v>2058</v>
      </c>
      <c r="T550" t="s">
        <v>2184</v>
      </c>
    </row>
    <row r="551" spans="1:20" x14ac:dyDescent="0.25">
      <c r="A551" s="98" t="s">
        <v>731</v>
      </c>
      <c r="B551" s="98" t="s">
        <v>733</v>
      </c>
      <c r="C551" s="98" t="s">
        <v>1179</v>
      </c>
      <c r="D551" s="98" t="s">
        <v>2034</v>
      </c>
      <c r="E551" s="101">
        <v>111385</v>
      </c>
      <c r="F551" s="101">
        <v>219512</v>
      </c>
      <c r="G551" s="98">
        <v>0</v>
      </c>
      <c r="H551" s="101">
        <v>45919</v>
      </c>
      <c r="I551" s="98" t="s">
        <v>2035</v>
      </c>
      <c r="J551" s="98">
        <v>111385</v>
      </c>
      <c r="K551" s="101" t="s">
        <v>2035</v>
      </c>
      <c r="L551" s="98">
        <v>106081</v>
      </c>
      <c r="M551" s="98">
        <v>5304</v>
      </c>
      <c r="N551" s="98">
        <v>5</v>
      </c>
      <c r="O551" s="98" t="s">
        <v>2176</v>
      </c>
      <c r="P551" s="98" t="s">
        <v>2183</v>
      </c>
      <c r="Q551" s="98" t="s">
        <v>2076</v>
      </c>
      <c r="R551" s="98" t="s">
        <v>2228</v>
      </c>
      <c r="S551" t="s">
        <v>2056</v>
      </c>
      <c r="T551" t="s">
        <v>2184</v>
      </c>
    </row>
    <row r="552" spans="1:20" x14ac:dyDescent="0.25">
      <c r="A552" s="98" t="s">
        <v>1752</v>
      </c>
      <c r="B552" s="98" t="s">
        <v>1753</v>
      </c>
      <c r="C552" s="98" t="s">
        <v>1179</v>
      </c>
      <c r="D552" s="98" t="s">
        <v>2034</v>
      </c>
      <c r="E552" s="101">
        <v>50331</v>
      </c>
      <c r="F552" s="101">
        <v>219512</v>
      </c>
      <c r="G552" s="98">
        <v>0</v>
      </c>
      <c r="H552" s="101">
        <v>45919</v>
      </c>
      <c r="I552" s="98" t="s">
        <v>2035</v>
      </c>
      <c r="J552" s="98">
        <v>50331</v>
      </c>
      <c r="K552" s="101" t="s">
        <v>2035</v>
      </c>
      <c r="L552" s="98">
        <v>47934</v>
      </c>
      <c r="M552" s="98">
        <v>2397</v>
      </c>
      <c r="N552" s="98">
        <v>5</v>
      </c>
      <c r="O552" s="98" t="s">
        <v>2176</v>
      </c>
      <c r="P552" s="98" t="s">
        <v>2183</v>
      </c>
      <c r="Q552" s="98" t="s">
        <v>2076</v>
      </c>
      <c r="R552" s="98" t="s">
        <v>2228</v>
      </c>
      <c r="S552" t="s">
        <v>2058</v>
      </c>
      <c r="T552" t="s">
        <v>2184</v>
      </c>
    </row>
    <row r="553" spans="1:20" x14ac:dyDescent="0.25">
      <c r="A553" s="98" t="s">
        <v>736</v>
      </c>
      <c r="B553" s="98" t="s">
        <v>740</v>
      </c>
      <c r="C553" s="98" t="s">
        <v>1179</v>
      </c>
      <c r="D553" s="98" t="s">
        <v>2034</v>
      </c>
      <c r="E553" s="101">
        <v>78813</v>
      </c>
      <c r="F553" s="101">
        <v>219512</v>
      </c>
      <c r="G553" s="98">
        <v>0</v>
      </c>
      <c r="H553" s="101">
        <v>45919</v>
      </c>
      <c r="I553" s="98" t="s">
        <v>2035</v>
      </c>
      <c r="J553" s="98">
        <v>78813</v>
      </c>
      <c r="K553" s="101" t="s">
        <v>2035</v>
      </c>
      <c r="L553" s="98">
        <v>75060</v>
      </c>
      <c r="M553" s="98">
        <v>3753</v>
      </c>
      <c r="N553" s="98">
        <v>5</v>
      </c>
      <c r="O553" s="98" t="s">
        <v>2176</v>
      </c>
      <c r="P553" s="98" t="s">
        <v>2183</v>
      </c>
      <c r="Q553" s="98" t="s">
        <v>2076</v>
      </c>
      <c r="R553" s="98" t="s">
        <v>2195</v>
      </c>
      <c r="S553" t="s">
        <v>2085</v>
      </c>
      <c r="T553" t="s">
        <v>2184</v>
      </c>
    </row>
    <row r="554" spans="1:20" x14ac:dyDescent="0.25">
      <c r="A554" s="98" t="s">
        <v>737</v>
      </c>
      <c r="B554" s="98" t="s">
        <v>741</v>
      </c>
      <c r="C554" s="98" t="s">
        <v>1179</v>
      </c>
      <c r="D554" s="98" t="s">
        <v>2034</v>
      </c>
      <c r="E554" s="101">
        <v>96941</v>
      </c>
      <c r="F554" s="101">
        <v>219512</v>
      </c>
      <c r="G554" s="98">
        <v>0</v>
      </c>
      <c r="H554" s="101">
        <v>45919</v>
      </c>
      <c r="I554" s="98" t="s">
        <v>2035</v>
      </c>
      <c r="J554" s="98">
        <v>96941</v>
      </c>
      <c r="K554" s="101" t="s">
        <v>2035</v>
      </c>
      <c r="L554" s="98">
        <v>94117</v>
      </c>
      <c r="M554" s="98">
        <v>2824</v>
      </c>
      <c r="N554" s="98">
        <v>3</v>
      </c>
      <c r="O554" s="98" t="s">
        <v>2176</v>
      </c>
      <c r="P554" s="98" t="s">
        <v>2183</v>
      </c>
      <c r="Q554" s="98" t="s">
        <v>2076</v>
      </c>
      <c r="R554" s="98" t="s">
        <v>2195</v>
      </c>
      <c r="S554" t="s">
        <v>2060</v>
      </c>
      <c r="T554" t="s">
        <v>2184</v>
      </c>
    </row>
    <row r="555" spans="1:20" x14ac:dyDescent="0.25">
      <c r="A555" s="98" t="s">
        <v>995</v>
      </c>
      <c r="B555" s="98" t="s">
        <v>997</v>
      </c>
      <c r="C555" s="98" t="s">
        <v>1179</v>
      </c>
      <c r="D555" s="98" t="s">
        <v>2034</v>
      </c>
      <c r="E555" s="101">
        <v>58344</v>
      </c>
      <c r="F555" s="101">
        <v>219512</v>
      </c>
      <c r="G555" s="98">
        <v>0</v>
      </c>
      <c r="H555" s="101">
        <v>45919</v>
      </c>
      <c r="I555" s="98" t="s">
        <v>2035</v>
      </c>
      <c r="J555" s="98">
        <v>58344</v>
      </c>
      <c r="K555" s="101" t="s">
        <v>2035</v>
      </c>
      <c r="L555" s="98">
        <v>54022</v>
      </c>
      <c r="M555" s="98">
        <v>4322</v>
      </c>
      <c r="N555" s="98">
        <v>8</v>
      </c>
      <c r="O555" s="98" t="s">
        <v>2176</v>
      </c>
      <c r="P555" s="98" t="s">
        <v>2183</v>
      </c>
      <c r="Q555" s="98" t="s">
        <v>2076</v>
      </c>
      <c r="R555" s="98" t="s">
        <v>2195</v>
      </c>
      <c r="S555" t="s">
        <v>2071</v>
      </c>
      <c r="T555" t="s">
        <v>2184</v>
      </c>
    </row>
    <row r="556" spans="1:20" x14ac:dyDescent="0.25">
      <c r="A556" s="98" t="s">
        <v>989</v>
      </c>
      <c r="B556" s="98" t="s">
        <v>993</v>
      </c>
      <c r="C556" s="98" t="s">
        <v>1179</v>
      </c>
      <c r="D556" s="98" t="s">
        <v>2034</v>
      </c>
      <c r="E556" s="101">
        <v>22646</v>
      </c>
      <c r="F556" s="101">
        <v>219512</v>
      </c>
      <c r="G556" s="98">
        <v>0</v>
      </c>
      <c r="H556" s="101">
        <v>45919</v>
      </c>
      <c r="I556" s="98" t="s">
        <v>2035</v>
      </c>
      <c r="J556" s="98">
        <v>22646</v>
      </c>
      <c r="K556" s="101" t="s">
        <v>2035</v>
      </c>
      <c r="L556" s="98">
        <v>20587</v>
      </c>
      <c r="M556" s="98">
        <v>2059</v>
      </c>
      <c r="N556" s="98">
        <v>10</v>
      </c>
      <c r="O556" s="98" t="s">
        <v>2150</v>
      </c>
      <c r="P556" s="98" t="s">
        <v>2183</v>
      </c>
      <c r="Q556" s="98" t="s">
        <v>2038</v>
      </c>
      <c r="R556" s="98" t="s">
        <v>2229</v>
      </c>
      <c r="S556" t="s">
        <v>2060</v>
      </c>
      <c r="T556" t="s">
        <v>2184</v>
      </c>
    </row>
    <row r="557" spans="1:20" x14ac:dyDescent="0.25">
      <c r="A557" s="98" t="s">
        <v>2230</v>
      </c>
      <c r="B557" s="98" t="s">
        <v>2231</v>
      </c>
      <c r="C557" s="98" t="s">
        <v>1179</v>
      </c>
      <c r="D557" s="98" t="s">
        <v>2034</v>
      </c>
      <c r="E557" s="101">
        <v>20469</v>
      </c>
      <c r="F557" s="101">
        <v>219512</v>
      </c>
      <c r="G557" s="98">
        <v>0</v>
      </c>
      <c r="H557" s="101">
        <v>45919</v>
      </c>
      <c r="I557" s="98" t="s">
        <v>2035</v>
      </c>
      <c r="J557" s="98">
        <v>20469</v>
      </c>
      <c r="K557" s="101" t="s">
        <v>2054</v>
      </c>
      <c r="L557" s="98">
        <v>0</v>
      </c>
      <c r="M557" s="98">
        <v>20469</v>
      </c>
      <c r="N557" s="98">
        <v>0</v>
      </c>
      <c r="O557" s="98" t="s">
        <v>2150</v>
      </c>
      <c r="P557" s="98" t="s">
        <v>2183</v>
      </c>
      <c r="Q557" s="98" t="s">
        <v>2038</v>
      </c>
      <c r="R557" s="98" t="s">
        <v>2229</v>
      </c>
      <c r="S557" t="s">
        <v>2060</v>
      </c>
      <c r="T557" t="s">
        <v>2184</v>
      </c>
    </row>
    <row r="558" spans="1:20" x14ac:dyDescent="0.25">
      <c r="A558" s="98" t="s">
        <v>990</v>
      </c>
      <c r="B558" s="98" t="s">
        <v>994</v>
      </c>
      <c r="C558" s="98" t="s">
        <v>1179</v>
      </c>
      <c r="D558" s="98" t="s">
        <v>2034</v>
      </c>
      <c r="E558" s="101">
        <v>55182</v>
      </c>
      <c r="F558" s="101">
        <v>219512</v>
      </c>
      <c r="G558" s="98">
        <v>0</v>
      </c>
      <c r="H558" s="101">
        <v>45919</v>
      </c>
      <c r="I558" s="98" t="s">
        <v>2035</v>
      </c>
      <c r="J558" s="98">
        <v>55182</v>
      </c>
      <c r="K558" s="101" t="s">
        <v>2035</v>
      </c>
      <c r="L558" s="98">
        <v>51094</v>
      </c>
      <c r="M558" s="98">
        <v>4088</v>
      </c>
      <c r="N558" s="98">
        <v>8</v>
      </c>
      <c r="O558" s="98" t="s">
        <v>2150</v>
      </c>
      <c r="P558" s="98" t="s">
        <v>2183</v>
      </c>
      <c r="Q558" s="98" t="s">
        <v>2038</v>
      </c>
      <c r="R558" s="98" t="s">
        <v>2229</v>
      </c>
      <c r="S558" t="s">
        <v>2056</v>
      </c>
      <c r="T558" t="s">
        <v>2184</v>
      </c>
    </row>
    <row r="559" spans="1:20" x14ac:dyDescent="0.25">
      <c r="A559" s="98" t="s">
        <v>2232</v>
      </c>
      <c r="B559" s="98" t="s">
        <v>2233</v>
      </c>
      <c r="C559" s="98" t="s">
        <v>1179</v>
      </c>
      <c r="D559" s="98" t="s">
        <v>2034</v>
      </c>
      <c r="E559" s="101">
        <v>108640</v>
      </c>
      <c r="F559" s="101">
        <v>219512</v>
      </c>
      <c r="G559" s="98">
        <v>0</v>
      </c>
      <c r="H559" s="101">
        <v>45919</v>
      </c>
      <c r="I559" s="98" t="s">
        <v>2035</v>
      </c>
      <c r="J559" s="98">
        <v>108640</v>
      </c>
      <c r="K559" s="101" t="s">
        <v>2054</v>
      </c>
      <c r="L559" s="98">
        <v>0</v>
      </c>
      <c r="M559" s="98">
        <v>108640</v>
      </c>
      <c r="N559" s="98">
        <v>0</v>
      </c>
      <c r="O559" s="98" t="s">
        <v>2176</v>
      </c>
      <c r="P559" s="98" t="s">
        <v>2183</v>
      </c>
      <c r="Q559" s="98" t="s">
        <v>2076</v>
      </c>
      <c r="R559" s="98" t="s">
        <v>2195</v>
      </c>
      <c r="S559" t="s">
        <v>2047</v>
      </c>
      <c r="T559" t="s">
        <v>2184</v>
      </c>
    </row>
    <row r="560" spans="1:20" x14ac:dyDescent="0.25">
      <c r="A560" s="98" t="s">
        <v>2234</v>
      </c>
      <c r="B560" s="98" t="s">
        <v>2235</v>
      </c>
      <c r="C560" s="98" t="s">
        <v>1179</v>
      </c>
      <c r="D560" s="98" t="s">
        <v>2034</v>
      </c>
      <c r="E560" s="101">
        <v>128897</v>
      </c>
      <c r="F560" s="101">
        <v>219512</v>
      </c>
      <c r="G560" s="98">
        <v>0</v>
      </c>
      <c r="H560" s="101">
        <v>45919</v>
      </c>
      <c r="I560" s="98" t="s">
        <v>2035</v>
      </c>
      <c r="J560" s="98">
        <v>128897</v>
      </c>
      <c r="K560" s="101" t="s">
        <v>2054</v>
      </c>
      <c r="L560" s="98">
        <v>0</v>
      </c>
      <c r="M560" s="98">
        <v>128897</v>
      </c>
      <c r="N560" s="98">
        <v>0</v>
      </c>
      <c r="O560" s="98" t="s">
        <v>2176</v>
      </c>
      <c r="P560" s="98" t="s">
        <v>2183</v>
      </c>
      <c r="Q560" s="98" t="s">
        <v>2076</v>
      </c>
      <c r="R560" s="98" t="s">
        <v>2195</v>
      </c>
      <c r="S560" t="s">
        <v>2236</v>
      </c>
      <c r="T560" t="s">
        <v>2184</v>
      </c>
    </row>
    <row r="561" spans="1:20" x14ac:dyDescent="0.25">
      <c r="A561" s="98" t="s">
        <v>986</v>
      </c>
      <c r="B561" s="98" t="s">
        <v>988</v>
      </c>
      <c r="C561" s="98" t="s">
        <v>1179</v>
      </c>
      <c r="D561" s="98" t="s">
        <v>2034</v>
      </c>
      <c r="E561" s="101">
        <v>29849</v>
      </c>
      <c r="F561" s="101">
        <v>219512</v>
      </c>
      <c r="G561" s="98">
        <v>0</v>
      </c>
      <c r="H561" s="101">
        <v>45919</v>
      </c>
      <c r="I561" s="98" t="s">
        <v>2035</v>
      </c>
      <c r="J561" s="98">
        <v>29849</v>
      </c>
      <c r="K561" s="101" t="s">
        <v>2035</v>
      </c>
      <c r="L561" s="98">
        <v>27135</v>
      </c>
      <c r="M561" s="98">
        <v>2714</v>
      </c>
      <c r="N561" s="98">
        <v>10</v>
      </c>
      <c r="O561" s="98" t="s">
        <v>2150</v>
      </c>
      <c r="P561" s="98" t="s">
        <v>2183</v>
      </c>
      <c r="Q561" s="98" t="s">
        <v>2076</v>
      </c>
      <c r="R561" s="98" t="s">
        <v>2195</v>
      </c>
      <c r="S561" t="s">
        <v>2058</v>
      </c>
      <c r="T561" t="s">
        <v>2184</v>
      </c>
    </row>
    <row r="562" spans="1:20" x14ac:dyDescent="0.25">
      <c r="A562" s="98" t="s">
        <v>2237</v>
      </c>
      <c r="B562" s="98" t="s">
        <v>2238</v>
      </c>
      <c r="C562" s="98" t="s">
        <v>1179</v>
      </c>
      <c r="D562" s="98" t="s">
        <v>2034</v>
      </c>
      <c r="E562" s="101">
        <v>48279</v>
      </c>
      <c r="F562" s="101">
        <v>219512</v>
      </c>
      <c r="G562" s="98">
        <v>0</v>
      </c>
      <c r="H562" s="101">
        <v>45919</v>
      </c>
      <c r="I562" s="98" t="s">
        <v>2035</v>
      </c>
      <c r="J562" s="98">
        <v>48279</v>
      </c>
      <c r="K562" s="101" t="s">
        <v>2054</v>
      </c>
      <c r="L562" s="98">
        <v>0</v>
      </c>
      <c r="M562" s="98">
        <v>48279</v>
      </c>
      <c r="N562" s="98">
        <v>0</v>
      </c>
      <c r="O562" s="98" t="s">
        <v>2150</v>
      </c>
      <c r="P562" s="98" t="s">
        <v>2183</v>
      </c>
      <c r="Q562" s="98" t="s">
        <v>2076</v>
      </c>
      <c r="R562" s="98" t="s">
        <v>2195</v>
      </c>
      <c r="S562" t="s">
        <v>2058</v>
      </c>
      <c r="T562" t="s">
        <v>2184</v>
      </c>
    </row>
    <row r="563" spans="1:20" x14ac:dyDescent="0.25">
      <c r="A563" s="98" t="s">
        <v>2239</v>
      </c>
      <c r="B563" s="98" t="s">
        <v>2240</v>
      </c>
      <c r="C563" s="98" t="s">
        <v>1179</v>
      </c>
      <c r="D563" s="98" t="s">
        <v>2034</v>
      </c>
      <c r="E563" s="101">
        <v>69605</v>
      </c>
      <c r="F563" s="101">
        <v>219512</v>
      </c>
      <c r="G563" s="98">
        <v>0</v>
      </c>
      <c r="H563" s="101">
        <v>45919</v>
      </c>
      <c r="I563" s="98" t="s">
        <v>2035</v>
      </c>
      <c r="J563" s="98">
        <v>69605</v>
      </c>
      <c r="K563" s="101" t="s">
        <v>2054</v>
      </c>
      <c r="L563" s="98">
        <v>0</v>
      </c>
      <c r="M563" s="98">
        <v>69605</v>
      </c>
      <c r="N563" s="98">
        <v>0</v>
      </c>
      <c r="O563" s="98" t="s">
        <v>2150</v>
      </c>
      <c r="P563" s="98" t="s">
        <v>2183</v>
      </c>
      <c r="Q563" s="98" t="s">
        <v>2076</v>
      </c>
      <c r="R563" s="98" t="s">
        <v>2195</v>
      </c>
      <c r="S563" t="s">
        <v>2058</v>
      </c>
      <c r="T563" t="s">
        <v>2184</v>
      </c>
    </row>
    <row r="564" spans="1:20" x14ac:dyDescent="0.25">
      <c r="A564" s="98" t="s">
        <v>2241</v>
      </c>
      <c r="B564" s="98" t="s">
        <v>2242</v>
      </c>
      <c r="C564" s="98" t="s">
        <v>1179</v>
      </c>
      <c r="D564" s="98" t="s">
        <v>2034</v>
      </c>
      <c r="E564" s="101">
        <v>22004</v>
      </c>
      <c r="F564" s="101">
        <v>219512</v>
      </c>
      <c r="G564" s="98">
        <v>0</v>
      </c>
      <c r="H564" s="101">
        <v>45919</v>
      </c>
      <c r="I564" s="98" t="s">
        <v>2035</v>
      </c>
      <c r="J564" s="98">
        <v>22004</v>
      </c>
      <c r="K564" s="101" t="s">
        <v>2054</v>
      </c>
      <c r="L564" s="98">
        <v>0</v>
      </c>
      <c r="M564" s="98">
        <v>22004</v>
      </c>
      <c r="N564" s="98">
        <v>0</v>
      </c>
      <c r="O564" s="98" t="s">
        <v>2150</v>
      </c>
      <c r="P564" s="98" t="s">
        <v>2183</v>
      </c>
      <c r="Q564" s="98" t="s">
        <v>2076</v>
      </c>
      <c r="R564" s="98" t="s">
        <v>2195</v>
      </c>
      <c r="S564" t="s">
        <v>2058</v>
      </c>
      <c r="T564" t="s">
        <v>2184</v>
      </c>
    </row>
    <row r="565" spans="1:20" x14ac:dyDescent="0.25">
      <c r="A565" s="98" t="s">
        <v>2243</v>
      </c>
      <c r="B565" s="98" t="s">
        <v>2244</v>
      </c>
      <c r="C565" s="98" t="s">
        <v>1179</v>
      </c>
      <c r="D565" s="98" t="s">
        <v>2034</v>
      </c>
      <c r="E565" s="101">
        <v>32498</v>
      </c>
      <c r="F565" s="101">
        <v>219512</v>
      </c>
      <c r="G565" s="98">
        <v>0</v>
      </c>
      <c r="H565" s="101">
        <v>45919</v>
      </c>
      <c r="I565" s="98" t="s">
        <v>2035</v>
      </c>
      <c r="J565" s="98">
        <v>32498</v>
      </c>
      <c r="K565" s="101" t="s">
        <v>2054</v>
      </c>
      <c r="L565" s="98">
        <v>0</v>
      </c>
      <c r="M565" s="98">
        <v>32498</v>
      </c>
      <c r="N565" s="98">
        <v>0</v>
      </c>
      <c r="O565" s="98" t="s">
        <v>2150</v>
      </c>
      <c r="P565" s="98" t="s">
        <v>2183</v>
      </c>
      <c r="Q565" s="98" t="s">
        <v>2076</v>
      </c>
      <c r="R565" s="98" t="s">
        <v>2195</v>
      </c>
      <c r="S565" t="s">
        <v>2058</v>
      </c>
      <c r="T565" t="s">
        <v>2184</v>
      </c>
    </row>
    <row r="566" spans="1:20" x14ac:dyDescent="0.25">
      <c r="A566" s="98" t="s">
        <v>2245</v>
      </c>
      <c r="B566" s="98" t="s">
        <v>2246</v>
      </c>
      <c r="C566" s="98" t="s">
        <v>1179</v>
      </c>
      <c r="D566" s="98" t="s">
        <v>2034</v>
      </c>
      <c r="E566" s="101">
        <v>53427</v>
      </c>
      <c r="F566" s="101">
        <v>219512</v>
      </c>
      <c r="G566" s="98">
        <v>0</v>
      </c>
      <c r="H566" s="101">
        <v>45919</v>
      </c>
      <c r="I566" s="98" t="s">
        <v>2035</v>
      </c>
      <c r="J566" s="98">
        <v>53427</v>
      </c>
      <c r="K566" s="101" t="s">
        <v>2054</v>
      </c>
      <c r="L566" s="98">
        <v>0</v>
      </c>
      <c r="M566" s="98">
        <v>53427</v>
      </c>
      <c r="N566" s="98">
        <v>0</v>
      </c>
      <c r="O566" s="98" t="s">
        <v>2150</v>
      </c>
      <c r="P566" s="98" t="s">
        <v>2183</v>
      </c>
      <c r="Q566" s="98" t="s">
        <v>2076</v>
      </c>
      <c r="R566" s="98" t="s">
        <v>2195</v>
      </c>
      <c r="S566" t="s">
        <v>2058</v>
      </c>
      <c r="T566" t="s">
        <v>2184</v>
      </c>
    </row>
    <row r="567" spans="1:20" x14ac:dyDescent="0.25">
      <c r="A567" s="98" t="s">
        <v>2247</v>
      </c>
      <c r="B567" s="98" t="s">
        <v>2248</v>
      </c>
      <c r="C567" s="98" t="s">
        <v>1179</v>
      </c>
      <c r="D567" s="98" t="s">
        <v>2034</v>
      </c>
      <c r="E567" s="101">
        <v>87215</v>
      </c>
      <c r="F567" s="101">
        <v>219512</v>
      </c>
      <c r="G567" s="98">
        <v>0</v>
      </c>
      <c r="H567" s="101">
        <v>45919</v>
      </c>
      <c r="I567" s="98" t="s">
        <v>2035</v>
      </c>
      <c r="J567" s="98">
        <v>87215</v>
      </c>
      <c r="K567" s="101" t="s">
        <v>2054</v>
      </c>
      <c r="L567" s="98">
        <v>0</v>
      </c>
      <c r="M567" s="98">
        <v>87215</v>
      </c>
      <c r="N567" s="98">
        <v>0</v>
      </c>
      <c r="O567" s="98" t="s">
        <v>2150</v>
      </c>
      <c r="P567" s="98" t="s">
        <v>2183</v>
      </c>
      <c r="Q567" s="98" t="s">
        <v>2076</v>
      </c>
      <c r="R567" s="98" t="s">
        <v>2195</v>
      </c>
      <c r="S567" t="s">
        <v>2071</v>
      </c>
      <c r="T567" t="s">
        <v>2184</v>
      </c>
    </row>
    <row r="568" spans="1:20" x14ac:dyDescent="0.25">
      <c r="A568" s="98" t="s">
        <v>2249</v>
      </c>
      <c r="B568" s="98" t="s">
        <v>2250</v>
      </c>
      <c r="C568" s="98" t="s">
        <v>1179</v>
      </c>
      <c r="D568" s="98" t="s">
        <v>2034</v>
      </c>
      <c r="E568" s="101">
        <v>72743</v>
      </c>
      <c r="F568" s="101">
        <v>219512</v>
      </c>
      <c r="G568" s="98">
        <v>0</v>
      </c>
      <c r="H568" s="101">
        <v>45919</v>
      </c>
      <c r="I568" s="98" t="s">
        <v>2035</v>
      </c>
      <c r="J568" s="98">
        <v>72743</v>
      </c>
      <c r="K568" s="101" t="s">
        <v>2054</v>
      </c>
      <c r="L568" s="98">
        <v>0</v>
      </c>
      <c r="M568" s="98">
        <v>72743</v>
      </c>
      <c r="N568" s="98">
        <v>0</v>
      </c>
      <c r="O568" s="98" t="s">
        <v>2150</v>
      </c>
      <c r="P568" s="98" t="s">
        <v>2183</v>
      </c>
      <c r="Q568" s="98" t="s">
        <v>2076</v>
      </c>
      <c r="R568" s="98" t="s">
        <v>2195</v>
      </c>
      <c r="S568" t="s">
        <v>2058</v>
      </c>
      <c r="T568" t="s">
        <v>2184</v>
      </c>
    </row>
    <row r="569" spans="1:20" x14ac:dyDescent="0.25">
      <c r="A569" s="98" t="s">
        <v>965</v>
      </c>
      <c r="B569" s="98" t="s">
        <v>973</v>
      </c>
      <c r="C569" s="98" t="s">
        <v>1179</v>
      </c>
      <c r="D569" s="98" t="s">
        <v>2034</v>
      </c>
      <c r="E569" s="101">
        <v>39807</v>
      </c>
      <c r="F569" s="101">
        <v>219512</v>
      </c>
      <c r="G569" s="98">
        <v>0</v>
      </c>
      <c r="H569" s="101">
        <v>45919</v>
      </c>
      <c r="I569" s="98" t="s">
        <v>2035</v>
      </c>
      <c r="J569" s="98">
        <v>39807</v>
      </c>
      <c r="K569" s="101" t="s">
        <v>2035</v>
      </c>
      <c r="L569" s="98">
        <v>36188</v>
      </c>
      <c r="M569" s="98">
        <v>3619</v>
      </c>
      <c r="N569" s="98">
        <v>10</v>
      </c>
      <c r="O569" s="98" t="s">
        <v>2150</v>
      </c>
      <c r="P569" s="98" t="s">
        <v>2183</v>
      </c>
      <c r="Q569" s="98" t="s">
        <v>2038</v>
      </c>
      <c r="R569" s="98" t="s">
        <v>2229</v>
      </c>
      <c r="S569" t="s">
        <v>2060</v>
      </c>
      <c r="T569" t="s">
        <v>2184</v>
      </c>
    </row>
    <row r="570" spans="1:20" x14ac:dyDescent="0.25">
      <c r="A570" s="98" t="s">
        <v>967</v>
      </c>
      <c r="B570" s="98" t="s">
        <v>974</v>
      </c>
      <c r="C570" s="98" t="s">
        <v>1179</v>
      </c>
      <c r="D570" s="98" t="s">
        <v>2034</v>
      </c>
      <c r="E570" s="101">
        <v>68986</v>
      </c>
      <c r="F570" s="101">
        <v>219512</v>
      </c>
      <c r="G570" s="98">
        <v>0</v>
      </c>
      <c r="H570" s="101">
        <v>45919</v>
      </c>
      <c r="I570" s="98" t="s">
        <v>2035</v>
      </c>
      <c r="J570" s="98">
        <v>68986</v>
      </c>
      <c r="K570" s="101" t="s">
        <v>2035</v>
      </c>
      <c r="L570" s="98">
        <v>63876</v>
      </c>
      <c r="M570" s="98">
        <v>5110</v>
      </c>
      <c r="N570" s="98">
        <v>8</v>
      </c>
      <c r="O570" s="98" t="s">
        <v>2150</v>
      </c>
      <c r="P570" s="98" t="s">
        <v>2183</v>
      </c>
      <c r="Q570" s="98" t="s">
        <v>2038</v>
      </c>
      <c r="R570" s="98" t="s">
        <v>2229</v>
      </c>
      <c r="S570" t="s">
        <v>2060</v>
      </c>
      <c r="T570" t="s">
        <v>2184</v>
      </c>
    </row>
    <row r="571" spans="1:20" x14ac:dyDescent="0.25">
      <c r="A571" s="98" t="s">
        <v>969</v>
      </c>
      <c r="B571" s="98" t="s">
        <v>975</v>
      </c>
      <c r="C571" s="98" t="s">
        <v>1179</v>
      </c>
      <c r="D571" s="98" t="s">
        <v>2034</v>
      </c>
      <c r="E571" s="101">
        <v>68675</v>
      </c>
      <c r="F571" s="101">
        <v>219512</v>
      </c>
      <c r="G571" s="98">
        <v>0</v>
      </c>
      <c r="H571" s="101">
        <v>45919</v>
      </c>
      <c r="I571" s="98" t="s">
        <v>2035</v>
      </c>
      <c r="J571" s="98">
        <v>68675</v>
      </c>
      <c r="K571" s="101" t="s">
        <v>2035</v>
      </c>
      <c r="L571" s="98">
        <v>63588</v>
      </c>
      <c r="M571" s="98">
        <v>5087</v>
      </c>
      <c r="N571" s="98">
        <v>8</v>
      </c>
      <c r="O571" s="98" t="s">
        <v>2150</v>
      </c>
      <c r="P571" s="98" t="s">
        <v>2183</v>
      </c>
      <c r="Q571" s="98" t="s">
        <v>2038</v>
      </c>
      <c r="R571" s="98" t="s">
        <v>2229</v>
      </c>
      <c r="S571" t="s">
        <v>2060</v>
      </c>
      <c r="T571" t="s">
        <v>2184</v>
      </c>
    </row>
    <row r="572" spans="1:20" x14ac:dyDescent="0.25">
      <c r="A572" s="98" t="s">
        <v>742</v>
      </c>
      <c r="B572" s="98" t="s">
        <v>752</v>
      </c>
      <c r="C572" s="98" t="s">
        <v>1179</v>
      </c>
      <c r="D572" s="98" t="s">
        <v>2034</v>
      </c>
      <c r="E572" s="101">
        <v>40049</v>
      </c>
      <c r="F572" s="101">
        <v>219512</v>
      </c>
      <c r="G572" s="98">
        <v>0</v>
      </c>
      <c r="H572" s="101">
        <v>45919</v>
      </c>
      <c r="I572" s="98" t="s">
        <v>2035</v>
      </c>
      <c r="J572" s="98">
        <v>40049</v>
      </c>
      <c r="K572" s="101" t="s">
        <v>2035</v>
      </c>
      <c r="L572" s="98">
        <v>33374</v>
      </c>
      <c r="M572" s="98">
        <v>6675</v>
      </c>
      <c r="N572" s="98">
        <v>20</v>
      </c>
      <c r="O572" s="98" t="s">
        <v>2150</v>
      </c>
      <c r="P572" s="98" t="s">
        <v>2183</v>
      </c>
      <c r="Q572" s="98" t="s">
        <v>2076</v>
      </c>
      <c r="R572" s="98" t="s">
        <v>2229</v>
      </c>
      <c r="S572" t="s">
        <v>2060</v>
      </c>
      <c r="T572" t="s">
        <v>2184</v>
      </c>
    </row>
    <row r="573" spans="1:20" x14ac:dyDescent="0.25">
      <c r="A573" s="98" t="s">
        <v>743</v>
      </c>
      <c r="B573" s="98" t="s">
        <v>753</v>
      </c>
      <c r="C573" s="98" t="s">
        <v>1179</v>
      </c>
      <c r="D573" s="98" t="s">
        <v>2034</v>
      </c>
      <c r="E573" s="101">
        <v>49936</v>
      </c>
      <c r="F573" s="101">
        <v>219512</v>
      </c>
      <c r="G573" s="98">
        <v>0</v>
      </c>
      <c r="H573" s="101">
        <v>45919</v>
      </c>
      <c r="I573" s="98" t="s">
        <v>2035</v>
      </c>
      <c r="J573" s="98">
        <v>49936</v>
      </c>
      <c r="K573" s="101" t="s">
        <v>2035</v>
      </c>
      <c r="L573" s="98">
        <v>41613</v>
      </c>
      <c r="M573" s="98">
        <v>8323</v>
      </c>
      <c r="N573" s="98">
        <v>20</v>
      </c>
      <c r="O573" s="98" t="s">
        <v>2150</v>
      </c>
      <c r="P573" s="98" t="s">
        <v>2183</v>
      </c>
      <c r="Q573" s="98" t="s">
        <v>2076</v>
      </c>
      <c r="R573" s="98" t="s">
        <v>2229</v>
      </c>
      <c r="S573" t="s">
        <v>2060</v>
      </c>
      <c r="T573" t="s">
        <v>2184</v>
      </c>
    </row>
    <row r="574" spans="1:20" x14ac:dyDescent="0.25">
      <c r="A574" s="98" t="s">
        <v>744</v>
      </c>
      <c r="B574" s="98" t="s">
        <v>754</v>
      </c>
      <c r="C574" s="98" t="s">
        <v>1179</v>
      </c>
      <c r="D574" s="98" t="s">
        <v>2034</v>
      </c>
      <c r="E574" s="101">
        <v>38885</v>
      </c>
      <c r="F574" s="101">
        <v>219512</v>
      </c>
      <c r="G574" s="98">
        <v>0</v>
      </c>
      <c r="H574" s="101">
        <v>45919</v>
      </c>
      <c r="I574" s="98" t="s">
        <v>2035</v>
      </c>
      <c r="J574" s="98">
        <v>38885</v>
      </c>
      <c r="K574" s="101" t="s">
        <v>2035</v>
      </c>
      <c r="L574" s="98">
        <v>32404</v>
      </c>
      <c r="M574" s="98">
        <v>6481</v>
      </c>
      <c r="N574" s="98">
        <v>20</v>
      </c>
      <c r="O574" s="98" t="s">
        <v>2176</v>
      </c>
      <c r="P574" s="98" t="s">
        <v>2183</v>
      </c>
      <c r="Q574" s="98" t="s">
        <v>2076</v>
      </c>
      <c r="R574" s="98" t="s">
        <v>2195</v>
      </c>
      <c r="S574" t="s">
        <v>2060</v>
      </c>
      <c r="T574" t="s">
        <v>2184</v>
      </c>
    </row>
    <row r="575" spans="1:20" x14ac:dyDescent="0.25">
      <c r="A575" s="98" t="s">
        <v>745</v>
      </c>
      <c r="B575" s="98" t="s">
        <v>755</v>
      </c>
      <c r="C575" s="98" t="s">
        <v>1179</v>
      </c>
      <c r="D575" s="98" t="s">
        <v>2034</v>
      </c>
      <c r="E575" s="101">
        <v>41538</v>
      </c>
      <c r="F575" s="101">
        <v>219512</v>
      </c>
      <c r="G575" s="98">
        <v>0</v>
      </c>
      <c r="H575" s="101">
        <v>45919</v>
      </c>
      <c r="I575" s="98" t="s">
        <v>2035</v>
      </c>
      <c r="J575" s="98">
        <v>41538</v>
      </c>
      <c r="K575" s="101" t="s">
        <v>2035</v>
      </c>
      <c r="L575" s="98">
        <v>34615</v>
      </c>
      <c r="M575" s="98">
        <v>6923</v>
      </c>
      <c r="N575" s="98">
        <v>20</v>
      </c>
      <c r="O575" s="98" t="s">
        <v>2176</v>
      </c>
      <c r="P575" s="98" t="s">
        <v>2183</v>
      </c>
      <c r="Q575" s="98" t="s">
        <v>2076</v>
      </c>
      <c r="R575" s="98" t="s">
        <v>2195</v>
      </c>
      <c r="S575" t="s">
        <v>2060</v>
      </c>
      <c r="T575" t="s">
        <v>2184</v>
      </c>
    </row>
    <row r="576" spans="1:20" x14ac:dyDescent="0.25">
      <c r="A576" s="98" t="s">
        <v>746</v>
      </c>
      <c r="B576" s="98" t="s">
        <v>756</v>
      </c>
      <c r="C576" s="98" t="s">
        <v>1179</v>
      </c>
      <c r="D576" s="98" t="s">
        <v>2034</v>
      </c>
      <c r="E576" s="101">
        <v>42934</v>
      </c>
      <c r="F576" s="101">
        <v>219512</v>
      </c>
      <c r="G576" s="98">
        <v>0</v>
      </c>
      <c r="H576" s="101">
        <v>45919</v>
      </c>
      <c r="I576" s="98" t="s">
        <v>2035</v>
      </c>
      <c r="J576" s="98">
        <v>42934</v>
      </c>
      <c r="K576" s="101" t="s">
        <v>2035</v>
      </c>
      <c r="L576" s="98">
        <v>35778</v>
      </c>
      <c r="M576" s="98">
        <v>7156</v>
      </c>
      <c r="N576" s="98">
        <v>20</v>
      </c>
      <c r="O576" s="98" t="s">
        <v>2176</v>
      </c>
      <c r="P576" s="98" t="s">
        <v>2183</v>
      </c>
      <c r="Q576" s="98" t="s">
        <v>2076</v>
      </c>
      <c r="R576" s="98" t="s">
        <v>2195</v>
      </c>
      <c r="S576" t="s">
        <v>2060</v>
      </c>
      <c r="T576" t="s">
        <v>2184</v>
      </c>
    </row>
    <row r="577" spans="1:20" x14ac:dyDescent="0.25">
      <c r="A577" s="98" t="s">
        <v>747</v>
      </c>
      <c r="B577" s="98" t="s">
        <v>757</v>
      </c>
      <c r="C577" s="98" t="s">
        <v>1179</v>
      </c>
      <c r="D577" s="98" t="s">
        <v>2034</v>
      </c>
      <c r="E577" s="101">
        <v>73464</v>
      </c>
      <c r="F577" s="101">
        <v>219512</v>
      </c>
      <c r="G577" s="98">
        <v>0</v>
      </c>
      <c r="H577" s="101">
        <v>45919</v>
      </c>
      <c r="I577" s="98" t="s">
        <v>2035</v>
      </c>
      <c r="J577" s="98">
        <v>73464</v>
      </c>
      <c r="K577" s="101" t="s">
        <v>2035</v>
      </c>
      <c r="L577" s="98">
        <v>61220</v>
      </c>
      <c r="M577" s="98">
        <v>12244</v>
      </c>
      <c r="N577" s="98">
        <v>20</v>
      </c>
      <c r="O577" s="98" t="s">
        <v>2176</v>
      </c>
      <c r="P577" s="98" t="s">
        <v>2183</v>
      </c>
      <c r="Q577" s="98" t="s">
        <v>2076</v>
      </c>
      <c r="R577" s="98" t="s">
        <v>2195</v>
      </c>
      <c r="S577" t="s">
        <v>2060</v>
      </c>
      <c r="T577" t="s">
        <v>2184</v>
      </c>
    </row>
    <row r="578" spans="1:20" x14ac:dyDescent="0.25">
      <c r="A578" s="98" t="s">
        <v>748</v>
      </c>
      <c r="B578" s="98" t="s">
        <v>758</v>
      </c>
      <c r="C578" s="98" t="s">
        <v>1179</v>
      </c>
      <c r="D578" s="98" t="s">
        <v>2034</v>
      </c>
      <c r="E578" s="101">
        <v>73691</v>
      </c>
      <c r="F578" s="101">
        <v>219512</v>
      </c>
      <c r="G578" s="98">
        <v>0</v>
      </c>
      <c r="H578" s="101">
        <v>45919</v>
      </c>
      <c r="I578" s="98" t="s">
        <v>2035</v>
      </c>
      <c r="J578" s="98">
        <v>73691</v>
      </c>
      <c r="K578" s="101" t="s">
        <v>2035</v>
      </c>
      <c r="L578" s="98">
        <v>61409</v>
      </c>
      <c r="M578" s="98">
        <v>12282</v>
      </c>
      <c r="N578" s="98">
        <v>20</v>
      </c>
      <c r="O578" s="98" t="s">
        <v>2176</v>
      </c>
      <c r="P578" s="98" t="s">
        <v>2183</v>
      </c>
      <c r="Q578" s="98" t="s">
        <v>2076</v>
      </c>
      <c r="R578" s="98" t="s">
        <v>2195</v>
      </c>
      <c r="S578" t="s">
        <v>2060</v>
      </c>
      <c r="T578" t="s">
        <v>2184</v>
      </c>
    </row>
    <row r="579" spans="1:20" x14ac:dyDescent="0.25">
      <c r="A579" s="98" t="s">
        <v>749</v>
      </c>
      <c r="B579" s="98" t="s">
        <v>1754</v>
      </c>
      <c r="C579" s="98" t="s">
        <v>1179</v>
      </c>
      <c r="D579" s="98" t="s">
        <v>2034</v>
      </c>
      <c r="E579" s="101">
        <v>40752</v>
      </c>
      <c r="F579" s="101">
        <v>219512</v>
      </c>
      <c r="G579" s="98">
        <v>0</v>
      </c>
      <c r="H579" s="101">
        <v>45919</v>
      </c>
      <c r="I579" s="98" t="s">
        <v>2035</v>
      </c>
      <c r="J579" s="98">
        <v>40752</v>
      </c>
      <c r="K579" s="101" t="s">
        <v>2035</v>
      </c>
      <c r="L579" s="98">
        <v>33403</v>
      </c>
      <c r="M579" s="98">
        <v>7349</v>
      </c>
      <c r="N579" s="98">
        <v>22</v>
      </c>
      <c r="O579" s="98" t="s">
        <v>2176</v>
      </c>
      <c r="P579" s="98" t="s">
        <v>2183</v>
      </c>
      <c r="Q579" s="98" t="s">
        <v>2076</v>
      </c>
      <c r="R579" s="98" t="s">
        <v>2195</v>
      </c>
      <c r="S579" t="s">
        <v>2060</v>
      </c>
      <c r="T579" t="s">
        <v>2184</v>
      </c>
    </row>
    <row r="580" spans="1:20" x14ac:dyDescent="0.25">
      <c r="A580" s="98" t="s">
        <v>750</v>
      </c>
      <c r="B580" s="98" t="s">
        <v>1755</v>
      </c>
      <c r="C580" s="98" t="s">
        <v>1179</v>
      </c>
      <c r="D580" s="98" t="s">
        <v>2034</v>
      </c>
      <c r="E580" s="101">
        <v>75550</v>
      </c>
      <c r="F580" s="101">
        <v>219512</v>
      </c>
      <c r="G580" s="98">
        <v>0</v>
      </c>
      <c r="H580" s="101">
        <v>45919</v>
      </c>
      <c r="I580" s="98" t="s">
        <v>2035</v>
      </c>
      <c r="J580" s="98">
        <v>75550</v>
      </c>
      <c r="K580" s="101" t="s">
        <v>2035</v>
      </c>
      <c r="L580" s="98">
        <v>62958</v>
      </c>
      <c r="M580" s="98">
        <v>12592</v>
      </c>
      <c r="N580" s="98">
        <v>20</v>
      </c>
      <c r="O580" s="98" t="s">
        <v>2176</v>
      </c>
      <c r="P580" s="98" t="s">
        <v>2183</v>
      </c>
      <c r="Q580" s="98" t="s">
        <v>2076</v>
      </c>
      <c r="R580" s="98" t="s">
        <v>2195</v>
      </c>
      <c r="S580" t="s">
        <v>2060</v>
      </c>
      <c r="T580" t="s">
        <v>2184</v>
      </c>
    </row>
    <row r="581" spans="1:20" x14ac:dyDescent="0.25">
      <c r="A581" s="98" t="s">
        <v>751</v>
      </c>
      <c r="B581" s="98" t="s">
        <v>1756</v>
      </c>
      <c r="C581" s="98" t="s">
        <v>1179</v>
      </c>
      <c r="D581" s="98" t="s">
        <v>2034</v>
      </c>
      <c r="E581" s="101">
        <v>67339</v>
      </c>
      <c r="F581" s="101">
        <v>219512</v>
      </c>
      <c r="G581" s="98">
        <v>0</v>
      </c>
      <c r="H581" s="101">
        <v>45919</v>
      </c>
      <c r="I581" s="98" t="s">
        <v>2035</v>
      </c>
      <c r="J581" s="98">
        <v>67339</v>
      </c>
      <c r="K581" s="101" t="s">
        <v>2035</v>
      </c>
      <c r="L581" s="98">
        <v>55196</v>
      </c>
      <c r="M581" s="98">
        <v>12143</v>
      </c>
      <c r="N581" s="98">
        <v>22</v>
      </c>
      <c r="O581" s="98" t="s">
        <v>2176</v>
      </c>
      <c r="P581" s="98" t="s">
        <v>2183</v>
      </c>
      <c r="Q581" s="98" t="s">
        <v>2076</v>
      </c>
      <c r="R581" s="98" t="s">
        <v>2195</v>
      </c>
      <c r="S581" t="s">
        <v>2058</v>
      </c>
      <c r="T581" t="s">
        <v>2184</v>
      </c>
    </row>
    <row r="582" spans="1:20" x14ac:dyDescent="0.25">
      <c r="A582" s="98" t="s">
        <v>971</v>
      </c>
      <c r="B582" s="98" t="s">
        <v>976</v>
      </c>
      <c r="C582" s="98" t="s">
        <v>1179</v>
      </c>
      <c r="D582" s="98" t="s">
        <v>2034</v>
      </c>
      <c r="E582" s="101">
        <v>73080</v>
      </c>
      <c r="F582" s="101">
        <v>219512</v>
      </c>
      <c r="G582" s="98">
        <v>0</v>
      </c>
      <c r="H582" s="101">
        <v>45919</v>
      </c>
      <c r="I582" s="98" t="s">
        <v>2035</v>
      </c>
      <c r="J582" s="98">
        <v>73080</v>
      </c>
      <c r="K582" s="101" t="s">
        <v>2035</v>
      </c>
      <c r="L582" s="98">
        <v>66436</v>
      </c>
      <c r="M582" s="98">
        <v>6644</v>
      </c>
      <c r="N582" s="98">
        <v>10</v>
      </c>
      <c r="O582" s="98" t="s">
        <v>2150</v>
      </c>
      <c r="P582" s="98" t="s">
        <v>2183</v>
      </c>
      <c r="Q582" s="98" t="s">
        <v>2038</v>
      </c>
      <c r="R582" s="98" t="s">
        <v>2229</v>
      </c>
      <c r="S582" t="s">
        <v>2060</v>
      </c>
      <c r="T582" t="s">
        <v>2184</v>
      </c>
    </row>
    <row r="583" spans="1:20" x14ac:dyDescent="0.25">
      <c r="A583" s="98" t="s">
        <v>1757</v>
      </c>
      <c r="B583" s="98" t="s">
        <v>1758</v>
      </c>
      <c r="C583" s="98" t="s">
        <v>1179</v>
      </c>
      <c r="D583" s="98" t="s">
        <v>2034</v>
      </c>
      <c r="E583" s="101">
        <v>93451</v>
      </c>
      <c r="F583" s="101">
        <v>219512</v>
      </c>
      <c r="G583" s="98">
        <v>0</v>
      </c>
      <c r="H583" s="101">
        <v>45769</v>
      </c>
      <c r="I583" s="98" t="s">
        <v>2035</v>
      </c>
      <c r="J583" s="98">
        <v>93451</v>
      </c>
      <c r="K583" s="101" t="s">
        <v>2035</v>
      </c>
      <c r="L583" s="98">
        <v>97901</v>
      </c>
      <c r="M583" s="98">
        <v>-4450</v>
      </c>
      <c r="N583" s="98">
        <v>-4.55</v>
      </c>
      <c r="O583" s="98" t="s">
        <v>2150</v>
      </c>
      <c r="P583" s="98" t="s">
        <v>2183</v>
      </c>
      <c r="Q583" s="98" t="s">
        <v>2050</v>
      </c>
      <c r="R583" s="98" t="s">
        <v>2195</v>
      </c>
      <c r="S583" t="s">
        <v>2173</v>
      </c>
      <c r="T583" t="s">
        <v>2109</v>
      </c>
    </row>
    <row r="584" spans="1:20" x14ac:dyDescent="0.25">
      <c r="A584" s="98" t="s">
        <v>1759</v>
      </c>
      <c r="B584" s="98" t="s">
        <v>1760</v>
      </c>
      <c r="C584" s="98" t="s">
        <v>1179</v>
      </c>
      <c r="D584" s="98" t="s">
        <v>2034</v>
      </c>
      <c r="E584" s="101">
        <v>102773</v>
      </c>
      <c r="F584" s="101">
        <v>219512</v>
      </c>
      <c r="G584" s="98">
        <v>0</v>
      </c>
      <c r="H584" s="101">
        <v>45769</v>
      </c>
      <c r="I584" s="98" t="s">
        <v>2035</v>
      </c>
      <c r="J584" s="98">
        <v>102773</v>
      </c>
      <c r="K584" s="101" t="s">
        <v>2035</v>
      </c>
      <c r="L584" s="98">
        <v>107667</v>
      </c>
      <c r="M584" s="98">
        <v>-4894</v>
      </c>
      <c r="N584" s="98">
        <v>-4.55</v>
      </c>
      <c r="O584" s="98" t="s">
        <v>2150</v>
      </c>
      <c r="P584" s="98" t="s">
        <v>2183</v>
      </c>
      <c r="Q584" s="98" t="s">
        <v>2050</v>
      </c>
      <c r="R584" s="98" t="s">
        <v>2195</v>
      </c>
      <c r="S584" t="s">
        <v>2173</v>
      </c>
      <c r="T584" t="s">
        <v>2109</v>
      </c>
    </row>
    <row r="585" spans="1:20" x14ac:dyDescent="0.25">
      <c r="A585" s="98" t="s">
        <v>1761</v>
      </c>
      <c r="B585" s="98" t="s">
        <v>1762</v>
      </c>
      <c r="C585" s="98" t="s">
        <v>1179</v>
      </c>
      <c r="D585" s="98" t="s">
        <v>2034</v>
      </c>
      <c r="E585" s="101">
        <v>124335</v>
      </c>
      <c r="F585" s="101">
        <v>219512</v>
      </c>
      <c r="G585" s="98">
        <v>0</v>
      </c>
      <c r="H585" s="101">
        <v>45769</v>
      </c>
      <c r="I585" s="98" t="s">
        <v>2035</v>
      </c>
      <c r="J585" s="98">
        <v>124335</v>
      </c>
      <c r="K585" s="101" t="s">
        <v>2035</v>
      </c>
      <c r="L585" s="98">
        <v>130255</v>
      </c>
      <c r="M585" s="98">
        <v>-5920</v>
      </c>
      <c r="N585" s="98">
        <v>-4.54</v>
      </c>
      <c r="O585" s="98" t="s">
        <v>2150</v>
      </c>
      <c r="P585" s="98" t="s">
        <v>2183</v>
      </c>
      <c r="Q585" s="98" t="s">
        <v>2050</v>
      </c>
      <c r="R585" s="98" t="s">
        <v>2195</v>
      </c>
      <c r="S585" t="s">
        <v>2173</v>
      </c>
      <c r="T585" t="s">
        <v>2109</v>
      </c>
    </row>
    <row r="586" spans="1:20" x14ac:dyDescent="0.25">
      <c r="A586" s="98" t="s">
        <v>1763</v>
      </c>
      <c r="B586" s="98" t="s">
        <v>1764</v>
      </c>
      <c r="C586" s="98" t="s">
        <v>1179</v>
      </c>
      <c r="D586" s="98" t="s">
        <v>2034</v>
      </c>
      <c r="E586" s="101">
        <v>67613</v>
      </c>
      <c r="F586" s="101">
        <v>219512</v>
      </c>
      <c r="G586" s="98">
        <v>0</v>
      </c>
      <c r="H586" s="101">
        <v>45769</v>
      </c>
      <c r="I586" s="98" t="s">
        <v>2035</v>
      </c>
      <c r="J586" s="98">
        <v>67613</v>
      </c>
      <c r="K586" s="101" t="s">
        <v>2035</v>
      </c>
      <c r="L586" s="98">
        <v>70832</v>
      </c>
      <c r="M586" s="98">
        <v>-3219</v>
      </c>
      <c r="N586" s="98">
        <v>-4.54</v>
      </c>
      <c r="O586" s="98" t="s">
        <v>2150</v>
      </c>
      <c r="P586" s="98" t="s">
        <v>2183</v>
      </c>
      <c r="Q586" s="98" t="s">
        <v>2050</v>
      </c>
      <c r="R586" s="98" t="s">
        <v>2195</v>
      </c>
      <c r="S586" t="s">
        <v>2056</v>
      </c>
      <c r="T586" t="s">
        <v>2109</v>
      </c>
    </row>
    <row r="587" spans="1:20" x14ac:dyDescent="0.25">
      <c r="A587" s="98" t="s">
        <v>1765</v>
      </c>
      <c r="B587" s="98" t="s">
        <v>1766</v>
      </c>
      <c r="C587" s="98" t="s">
        <v>1179</v>
      </c>
      <c r="D587" s="98" t="s">
        <v>2034</v>
      </c>
      <c r="E587" s="101">
        <v>75788</v>
      </c>
      <c r="F587" s="101">
        <v>219512</v>
      </c>
      <c r="G587" s="98">
        <v>0</v>
      </c>
      <c r="H587" s="101">
        <v>45769</v>
      </c>
      <c r="I587" s="98" t="s">
        <v>2035</v>
      </c>
      <c r="J587" s="98">
        <v>75788</v>
      </c>
      <c r="K587" s="101" t="s">
        <v>2035</v>
      </c>
      <c r="L587" s="98">
        <v>79397</v>
      </c>
      <c r="M587" s="98">
        <v>-3609</v>
      </c>
      <c r="N587" s="98">
        <v>-4.55</v>
      </c>
      <c r="O587" s="98" t="s">
        <v>2150</v>
      </c>
      <c r="P587" s="98" t="s">
        <v>2183</v>
      </c>
      <c r="Q587" s="98" t="s">
        <v>2050</v>
      </c>
      <c r="R587" s="98" t="s">
        <v>2195</v>
      </c>
      <c r="S587" t="s">
        <v>2056</v>
      </c>
      <c r="T587" t="s">
        <v>2109</v>
      </c>
    </row>
    <row r="588" spans="1:20" x14ac:dyDescent="0.25">
      <c r="A588" s="98" t="s">
        <v>1767</v>
      </c>
      <c r="B588" s="98" t="s">
        <v>1768</v>
      </c>
      <c r="C588" s="98" t="s">
        <v>1179</v>
      </c>
      <c r="D588" s="98" t="s">
        <v>2034</v>
      </c>
      <c r="E588" s="101">
        <v>85101</v>
      </c>
      <c r="F588" s="101">
        <v>219512</v>
      </c>
      <c r="G588" s="98">
        <v>0</v>
      </c>
      <c r="H588" s="101">
        <v>45769</v>
      </c>
      <c r="I588" s="98" t="s">
        <v>2035</v>
      </c>
      <c r="J588" s="98">
        <v>85101</v>
      </c>
      <c r="K588" s="101" t="s">
        <v>2035</v>
      </c>
      <c r="L588" s="98">
        <v>89154</v>
      </c>
      <c r="M588" s="98">
        <v>-4053</v>
      </c>
      <c r="N588" s="98">
        <v>-4.55</v>
      </c>
      <c r="O588" s="98" t="s">
        <v>2150</v>
      </c>
      <c r="P588" s="98" t="s">
        <v>2183</v>
      </c>
      <c r="Q588" s="98" t="s">
        <v>2050</v>
      </c>
      <c r="R588" s="98" t="s">
        <v>2195</v>
      </c>
      <c r="S588" t="s">
        <v>2056</v>
      </c>
      <c r="T588" t="s">
        <v>2109</v>
      </c>
    </row>
    <row r="589" spans="1:20" x14ac:dyDescent="0.25">
      <c r="A589" s="98" t="s">
        <v>1769</v>
      </c>
      <c r="B589" s="98" t="s">
        <v>1770</v>
      </c>
      <c r="C589" s="98" t="s">
        <v>1179</v>
      </c>
      <c r="D589" s="98" t="s">
        <v>2034</v>
      </c>
      <c r="E589" s="101">
        <v>60340</v>
      </c>
      <c r="F589" s="101">
        <v>219512</v>
      </c>
      <c r="G589" s="98">
        <v>0</v>
      </c>
      <c r="H589" s="101">
        <v>45769</v>
      </c>
      <c r="I589" s="98" t="s">
        <v>2035</v>
      </c>
      <c r="J589" s="98">
        <v>60340</v>
      </c>
      <c r="K589" s="101" t="s">
        <v>2035</v>
      </c>
      <c r="L589" s="98">
        <v>63214</v>
      </c>
      <c r="M589" s="98">
        <v>-2874</v>
      </c>
      <c r="N589" s="98">
        <v>-4.55</v>
      </c>
      <c r="O589" s="98" t="s">
        <v>2150</v>
      </c>
      <c r="P589" s="98" t="s">
        <v>2147</v>
      </c>
      <c r="Q589" s="98" t="s">
        <v>2050</v>
      </c>
      <c r="R589" s="98" t="s">
        <v>2195</v>
      </c>
      <c r="S589" t="s">
        <v>2067</v>
      </c>
      <c r="T589" t="s">
        <v>2109</v>
      </c>
    </row>
    <row r="590" spans="1:20" x14ac:dyDescent="0.25">
      <c r="A590" s="98" t="s">
        <v>1771</v>
      </c>
      <c r="B590" s="98" t="s">
        <v>1772</v>
      </c>
      <c r="C590" s="98" t="s">
        <v>1179</v>
      </c>
      <c r="D590" s="98" t="s">
        <v>2034</v>
      </c>
      <c r="E590" s="101">
        <v>68609</v>
      </c>
      <c r="F590" s="101">
        <v>219512</v>
      </c>
      <c r="G590" s="98">
        <v>0</v>
      </c>
      <c r="H590" s="101">
        <v>45769</v>
      </c>
      <c r="I590" s="98" t="s">
        <v>2035</v>
      </c>
      <c r="J590" s="98">
        <v>68609</v>
      </c>
      <c r="K590" s="101" t="s">
        <v>2035</v>
      </c>
      <c r="L590" s="98">
        <v>71876</v>
      </c>
      <c r="M590" s="98">
        <v>-3267</v>
      </c>
      <c r="N590" s="98">
        <v>-4.55</v>
      </c>
      <c r="O590" s="98" t="s">
        <v>2150</v>
      </c>
      <c r="P590" s="98" t="s">
        <v>2147</v>
      </c>
      <c r="Q590" s="98" t="s">
        <v>2050</v>
      </c>
      <c r="R590" s="98" t="s">
        <v>2195</v>
      </c>
      <c r="S590" t="s">
        <v>2067</v>
      </c>
      <c r="T590" t="s">
        <v>2109</v>
      </c>
    </row>
    <row r="591" spans="1:20" x14ac:dyDescent="0.25">
      <c r="A591" s="98" t="s">
        <v>1773</v>
      </c>
      <c r="B591" s="98" t="s">
        <v>1774</v>
      </c>
      <c r="C591" s="98" t="s">
        <v>1179</v>
      </c>
      <c r="D591" s="98" t="s">
        <v>2034</v>
      </c>
      <c r="E591" s="101">
        <v>88532</v>
      </c>
      <c r="F591" s="101">
        <v>219512</v>
      </c>
      <c r="G591" s="98">
        <v>0</v>
      </c>
      <c r="H591" s="101">
        <v>45769</v>
      </c>
      <c r="I591" s="98" t="s">
        <v>2035</v>
      </c>
      <c r="J591" s="98">
        <v>88532</v>
      </c>
      <c r="K591" s="101" t="s">
        <v>2035</v>
      </c>
      <c r="L591" s="98">
        <v>92748</v>
      </c>
      <c r="M591" s="98">
        <v>-4216</v>
      </c>
      <c r="N591" s="98">
        <v>-4.55</v>
      </c>
      <c r="O591" s="98" t="s">
        <v>2150</v>
      </c>
      <c r="P591" s="98" t="s">
        <v>2147</v>
      </c>
      <c r="Q591" s="98" t="s">
        <v>2050</v>
      </c>
      <c r="R591" s="98" t="s">
        <v>2195</v>
      </c>
      <c r="S591" t="s">
        <v>2067</v>
      </c>
      <c r="T591" t="s">
        <v>2109</v>
      </c>
    </row>
    <row r="592" spans="1:20" x14ac:dyDescent="0.25">
      <c r="A592" s="98" t="s">
        <v>1775</v>
      </c>
      <c r="B592" s="98" t="s">
        <v>1776</v>
      </c>
      <c r="C592" s="98" t="s">
        <v>1179</v>
      </c>
      <c r="D592" s="98" t="s">
        <v>2034</v>
      </c>
      <c r="E592" s="101">
        <v>38071</v>
      </c>
      <c r="F592" s="101">
        <v>219512</v>
      </c>
      <c r="G592" s="98">
        <v>0</v>
      </c>
      <c r="H592" s="101">
        <v>45769</v>
      </c>
      <c r="I592" s="98" t="s">
        <v>2035</v>
      </c>
      <c r="J592" s="98">
        <v>38071</v>
      </c>
      <c r="K592" s="101" t="s">
        <v>2035</v>
      </c>
      <c r="L592" s="98">
        <v>39884</v>
      </c>
      <c r="M592" s="98">
        <v>-1813</v>
      </c>
      <c r="N592" s="98">
        <v>-4.55</v>
      </c>
      <c r="O592" s="98" t="s">
        <v>2150</v>
      </c>
      <c r="P592" s="98" t="s">
        <v>2147</v>
      </c>
      <c r="Q592" s="98" t="s">
        <v>2050</v>
      </c>
      <c r="R592" s="98" t="s">
        <v>2195</v>
      </c>
      <c r="S592" t="s">
        <v>2067</v>
      </c>
      <c r="T592" t="s">
        <v>2109</v>
      </c>
    </row>
    <row r="593" spans="1:20" x14ac:dyDescent="0.25">
      <c r="A593" s="98" t="s">
        <v>1777</v>
      </c>
      <c r="B593" s="98" t="s">
        <v>1778</v>
      </c>
      <c r="C593" s="98" t="s">
        <v>1179</v>
      </c>
      <c r="D593" s="98" t="s">
        <v>2034</v>
      </c>
      <c r="E593" s="101">
        <v>107199</v>
      </c>
      <c r="F593" s="101">
        <v>219512</v>
      </c>
      <c r="G593" s="98">
        <v>0</v>
      </c>
      <c r="H593" s="101">
        <v>45769</v>
      </c>
      <c r="I593" s="98" t="s">
        <v>2035</v>
      </c>
      <c r="J593" s="98">
        <v>107199</v>
      </c>
      <c r="K593" s="101" t="s">
        <v>2035</v>
      </c>
      <c r="L593" s="98">
        <v>112303</v>
      </c>
      <c r="M593" s="98">
        <v>-5104</v>
      </c>
      <c r="N593" s="98">
        <v>-4.54</v>
      </c>
      <c r="O593" s="98" t="s">
        <v>2150</v>
      </c>
      <c r="P593" s="98" t="s">
        <v>2147</v>
      </c>
      <c r="Q593" s="98" t="s">
        <v>2050</v>
      </c>
      <c r="R593" s="98" t="s">
        <v>2195</v>
      </c>
      <c r="S593" t="s">
        <v>2159</v>
      </c>
      <c r="T593" t="s">
        <v>2109</v>
      </c>
    </row>
    <row r="594" spans="1:20" x14ac:dyDescent="0.25">
      <c r="A594" s="98" t="s">
        <v>147</v>
      </c>
      <c r="B594" s="98" t="s">
        <v>148</v>
      </c>
      <c r="C594" s="98" t="s">
        <v>1179</v>
      </c>
      <c r="D594" s="98" t="s">
        <v>2034</v>
      </c>
      <c r="E594" s="101">
        <v>38469</v>
      </c>
      <c r="F594" s="101">
        <v>219512</v>
      </c>
      <c r="G594" s="98">
        <v>0</v>
      </c>
      <c r="H594" s="101">
        <v>45880</v>
      </c>
      <c r="I594" s="98" t="s">
        <v>2035</v>
      </c>
      <c r="J594" s="98">
        <v>38469</v>
      </c>
      <c r="K594" s="101" t="s">
        <v>2035</v>
      </c>
      <c r="L594" s="98">
        <v>34972</v>
      </c>
      <c r="M594" s="98">
        <v>3497</v>
      </c>
      <c r="N594" s="98">
        <v>10</v>
      </c>
      <c r="O594" s="98" t="s">
        <v>2176</v>
      </c>
      <c r="P594" s="98" t="s">
        <v>2183</v>
      </c>
      <c r="Q594" s="98" t="s">
        <v>2076</v>
      </c>
      <c r="R594" s="98" t="s">
        <v>2251</v>
      </c>
      <c r="S594" t="s">
        <v>2060</v>
      </c>
      <c r="T594" t="s">
        <v>2184</v>
      </c>
    </row>
    <row r="595" spans="1:20" x14ac:dyDescent="0.25">
      <c r="A595" s="98" t="s">
        <v>149</v>
      </c>
      <c r="B595" s="98" t="s">
        <v>150</v>
      </c>
      <c r="C595" s="98" t="s">
        <v>1179</v>
      </c>
      <c r="D595" s="98" t="s">
        <v>2034</v>
      </c>
      <c r="E595" s="101">
        <v>42512</v>
      </c>
      <c r="F595" s="101">
        <v>219512</v>
      </c>
      <c r="G595" s="98">
        <v>0</v>
      </c>
      <c r="H595" s="101">
        <v>45880</v>
      </c>
      <c r="I595" s="98" t="s">
        <v>2035</v>
      </c>
      <c r="J595" s="98">
        <v>42512</v>
      </c>
      <c r="K595" s="101" t="s">
        <v>2035</v>
      </c>
      <c r="L595" s="98">
        <v>38647</v>
      </c>
      <c r="M595" s="98">
        <v>3865</v>
      </c>
      <c r="N595" s="98">
        <v>10</v>
      </c>
      <c r="O595" s="98" t="s">
        <v>2176</v>
      </c>
      <c r="P595" s="98" t="s">
        <v>2183</v>
      </c>
      <c r="Q595" s="98" t="s">
        <v>2076</v>
      </c>
      <c r="R595" s="98" t="s">
        <v>2251</v>
      </c>
      <c r="S595" t="s">
        <v>2060</v>
      </c>
      <c r="T595" t="s">
        <v>2184</v>
      </c>
    </row>
    <row r="596" spans="1:20" x14ac:dyDescent="0.25">
      <c r="A596" s="98" t="s">
        <v>151</v>
      </c>
      <c r="B596" s="98" t="s">
        <v>152</v>
      </c>
      <c r="C596" s="98" t="s">
        <v>1179</v>
      </c>
      <c r="D596" s="98" t="s">
        <v>2034</v>
      </c>
      <c r="E596" s="101">
        <v>73033</v>
      </c>
      <c r="F596" s="101">
        <v>219512</v>
      </c>
      <c r="G596" s="98">
        <v>0</v>
      </c>
      <c r="H596" s="101">
        <v>45880</v>
      </c>
      <c r="I596" s="98" t="s">
        <v>2035</v>
      </c>
      <c r="J596" s="98">
        <v>73033</v>
      </c>
      <c r="K596" s="101" t="s">
        <v>2035</v>
      </c>
      <c r="L596" s="98">
        <v>66394</v>
      </c>
      <c r="M596" s="98">
        <v>6639</v>
      </c>
      <c r="N596" s="98">
        <v>10</v>
      </c>
      <c r="O596" s="98" t="s">
        <v>2176</v>
      </c>
      <c r="P596" s="98" t="s">
        <v>2183</v>
      </c>
      <c r="Q596" s="98" t="s">
        <v>2076</v>
      </c>
      <c r="R596" s="98" t="s">
        <v>2251</v>
      </c>
      <c r="S596" t="s">
        <v>2060</v>
      </c>
      <c r="T596" t="s">
        <v>2184</v>
      </c>
    </row>
    <row r="597" spans="1:20" x14ac:dyDescent="0.25">
      <c r="A597" s="98" t="s">
        <v>153</v>
      </c>
      <c r="B597" s="98" t="s">
        <v>154</v>
      </c>
      <c r="C597" s="98" t="s">
        <v>1179</v>
      </c>
      <c r="D597" s="98" t="s">
        <v>2034</v>
      </c>
      <c r="E597" s="101">
        <v>100331</v>
      </c>
      <c r="F597" s="101">
        <v>219512</v>
      </c>
      <c r="G597" s="98">
        <v>0</v>
      </c>
      <c r="H597" s="101">
        <v>45919</v>
      </c>
      <c r="I597" s="98" t="s">
        <v>2035</v>
      </c>
      <c r="J597" s="98">
        <v>100331</v>
      </c>
      <c r="K597" s="101" t="s">
        <v>2035</v>
      </c>
      <c r="L597" s="98">
        <v>98364</v>
      </c>
      <c r="M597" s="98">
        <v>1967</v>
      </c>
      <c r="N597" s="98">
        <v>2</v>
      </c>
      <c r="O597" s="98" t="s">
        <v>2176</v>
      </c>
      <c r="P597" s="98" t="s">
        <v>2183</v>
      </c>
      <c r="Q597" s="98" t="s">
        <v>2076</v>
      </c>
      <c r="R597" s="98" t="s">
        <v>2251</v>
      </c>
      <c r="S597" t="s">
        <v>2060</v>
      </c>
      <c r="T597" t="s">
        <v>2184</v>
      </c>
    </row>
    <row r="598" spans="1:20" x14ac:dyDescent="0.25">
      <c r="A598" s="98" t="s">
        <v>155</v>
      </c>
      <c r="B598" s="98" t="s">
        <v>348</v>
      </c>
      <c r="C598" s="98" t="s">
        <v>1179</v>
      </c>
      <c r="D598" s="98" t="s">
        <v>2034</v>
      </c>
      <c r="E598" s="101">
        <v>114896</v>
      </c>
      <c r="F598" s="101">
        <v>219512</v>
      </c>
      <c r="G598" s="98">
        <v>0</v>
      </c>
      <c r="H598" s="101">
        <v>45919</v>
      </c>
      <c r="I598" s="98" t="s">
        <v>2035</v>
      </c>
      <c r="J598" s="98">
        <v>114896</v>
      </c>
      <c r="K598" s="101" t="s">
        <v>2035</v>
      </c>
      <c r="L598" s="98">
        <v>112643</v>
      </c>
      <c r="M598" s="98">
        <v>2253</v>
      </c>
      <c r="N598" s="98">
        <v>2</v>
      </c>
      <c r="O598" s="98" t="s">
        <v>2176</v>
      </c>
      <c r="P598" s="98" t="s">
        <v>2183</v>
      </c>
      <c r="Q598" s="98" t="s">
        <v>2076</v>
      </c>
      <c r="R598" s="98" t="s">
        <v>2251</v>
      </c>
      <c r="S598" t="s">
        <v>2060</v>
      </c>
      <c r="T598" t="s">
        <v>2184</v>
      </c>
    </row>
    <row r="599" spans="1:20" x14ac:dyDescent="0.25">
      <c r="A599" s="98" t="s">
        <v>466</v>
      </c>
      <c r="B599" s="98" t="s">
        <v>468</v>
      </c>
      <c r="C599" s="98" t="s">
        <v>1179</v>
      </c>
      <c r="D599" s="98" t="s">
        <v>2034</v>
      </c>
      <c r="E599" s="101">
        <v>37008</v>
      </c>
      <c r="F599" s="101">
        <v>219512</v>
      </c>
      <c r="G599" s="98">
        <v>0</v>
      </c>
      <c r="H599" s="101">
        <v>45880</v>
      </c>
      <c r="I599" s="98" t="s">
        <v>2035</v>
      </c>
      <c r="J599" s="98">
        <v>37008</v>
      </c>
      <c r="K599" s="101" t="s">
        <v>2035</v>
      </c>
      <c r="L599" s="98">
        <v>33644</v>
      </c>
      <c r="M599" s="98">
        <v>3364</v>
      </c>
      <c r="N599" s="98">
        <v>10</v>
      </c>
      <c r="O599" s="98" t="s">
        <v>2176</v>
      </c>
      <c r="P599" s="98" t="s">
        <v>2183</v>
      </c>
      <c r="Q599" s="98" t="s">
        <v>2076</v>
      </c>
      <c r="R599" s="98" t="s">
        <v>2251</v>
      </c>
      <c r="S599" t="s">
        <v>2060</v>
      </c>
      <c r="T599" t="s">
        <v>2184</v>
      </c>
    </row>
    <row r="600" spans="1:20" x14ac:dyDescent="0.25">
      <c r="A600" s="98" t="s">
        <v>156</v>
      </c>
      <c r="B600" s="98" t="s">
        <v>157</v>
      </c>
      <c r="C600" s="98" t="s">
        <v>1179</v>
      </c>
      <c r="D600" s="98" t="s">
        <v>2034</v>
      </c>
      <c r="E600" s="101">
        <v>35251</v>
      </c>
      <c r="F600" s="101">
        <v>219512</v>
      </c>
      <c r="G600" s="98">
        <v>0</v>
      </c>
      <c r="H600" s="101">
        <v>45919</v>
      </c>
      <c r="I600" s="98" t="s">
        <v>2035</v>
      </c>
      <c r="J600" s="98">
        <v>35251</v>
      </c>
      <c r="K600" s="101" t="s">
        <v>2035</v>
      </c>
      <c r="L600" s="98">
        <v>34560</v>
      </c>
      <c r="M600" s="98">
        <v>691</v>
      </c>
      <c r="N600" s="98">
        <v>2</v>
      </c>
      <c r="O600" s="98" t="s">
        <v>2176</v>
      </c>
      <c r="P600" s="98" t="s">
        <v>2183</v>
      </c>
      <c r="Q600" s="98" t="s">
        <v>2076</v>
      </c>
      <c r="R600" s="98" t="s">
        <v>2228</v>
      </c>
      <c r="S600" t="s">
        <v>2060</v>
      </c>
      <c r="T600" t="s">
        <v>2184</v>
      </c>
    </row>
    <row r="601" spans="1:20" x14ac:dyDescent="0.25">
      <c r="A601" s="98" t="s">
        <v>158</v>
      </c>
      <c r="B601" s="98" t="s">
        <v>159</v>
      </c>
      <c r="C601" s="98" t="s">
        <v>1179</v>
      </c>
      <c r="D601" s="98" t="s">
        <v>2034</v>
      </c>
      <c r="E601" s="101">
        <v>34702</v>
      </c>
      <c r="F601" s="101">
        <v>219512</v>
      </c>
      <c r="G601" s="98">
        <v>0</v>
      </c>
      <c r="H601" s="101">
        <v>45919</v>
      </c>
      <c r="I601" s="98" t="s">
        <v>2035</v>
      </c>
      <c r="J601" s="98">
        <v>34702</v>
      </c>
      <c r="K601" s="101" t="s">
        <v>2035</v>
      </c>
      <c r="L601" s="98">
        <v>34022</v>
      </c>
      <c r="M601" s="98">
        <v>680</v>
      </c>
      <c r="N601" s="98">
        <v>2</v>
      </c>
      <c r="O601" s="98" t="s">
        <v>2176</v>
      </c>
      <c r="P601" s="98" t="s">
        <v>2183</v>
      </c>
      <c r="Q601" s="98" t="s">
        <v>2076</v>
      </c>
      <c r="R601" s="98" t="s">
        <v>2228</v>
      </c>
      <c r="S601" t="s">
        <v>2058</v>
      </c>
      <c r="T601" t="s">
        <v>2184</v>
      </c>
    </row>
    <row r="602" spans="1:20" x14ac:dyDescent="0.25">
      <c r="A602" s="98" t="s">
        <v>160</v>
      </c>
      <c r="B602" s="98" t="s">
        <v>161</v>
      </c>
      <c r="C602" s="98" t="s">
        <v>1179</v>
      </c>
      <c r="D602" s="98" t="s">
        <v>2034</v>
      </c>
      <c r="E602" s="101">
        <v>52812</v>
      </c>
      <c r="F602" s="101">
        <v>219512</v>
      </c>
      <c r="G602" s="98">
        <v>0</v>
      </c>
      <c r="H602" s="101">
        <v>45919</v>
      </c>
      <c r="I602" s="98" t="s">
        <v>2035</v>
      </c>
      <c r="J602" s="98">
        <v>52812</v>
      </c>
      <c r="K602" s="101" t="s">
        <v>2035</v>
      </c>
      <c r="L602" s="98">
        <v>51776</v>
      </c>
      <c r="M602" s="98">
        <v>1036</v>
      </c>
      <c r="N602" s="98">
        <v>2</v>
      </c>
      <c r="O602" s="98" t="s">
        <v>2176</v>
      </c>
      <c r="P602" s="98" t="s">
        <v>2183</v>
      </c>
      <c r="Q602" s="98" t="s">
        <v>2076</v>
      </c>
      <c r="R602" s="98" t="s">
        <v>2228</v>
      </c>
      <c r="S602" t="s">
        <v>2058</v>
      </c>
      <c r="T602" t="s">
        <v>2184</v>
      </c>
    </row>
    <row r="603" spans="1:20" x14ac:dyDescent="0.25">
      <c r="A603" s="98" t="s">
        <v>162</v>
      </c>
      <c r="B603" s="98" t="s">
        <v>163</v>
      </c>
      <c r="C603" s="98" t="s">
        <v>1179</v>
      </c>
      <c r="D603" s="98" t="s">
        <v>2034</v>
      </c>
      <c r="E603" s="101">
        <v>28424</v>
      </c>
      <c r="F603" s="101">
        <v>219512</v>
      </c>
      <c r="G603" s="98">
        <v>0</v>
      </c>
      <c r="H603" s="101">
        <v>45919</v>
      </c>
      <c r="I603" s="98" t="s">
        <v>2035</v>
      </c>
      <c r="J603" s="98">
        <v>28424</v>
      </c>
      <c r="K603" s="101" t="s">
        <v>2035</v>
      </c>
      <c r="L603" s="98">
        <v>27867</v>
      </c>
      <c r="M603" s="98">
        <v>557</v>
      </c>
      <c r="N603" s="98">
        <v>2</v>
      </c>
      <c r="O603" s="98" t="s">
        <v>2176</v>
      </c>
      <c r="P603" s="98" t="s">
        <v>2183</v>
      </c>
      <c r="Q603" s="98" t="s">
        <v>2076</v>
      </c>
      <c r="R603" s="98" t="s">
        <v>2252</v>
      </c>
      <c r="S603" t="s">
        <v>2071</v>
      </c>
      <c r="T603" t="s">
        <v>2184</v>
      </c>
    </row>
    <row r="604" spans="1:20" x14ac:dyDescent="0.25">
      <c r="A604" s="98" t="s">
        <v>164</v>
      </c>
      <c r="B604" s="98" t="s">
        <v>165</v>
      </c>
      <c r="C604" s="98" t="s">
        <v>1179</v>
      </c>
      <c r="D604" s="98" t="s">
        <v>2034</v>
      </c>
      <c r="E604" s="101">
        <v>23932</v>
      </c>
      <c r="F604" s="101">
        <v>219512</v>
      </c>
      <c r="G604" s="98">
        <v>0</v>
      </c>
      <c r="H604" s="101">
        <v>45919</v>
      </c>
      <c r="I604" s="98" t="s">
        <v>2035</v>
      </c>
      <c r="J604" s="98">
        <v>23932</v>
      </c>
      <c r="K604" s="101" t="s">
        <v>2035</v>
      </c>
      <c r="L604" s="98">
        <v>23463</v>
      </c>
      <c r="M604" s="98">
        <v>469</v>
      </c>
      <c r="N604" s="98">
        <v>2</v>
      </c>
      <c r="O604" s="98" t="s">
        <v>2176</v>
      </c>
      <c r="P604" s="98" t="s">
        <v>2183</v>
      </c>
      <c r="Q604" s="98" t="s">
        <v>2076</v>
      </c>
      <c r="R604" s="98" t="s">
        <v>2252</v>
      </c>
      <c r="S604" t="s">
        <v>2071</v>
      </c>
      <c r="T604" t="s">
        <v>2184</v>
      </c>
    </row>
    <row r="605" spans="1:20" x14ac:dyDescent="0.25">
      <c r="A605" s="98" t="s">
        <v>166</v>
      </c>
      <c r="B605" s="98" t="s">
        <v>167</v>
      </c>
      <c r="C605" s="98" t="s">
        <v>1179</v>
      </c>
      <c r="D605" s="98" t="s">
        <v>2034</v>
      </c>
      <c r="E605" s="101">
        <v>43410</v>
      </c>
      <c r="F605" s="101">
        <v>219512</v>
      </c>
      <c r="G605" s="98">
        <v>0</v>
      </c>
      <c r="H605" s="101">
        <v>45919</v>
      </c>
      <c r="I605" s="98" t="s">
        <v>2035</v>
      </c>
      <c r="J605" s="98">
        <v>43410</v>
      </c>
      <c r="K605" s="101" t="s">
        <v>2035</v>
      </c>
      <c r="L605" s="98">
        <v>41740</v>
      </c>
      <c r="M605" s="98">
        <v>1670</v>
      </c>
      <c r="N605" s="98">
        <v>4</v>
      </c>
      <c r="O605" s="98" t="s">
        <v>2176</v>
      </c>
      <c r="P605" s="98" t="s">
        <v>2183</v>
      </c>
      <c r="Q605" s="98" t="s">
        <v>2076</v>
      </c>
      <c r="R605" s="98" t="s">
        <v>2253</v>
      </c>
      <c r="S605" t="s">
        <v>2060</v>
      </c>
      <c r="T605" t="s">
        <v>2184</v>
      </c>
    </row>
    <row r="606" spans="1:20" x14ac:dyDescent="0.25">
      <c r="A606" s="98" t="s">
        <v>168</v>
      </c>
      <c r="B606" s="98" t="s">
        <v>169</v>
      </c>
      <c r="C606" s="98" t="s">
        <v>1179</v>
      </c>
      <c r="D606" s="98" t="s">
        <v>2034</v>
      </c>
      <c r="E606" s="101">
        <v>42893</v>
      </c>
      <c r="F606" s="101">
        <v>219512</v>
      </c>
      <c r="G606" s="98">
        <v>0</v>
      </c>
      <c r="H606" s="101">
        <v>45919</v>
      </c>
      <c r="I606" s="98" t="s">
        <v>2035</v>
      </c>
      <c r="J606" s="98">
        <v>42893</v>
      </c>
      <c r="K606" s="101" t="s">
        <v>2035</v>
      </c>
      <c r="L606" s="98">
        <v>42052</v>
      </c>
      <c r="M606" s="98">
        <v>841</v>
      </c>
      <c r="N606" s="98">
        <v>2</v>
      </c>
      <c r="O606" s="98" t="s">
        <v>2176</v>
      </c>
      <c r="P606" s="98" t="s">
        <v>2183</v>
      </c>
      <c r="Q606" s="98" t="s">
        <v>2076</v>
      </c>
      <c r="R606" s="98" t="s">
        <v>2253</v>
      </c>
      <c r="S606" t="s">
        <v>2058</v>
      </c>
      <c r="T606" t="s">
        <v>2184</v>
      </c>
    </row>
    <row r="607" spans="1:20" x14ac:dyDescent="0.25">
      <c r="A607" s="98" t="s">
        <v>170</v>
      </c>
      <c r="B607" s="98" t="s">
        <v>171</v>
      </c>
      <c r="C607" s="98" t="s">
        <v>1179</v>
      </c>
      <c r="D607" s="98" t="s">
        <v>2034</v>
      </c>
      <c r="E607" s="101">
        <v>52815</v>
      </c>
      <c r="F607" s="101">
        <v>219512</v>
      </c>
      <c r="G607" s="98">
        <v>0</v>
      </c>
      <c r="H607" s="101">
        <v>45919</v>
      </c>
      <c r="I607" s="98" t="s">
        <v>2035</v>
      </c>
      <c r="J607" s="98">
        <v>52815</v>
      </c>
      <c r="K607" s="101" t="s">
        <v>2035</v>
      </c>
      <c r="L607" s="98">
        <v>51779</v>
      </c>
      <c r="M607" s="98">
        <v>1036</v>
      </c>
      <c r="N607" s="98">
        <v>2</v>
      </c>
      <c r="O607" s="98" t="s">
        <v>2176</v>
      </c>
      <c r="P607" s="98" t="s">
        <v>2183</v>
      </c>
      <c r="Q607" s="98" t="s">
        <v>2076</v>
      </c>
      <c r="R607" s="98" t="s">
        <v>2253</v>
      </c>
      <c r="S607" t="s">
        <v>2058</v>
      </c>
      <c r="T607" t="s">
        <v>2184</v>
      </c>
    </row>
    <row r="608" spans="1:20" x14ac:dyDescent="0.25">
      <c r="A608" s="98" t="s">
        <v>172</v>
      </c>
      <c r="B608" s="98" t="s">
        <v>358</v>
      </c>
      <c r="C608" s="98" t="s">
        <v>1179</v>
      </c>
      <c r="D608" s="98" t="s">
        <v>2034</v>
      </c>
      <c r="E608" s="101">
        <v>77964</v>
      </c>
      <c r="F608" s="101">
        <v>219512</v>
      </c>
      <c r="G608" s="98">
        <v>0</v>
      </c>
      <c r="H608" s="101">
        <v>45919</v>
      </c>
      <c r="I608" s="98" t="s">
        <v>2035</v>
      </c>
      <c r="J608" s="98">
        <v>77964</v>
      </c>
      <c r="K608" s="101" t="s">
        <v>2035</v>
      </c>
      <c r="L608" s="98">
        <v>76435</v>
      </c>
      <c r="M608" s="98">
        <v>1529</v>
      </c>
      <c r="N608" s="98">
        <v>2</v>
      </c>
      <c r="O608" s="98" t="s">
        <v>2176</v>
      </c>
      <c r="P608" s="98" t="s">
        <v>2183</v>
      </c>
      <c r="Q608" s="98" t="s">
        <v>2076</v>
      </c>
      <c r="R608" s="98" t="s">
        <v>2254</v>
      </c>
      <c r="S608" t="s">
        <v>2085</v>
      </c>
      <c r="T608" t="s">
        <v>2184</v>
      </c>
    </row>
    <row r="609" spans="1:20" x14ac:dyDescent="0.25">
      <c r="A609" s="98" t="s">
        <v>173</v>
      </c>
      <c r="B609" s="98" t="s">
        <v>360</v>
      </c>
      <c r="C609" s="98" t="s">
        <v>1179</v>
      </c>
      <c r="D609" s="98" t="s">
        <v>2034</v>
      </c>
      <c r="E609" s="101">
        <v>29540</v>
      </c>
      <c r="F609" s="101">
        <v>219512</v>
      </c>
      <c r="G609" s="98">
        <v>0</v>
      </c>
      <c r="H609" s="101">
        <v>45919</v>
      </c>
      <c r="I609" s="98" t="s">
        <v>2035</v>
      </c>
      <c r="J609" s="98">
        <v>29540</v>
      </c>
      <c r="K609" s="101" t="s">
        <v>2035</v>
      </c>
      <c r="L609" s="98">
        <v>28961</v>
      </c>
      <c r="M609" s="98">
        <v>579</v>
      </c>
      <c r="N609" s="98">
        <v>2</v>
      </c>
      <c r="O609" s="98" t="s">
        <v>2176</v>
      </c>
      <c r="P609" s="98" t="s">
        <v>2183</v>
      </c>
      <c r="Q609" s="98" t="s">
        <v>2076</v>
      </c>
      <c r="R609" s="98" t="s">
        <v>2255</v>
      </c>
      <c r="S609" t="s">
        <v>2060</v>
      </c>
      <c r="T609" t="s">
        <v>2184</v>
      </c>
    </row>
    <row r="610" spans="1:20" x14ac:dyDescent="0.25">
      <c r="A610" s="98" t="s">
        <v>174</v>
      </c>
      <c r="B610" s="98" t="s">
        <v>175</v>
      </c>
      <c r="C610" s="98" t="s">
        <v>1179</v>
      </c>
      <c r="D610" s="98" t="s">
        <v>2034</v>
      </c>
      <c r="E610" s="101">
        <v>32640</v>
      </c>
      <c r="F610" s="101">
        <v>219512</v>
      </c>
      <c r="G610" s="98">
        <v>0</v>
      </c>
      <c r="H610" s="101">
        <v>45880</v>
      </c>
      <c r="I610" s="98" t="s">
        <v>2035</v>
      </c>
      <c r="J610" s="98">
        <v>32640</v>
      </c>
      <c r="K610" s="101" t="s">
        <v>2035</v>
      </c>
      <c r="L610" s="98">
        <v>29673</v>
      </c>
      <c r="M610" s="98">
        <v>2967</v>
      </c>
      <c r="N610" s="98">
        <v>10</v>
      </c>
      <c r="O610" s="98" t="s">
        <v>2176</v>
      </c>
      <c r="P610" s="98" t="s">
        <v>2183</v>
      </c>
      <c r="Q610" s="98" t="s">
        <v>2076</v>
      </c>
      <c r="R610" s="98" t="s">
        <v>2255</v>
      </c>
      <c r="S610" t="s">
        <v>2060</v>
      </c>
      <c r="T610" t="s">
        <v>2184</v>
      </c>
    </row>
    <row r="611" spans="1:20" x14ac:dyDescent="0.25">
      <c r="A611" s="98" t="s">
        <v>176</v>
      </c>
      <c r="B611" s="98" t="s">
        <v>363</v>
      </c>
      <c r="C611" s="98" t="s">
        <v>1179</v>
      </c>
      <c r="D611" s="98" t="s">
        <v>2034</v>
      </c>
      <c r="E611" s="101">
        <v>80352</v>
      </c>
      <c r="F611" s="101">
        <v>219512</v>
      </c>
      <c r="G611" s="98">
        <v>0</v>
      </c>
      <c r="H611" s="101">
        <v>45919</v>
      </c>
      <c r="I611" s="98" t="s">
        <v>2035</v>
      </c>
      <c r="J611" s="98">
        <v>80352</v>
      </c>
      <c r="K611" s="101" t="s">
        <v>2035</v>
      </c>
      <c r="L611" s="98">
        <v>69871</v>
      </c>
      <c r="M611" s="98">
        <v>10481</v>
      </c>
      <c r="N611" s="98">
        <v>15</v>
      </c>
      <c r="O611" s="98" t="s">
        <v>2176</v>
      </c>
      <c r="P611" s="98" t="s">
        <v>2183</v>
      </c>
      <c r="Q611" s="98" t="s">
        <v>2076</v>
      </c>
      <c r="R611" s="98" t="s">
        <v>2255</v>
      </c>
      <c r="S611" t="s">
        <v>2058</v>
      </c>
      <c r="T611" t="s">
        <v>2184</v>
      </c>
    </row>
    <row r="612" spans="1:20" x14ac:dyDescent="0.25">
      <c r="A612" s="98" t="s">
        <v>177</v>
      </c>
      <c r="B612" s="98" t="s">
        <v>365</v>
      </c>
      <c r="C612" s="98" t="s">
        <v>1179</v>
      </c>
      <c r="D612" s="98" t="s">
        <v>2034</v>
      </c>
      <c r="E612" s="101">
        <v>51821</v>
      </c>
      <c r="F612" s="101">
        <v>219512</v>
      </c>
      <c r="G612" s="98">
        <v>0</v>
      </c>
      <c r="H612" s="101">
        <v>45880</v>
      </c>
      <c r="I612" s="98" t="s">
        <v>2035</v>
      </c>
      <c r="J612" s="98">
        <v>51821</v>
      </c>
      <c r="K612" s="101" t="s">
        <v>2035</v>
      </c>
      <c r="L612" s="98">
        <v>47110</v>
      </c>
      <c r="M612" s="98">
        <v>4711</v>
      </c>
      <c r="N612" s="98">
        <v>10</v>
      </c>
      <c r="O612" s="98" t="s">
        <v>2176</v>
      </c>
      <c r="P612" s="98" t="s">
        <v>2183</v>
      </c>
      <c r="Q612" s="98" t="s">
        <v>2076</v>
      </c>
      <c r="R612" s="98" t="s">
        <v>2255</v>
      </c>
      <c r="S612" t="s">
        <v>2060</v>
      </c>
      <c r="T612" t="s">
        <v>2184</v>
      </c>
    </row>
    <row r="613" spans="1:20" x14ac:dyDescent="0.25">
      <c r="A613" s="98" t="s">
        <v>178</v>
      </c>
      <c r="B613" s="98" t="s">
        <v>367</v>
      </c>
      <c r="C613" s="98" t="s">
        <v>1179</v>
      </c>
      <c r="D613" s="98" t="s">
        <v>2034</v>
      </c>
      <c r="E613" s="101">
        <v>84151</v>
      </c>
      <c r="F613" s="101">
        <v>219512</v>
      </c>
      <c r="G613" s="98">
        <v>0</v>
      </c>
      <c r="H613" s="101">
        <v>45919</v>
      </c>
      <c r="I613" s="98" t="s">
        <v>2035</v>
      </c>
      <c r="J613" s="98">
        <v>84151</v>
      </c>
      <c r="K613" s="101" t="s">
        <v>2035</v>
      </c>
      <c r="L613" s="98">
        <v>82501</v>
      </c>
      <c r="M613" s="98">
        <v>1650</v>
      </c>
      <c r="N613" s="98">
        <v>2</v>
      </c>
      <c r="O613" s="98" t="s">
        <v>2176</v>
      </c>
      <c r="P613" s="98" t="s">
        <v>2183</v>
      </c>
      <c r="Q613" s="98" t="s">
        <v>2076</v>
      </c>
      <c r="R613" s="98" t="s">
        <v>2255</v>
      </c>
      <c r="S613" t="s">
        <v>2060</v>
      </c>
      <c r="T613" t="s">
        <v>2184</v>
      </c>
    </row>
    <row r="614" spans="1:20" x14ac:dyDescent="0.25">
      <c r="A614" s="98" t="s">
        <v>179</v>
      </c>
      <c r="B614" s="98" t="s">
        <v>369</v>
      </c>
      <c r="C614" s="98" t="s">
        <v>1179</v>
      </c>
      <c r="D614" s="98" t="s">
        <v>2034</v>
      </c>
      <c r="E614" s="101">
        <v>40046</v>
      </c>
      <c r="F614" s="101">
        <v>219512</v>
      </c>
      <c r="G614" s="98">
        <v>0</v>
      </c>
      <c r="H614" s="101">
        <v>45919</v>
      </c>
      <c r="I614" s="98" t="s">
        <v>2035</v>
      </c>
      <c r="J614" s="98">
        <v>40046</v>
      </c>
      <c r="K614" s="101" t="s">
        <v>2035</v>
      </c>
      <c r="L614" s="98">
        <v>39261</v>
      </c>
      <c r="M614" s="98">
        <v>785</v>
      </c>
      <c r="N614" s="98">
        <v>2</v>
      </c>
      <c r="O614" s="98" t="s">
        <v>2176</v>
      </c>
      <c r="P614" s="98" t="s">
        <v>2183</v>
      </c>
      <c r="Q614" s="98" t="s">
        <v>2076</v>
      </c>
      <c r="R614" s="98" t="s">
        <v>2255</v>
      </c>
      <c r="S614" t="s">
        <v>2060</v>
      </c>
      <c r="T614" t="s">
        <v>2184</v>
      </c>
    </row>
    <row r="615" spans="1:20" x14ac:dyDescent="0.25">
      <c r="A615" s="98" t="s">
        <v>180</v>
      </c>
      <c r="B615" s="98" t="s">
        <v>371</v>
      </c>
      <c r="C615" s="98" t="s">
        <v>1179</v>
      </c>
      <c r="D615" s="98" t="s">
        <v>2034</v>
      </c>
      <c r="E615" s="101">
        <v>57704</v>
      </c>
      <c r="F615" s="101">
        <v>219512</v>
      </c>
      <c r="G615" s="98">
        <v>0</v>
      </c>
      <c r="H615" s="101">
        <v>45919</v>
      </c>
      <c r="I615" s="98" t="s">
        <v>2035</v>
      </c>
      <c r="J615" s="98">
        <v>57704</v>
      </c>
      <c r="K615" s="101" t="s">
        <v>2035</v>
      </c>
      <c r="L615" s="98">
        <v>56023</v>
      </c>
      <c r="M615" s="98">
        <v>1681</v>
      </c>
      <c r="N615" s="98">
        <v>3</v>
      </c>
      <c r="O615" s="98" t="s">
        <v>2176</v>
      </c>
      <c r="P615" s="98" t="s">
        <v>2183</v>
      </c>
      <c r="Q615" s="98" t="s">
        <v>2076</v>
      </c>
      <c r="R615" s="98" t="s">
        <v>2255</v>
      </c>
      <c r="S615" t="s">
        <v>2060</v>
      </c>
      <c r="T615" t="s">
        <v>2184</v>
      </c>
    </row>
    <row r="616" spans="1:20" x14ac:dyDescent="0.25">
      <c r="A616" s="98" t="s">
        <v>181</v>
      </c>
      <c r="B616" s="98" t="s">
        <v>1779</v>
      </c>
      <c r="C616" s="98" t="s">
        <v>1179</v>
      </c>
      <c r="D616" s="98" t="s">
        <v>2034</v>
      </c>
      <c r="E616" s="101">
        <v>57115</v>
      </c>
      <c r="F616" s="101">
        <v>219512</v>
      </c>
      <c r="G616" s="98">
        <v>0</v>
      </c>
      <c r="H616" s="101">
        <v>45919</v>
      </c>
      <c r="I616" s="98" t="s">
        <v>2035</v>
      </c>
      <c r="J616" s="98">
        <v>57115</v>
      </c>
      <c r="K616" s="101" t="s">
        <v>2035</v>
      </c>
      <c r="L616" s="98">
        <v>53882</v>
      </c>
      <c r="M616" s="98">
        <v>3233</v>
      </c>
      <c r="N616" s="98">
        <v>6</v>
      </c>
      <c r="O616" s="98" t="s">
        <v>2176</v>
      </c>
      <c r="P616" s="98" t="s">
        <v>2183</v>
      </c>
      <c r="Q616" s="98" t="s">
        <v>2076</v>
      </c>
      <c r="R616" s="98" t="s">
        <v>2228</v>
      </c>
      <c r="S616" t="s">
        <v>2058</v>
      </c>
      <c r="T616" t="s">
        <v>2184</v>
      </c>
    </row>
    <row r="617" spans="1:20" x14ac:dyDescent="0.25">
      <c r="A617" s="98" t="s">
        <v>1780</v>
      </c>
      <c r="B617" s="98" t="s">
        <v>1781</v>
      </c>
      <c r="C617" s="98" t="s">
        <v>1179</v>
      </c>
      <c r="D617" s="98" t="s">
        <v>2034</v>
      </c>
      <c r="E617" s="101">
        <v>57800</v>
      </c>
      <c r="F617" s="101">
        <v>219512</v>
      </c>
      <c r="G617" s="98">
        <v>0</v>
      </c>
      <c r="H617" s="101">
        <v>45919</v>
      </c>
      <c r="I617" s="98" t="s">
        <v>2035</v>
      </c>
      <c r="J617" s="98">
        <v>57800</v>
      </c>
      <c r="K617" s="101" t="s">
        <v>2035</v>
      </c>
      <c r="L617" s="98">
        <v>55048</v>
      </c>
      <c r="M617" s="98">
        <v>2752</v>
      </c>
      <c r="N617" s="98">
        <v>5</v>
      </c>
      <c r="O617" s="98" t="s">
        <v>2176</v>
      </c>
      <c r="P617" s="98" t="s">
        <v>2183</v>
      </c>
      <c r="Q617" s="98" t="s">
        <v>2076</v>
      </c>
      <c r="R617" s="98" t="s">
        <v>2255</v>
      </c>
      <c r="S617" t="s">
        <v>2060</v>
      </c>
      <c r="T617" t="s">
        <v>2184</v>
      </c>
    </row>
    <row r="618" spans="1:20" x14ac:dyDescent="0.25">
      <c r="A618" s="98" t="s">
        <v>457</v>
      </c>
      <c r="B618" s="98" t="s">
        <v>1782</v>
      </c>
      <c r="C618" s="98" t="s">
        <v>1179</v>
      </c>
      <c r="D618" s="98" t="s">
        <v>2034</v>
      </c>
      <c r="E618" s="101">
        <v>27543</v>
      </c>
      <c r="F618" s="101">
        <v>219512</v>
      </c>
      <c r="G618" s="98">
        <v>0</v>
      </c>
      <c r="H618" s="101">
        <v>45880</v>
      </c>
      <c r="I618" s="98" t="s">
        <v>2035</v>
      </c>
      <c r="J618" s="98">
        <v>27543</v>
      </c>
      <c r="K618" s="101" t="s">
        <v>2035</v>
      </c>
      <c r="L618" s="98">
        <v>25039</v>
      </c>
      <c r="M618" s="98">
        <v>2504</v>
      </c>
      <c r="N618" s="98">
        <v>10</v>
      </c>
      <c r="O618" s="98" t="s">
        <v>2176</v>
      </c>
      <c r="P618" s="98" t="s">
        <v>2183</v>
      </c>
      <c r="Q618" s="98" t="s">
        <v>2076</v>
      </c>
      <c r="R618" s="98" t="s">
        <v>2255</v>
      </c>
      <c r="S618" t="s">
        <v>2060</v>
      </c>
      <c r="T618" t="s">
        <v>2184</v>
      </c>
    </row>
    <row r="619" spans="1:20" x14ac:dyDescent="0.25">
      <c r="A619" s="98" t="s">
        <v>459</v>
      </c>
      <c r="B619" s="98" t="s">
        <v>1783</v>
      </c>
      <c r="C619" s="98" t="s">
        <v>1179</v>
      </c>
      <c r="D619" s="98" t="s">
        <v>2034</v>
      </c>
      <c r="E619" s="101">
        <v>27556</v>
      </c>
      <c r="F619" s="101">
        <v>219512</v>
      </c>
      <c r="G619" s="98">
        <v>0</v>
      </c>
      <c r="H619" s="101">
        <v>45880</v>
      </c>
      <c r="I619" s="98" t="s">
        <v>2035</v>
      </c>
      <c r="J619" s="98">
        <v>27556</v>
      </c>
      <c r="K619" s="101" t="s">
        <v>2035</v>
      </c>
      <c r="L619" s="98">
        <v>25051</v>
      </c>
      <c r="M619" s="98">
        <v>2505</v>
      </c>
      <c r="N619" s="98">
        <v>10</v>
      </c>
      <c r="O619" s="98" t="s">
        <v>2176</v>
      </c>
      <c r="P619" s="98" t="s">
        <v>2183</v>
      </c>
      <c r="Q619" s="98" t="s">
        <v>2076</v>
      </c>
      <c r="R619" s="98" t="s">
        <v>2255</v>
      </c>
      <c r="S619" t="s">
        <v>2060</v>
      </c>
      <c r="T619" t="s">
        <v>2184</v>
      </c>
    </row>
    <row r="620" spans="1:20" x14ac:dyDescent="0.25">
      <c r="A620" s="98" t="s">
        <v>420</v>
      </c>
      <c r="B620" s="98" t="s">
        <v>1784</v>
      </c>
      <c r="C620" s="98" t="s">
        <v>1179</v>
      </c>
      <c r="D620" s="98" t="s">
        <v>2034</v>
      </c>
      <c r="E620" s="101">
        <v>191582</v>
      </c>
      <c r="F620" s="101">
        <v>219512</v>
      </c>
      <c r="G620" s="98">
        <v>0</v>
      </c>
      <c r="H620" s="101">
        <v>45919</v>
      </c>
      <c r="I620" s="98" t="s">
        <v>2035</v>
      </c>
      <c r="J620" s="98">
        <v>191582</v>
      </c>
      <c r="K620" s="101" t="s">
        <v>2035</v>
      </c>
      <c r="L620" s="98">
        <v>182459</v>
      </c>
      <c r="M620" s="98">
        <v>9123</v>
      </c>
      <c r="N620" s="98">
        <v>5</v>
      </c>
      <c r="O620" s="98" t="s">
        <v>2176</v>
      </c>
      <c r="P620" s="98" t="s">
        <v>2183</v>
      </c>
      <c r="Q620" s="98" t="s">
        <v>2076</v>
      </c>
      <c r="R620" s="98" t="s">
        <v>2254</v>
      </c>
      <c r="S620" t="s">
        <v>2056</v>
      </c>
      <c r="T620" t="s">
        <v>2184</v>
      </c>
    </row>
    <row r="621" spans="1:20" x14ac:dyDescent="0.25">
      <c r="A621" s="98" t="s">
        <v>1785</v>
      </c>
      <c r="B621" s="98" t="s">
        <v>1786</v>
      </c>
      <c r="C621" s="98" t="s">
        <v>1179</v>
      </c>
      <c r="D621" s="98" t="s">
        <v>2034</v>
      </c>
      <c r="E621" s="101">
        <v>42265</v>
      </c>
      <c r="F621" s="101">
        <v>219512</v>
      </c>
      <c r="G621" s="98">
        <v>0</v>
      </c>
      <c r="H621" s="101">
        <v>45919</v>
      </c>
      <c r="I621" s="98" t="s">
        <v>2035</v>
      </c>
      <c r="J621" s="98">
        <v>42265</v>
      </c>
      <c r="K621" s="101" t="s">
        <v>2035</v>
      </c>
      <c r="L621" s="98">
        <v>40252</v>
      </c>
      <c r="M621" s="98">
        <v>2013</v>
      </c>
      <c r="N621" s="98">
        <v>5</v>
      </c>
      <c r="O621" s="98" t="s">
        <v>2176</v>
      </c>
      <c r="P621" s="98" t="s">
        <v>2183</v>
      </c>
      <c r="Q621" s="98" t="s">
        <v>2076</v>
      </c>
      <c r="R621" s="98" t="s">
        <v>2255</v>
      </c>
      <c r="S621" t="s">
        <v>2060</v>
      </c>
      <c r="T621" t="s">
        <v>2184</v>
      </c>
    </row>
    <row r="622" spans="1:20" x14ac:dyDescent="0.25">
      <c r="A622" s="98" t="s">
        <v>697</v>
      </c>
      <c r="B622" s="98" t="s">
        <v>719</v>
      </c>
      <c r="C622" s="98" t="s">
        <v>1179</v>
      </c>
      <c r="D622" s="98" t="s">
        <v>2034</v>
      </c>
      <c r="E622" s="101">
        <v>40305</v>
      </c>
      <c r="F622" s="101">
        <v>219512</v>
      </c>
      <c r="G622" s="98">
        <v>0</v>
      </c>
      <c r="H622" s="101">
        <v>45919</v>
      </c>
      <c r="I622" s="98" t="s">
        <v>2035</v>
      </c>
      <c r="J622" s="98">
        <v>40305</v>
      </c>
      <c r="K622" s="101" t="s">
        <v>2035</v>
      </c>
      <c r="L622" s="98">
        <v>39515</v>
      </c>
      <c r="M622" s="98">
        <v>790</v>
      </c>
      <c r="N622" s="98">
        <v>2</v>
      </c>
      <c r="O622" s="98" t="s">
        <v>2176</v>
      </c>
      <c r="P622" s="98" t="s">
        <v>2183</v>
      </c>
      <c r="Q622" s="98" t="s">
        <v>2076</v>
      </c>
      <c r="R622" s="98" t="s">
        <v>2251</v>
      </c>
      <c r="S622" t="s">
        <v>2060</v>
      </c>
      <c r="T622" t="s">
        <v>2184</v>
      </c>
    </row>
    <row r="623" spans="1:20" x14ac:dyDescent="0.25">
      <c r="A623" s="98" t="s">
        <v>698</v>
      </c>
      <c r="B623" s="98" t="s">
        <v>720</v>
      </c>
      <c r="C623" s="98" t="s">
        <v>1179</v>
      </c>
      <c r="D623" s="98" t="s">
        <v>2034</v>
      </c>
      <c r="E623" s="101">
        <v>70907</v>
      </c>
      <c r="F623" s="101">
        <v>219512</v>
      </c>
      <c r="G623" s="98">
        <v>0</v>
      </c>
      <c r="H623" s="101">
        <v>45880</v>
      </c>
      <c r="I623" s="98" t="s">
        <v>2035</v>
      </c>
      <c r="J623" s="98">
        <v>70907</v>
      </c>
      <c r="K623" s="101" t="s">
        <v>2035</v>
      </c>
      <c r="L623" s="98">
        <v>64461</v>
      </c>
      <c r="M623" s="98">
        <v>6446</v>
      </c>
      <c r="N623" s="98">
        <v>10</v>
      </c>
      <c r="O623" s="98" t="s">
        <v>2176</v>
      </c>
      <c r="P623" s="98" t="s">
        <v>2183</v>
      </c>
      <c r="Q623" s="98" t="s">
        <v>2076</v>
      </c>
      <c r="R623" s="98" t="s">
        <v>2251</v>
      </c>
      <c r="S623" t="s">
        <v>2060</v>
      </c>
      <c r="T623" t="s">
        <v>2184</v>
      </c>
    </row>
    <row r="624" spans="1:20" x14ac:dyDescent="0.25">
      <c r="A624" s="98" t="s">
        <v>699</v>
      </c>
      <c r="B624" s="98" t="s">
        <v>721</v>
      </c>
      <c r="C624" s="98" t="s">
        <v>1179</v>
      </c>
      <c r="D624" s="98" t="s">
        <v>2034</v>
      </c>
      <c r="E624" s="101">
        <v>70918</v>
      </c>
      <c r="F624" s="101">
        <v>219512</v>
      </c>
      <c r="G624" s="98">
        <v>0</v>
      </c>
      <c r="H624" s="101">
        <v>45880</v>
      </c>
      <c r="I624" s="98" t="s">
        <v>2035</v>
      </c>
      <c r="J624" s="98">
        <v>70918</v>
      </c>
      <c r="K624" s="101" t="s">
        <v>2035</v>
      </c>
      <c r="L624" s="98">
        <v>64471</v>
      </c>
      <c r="M624" s="98">
        <v>6447</v>
      </c>
      <c r="N624" s="98">
        <v>10</v>
      </c>
      <c r="O624" s="98" t="s">
        <v>2176</v>
      </c>
      <c r="P624" s="98" t="s">
        <v>2183</v>
      </c>
      <c r="Q624" s="98" t="s">
        <v>2076</v>
      </c>
      <c r="R624" s="98" t="s">
        <v>2251</v>
      </c>
      <c r="S624" t="s">
        <v>2060</v>
      </c>
      <c r="T624" t="s">
        <v>2184</v>
      </c>
    </row>
    <row r="625" spans="1:20" x14ac:dyDescent="0.25">
      <c r="A625" s="98" t="s">
        <v>700</v>
      </c>
      <c r="B625" s="98" t="s">
        <v>722</v>
      </c>
      <c r="C625" s="98" t="s">
        <v>1179</v>
      </c>
      <c r="D625" s="98" t="s">
        <v>2034</v>
      </c>
      <c r="E625" s="101">
        <v>70918</v>
      </c>
      <c r="F625" s="101">
        <v>219512</v>
      </c>
      <c r="G625" s="98">
        <v>0</v>
      </c>
      <c r="H625" s="101">
        <v>45880</v>
      </c>
      <c r="I625" s="98" t="s">
        <v>2035</v>
      </c>
      <c r="J625" s="98">
        <v>70918</v>
      </c>
      <c r="K625" s="101" t="s">
        <v>2035</v>
      </c>
      <c r="L625" s="98">
        <v>64471</v>
      </c>
      <c r="M625" s="98">
        <v>6447</v>
      </c>
      <c r="N625" s="98">
        <v>10</v>
      </c>
      <c r="O625" s="98" t="s">
        <v>2176</v>
      </c>
      <c r="P625" s="98" t="s">
        <v>2183</v>
      </c>
      <c r="Q625" s="98" t="s">
        <v>2076</v>
      </c>
      <c r="R625" s="98" t="s">
        <v>2251</v>
      </c>
      <c r="S625" t="s">
        <v>2060</v>
      </c>
      <c r="T625" t="s">
        <v>2184</v>
      </c>
    </row>
    <row r="626" spans="1:20" x14ac:dyDescent="0.25">
      <c r="A626" s="98" t="s">
        <v>701</v>
      </c>
      <c r="B626" s="98" t="s">
        <v>723</v>
      </c>
      <c r="C626" s="98" t="s">
        <v>1179</v>
      </c>
      <c r="D626" s="98" t="s">
        <v>2034</v>
      </c>
      <c r="E626" s="101">
        <v>70918</v>
      </c>
      <c r="F626" s="101">
        <v>219512</v>
      </c>
      <c r="G626" s="98">
        <v>0</v>
      </c>
      <c r="H626" s="101">
        <v>45880</v>
      </c>
      <c r="I626" s="98" t="s">
        <v>2035</v>
      </c>
      <c r="J626" s="98">
        <v>70918</v>
      </c>
      <c r="K626" s="101" t="s">
        <v>2035</v>
      </c>
      <c r="L626" s="98">
        <v>64471</v>
      </c>
      <c r="M626" s="98">
        <v>6447</v>
      </c>
      <c r="N626" s="98">
        <v>10</v>
      </c>
      <c r="O626" s="98" t="s">
        <v>2176</v>
      </c>
      <c r="P626" s="98" t="s">
        <v>2183</v>
      </c>
      <c r="Q626" s="98" t="s">
        <v>2076</v>
      </c>
      <c r="R626" s="98" t="s">
        <v>2251</v>
      </c>
      <c r="S626" t="s">
        <v>2060</v>
      </c>
      <c r="T626" t="s">
        <v>2184</v>
      </c>
    </row>
    <row r="627" spans="1:20" x14ac:dyDescent="0.25">
      <c r="A627" s="98" t="s">
        <v>702</v>
      </c>
      <c r="B627" s="98" t="s">
        <v>724</v>
      </c>
      <c r="C627" s="98" t="s">
        <v>1179</v>
      </c>
      <c r="D627" s="98" t="s">
        <v>2034</v>
      </c>
      <c r="E627" s="101">
        <v>36966</v>
      </c>
      <c r="F627" s="101">
        <v>219512</v>
      </c>
      <c r="G627" s="98">
        <v>0</v>
      </c>
      <c r="H627" s="101">
        <v>45880</v>
      </c>
      <c r="I627" s="98" t="s">
        <v>2035</v>
      </c>
      <c r="J627" s="98">
        <v>36966</v>
      </c>
      <c r="K627" s="101" t="s">
        <v>2035</v>
      </c>
      <c r="L627" s="98">
        <v>33605</v>
      </c>
      <c r="M627" s="98">
        <v>3361</v>
      </c>
      <c r="N627" s="98">
        <v>10</v>
      </c>
      <c r="O627" s="98" t="s">
        <v>2176</v>
      </c>
      <c r="P627" s="98" t="s">
        <v>2183</v>
      </c>
      <c r="Q627" s="98" t="s">
        <v>2076</v>
      </c>
      <c r="R627" s="98" t="s">
        <v>2251</v>
      </c>
      <c r="S627" t="s">
        <v>2060</v>
      </c>
      <c r="T627" t="s">
        <v>2184</v>
      </c>
    </row>
    <row r="628" spans="1:20" x14ac:dyDescent="0.25">
      <c r="A628" s="98" t="s">
        <v>703</v>
      </c>
      <c r="B628" s="98" t="s">
        <v>725</v>
      </c>
      <c r="C628" s="98" t="s">
        <v>1179</v>
      </c>
      <c r="D628" s="98" t="s">
        <v>2034</v>
      </c>
      <c r="E628" s="101">
        <v>42303</v>
      </c>
      <c r="F628" s="101">
        <v>219512</v>
      </c>
      <c r="G628" s="98">
        <v>0</v>
      </c>
      <c r="H628" s="101">
        <v>45880</v>
      </c>
      <c r="I628" s="98" t="s">
        <v>2035</v>
      </c>
      <c r="J628" s="98">
        <v>42303</v>
      </c>
      <c r="K628" s="101" t="s">
        <v>2035</v>
      </c>
      <c r="L628" s="98">
        <v>38457</v>
      </c>
      <c r="M628" s="98">
        <v>3846</v>
      </c>
      <c r="N628" s="98">
        <v>10</v>
      </c>
      <c r="O628" s="98" t="s">
        <v>2176</v>
      </c>
      <c r="P628" s="98" t="s">
        <v>2183</v>
      </c>
      <c r="Q628" s="98" t="s">
        <v>2076</v>
      </c>
      <c r="R628" s="98" t="s">
        <v>2251</v>
      </c>
      <c r="S628" t="s">
        <v>2060</v>
      </c>
      <c r="T628" t="s">
        <v>2184</v>
      </c>
    </row>
    <row r="629" spans="1:20" x14ac:dyDescent="0.25">
      <c r="A629" s="98" t="s">
        <v>704</v>
      </c>
      <c r="B629" s="98" t="s">
        <v>726</v>
      </c>
      <c r="C629" s="98" t="s">
        <v>1179</v>
      </c>
      <c r="D629" s="98" t="s">
        <v>2034</v>
      </c>
      <c r="E629" s="101">
        <v>42716</v>
      </c>
      <c r="F629" s="101">
        <v>219512</v>
      </c>
      <c r="G629" s="98">
        <v>0</v>
      </c>
      <c r="H629" s="101">
        <v>45919</v>
      </c>
      <c r="I629" s="98" t="s">
        <v>2035</v>
      </c>
      <c r="J629" s="98">
        <v>42716</v>
      </c>
      <c r="K629" s="101" t="s">
        <v>2035</v>
      </c>
      <c r="L629" s="98">
        <v>40682</v>
      </c>
      <c r="M629" s="98">
        <v>2034</v>
      </c>
      <c r="N629" s="98">
        <v>5</v>
      </c>
      <c r="O629" s="98" t="s">
        <v>2176</v>
      </c>
      <c r="P629" s="98" t="s">
        <v>2183</v>
      </c>
      <c r="Q629" s="98" t="s">
        <v>2076</v>
      </c>
      <c r="R629" s="98" t="s">
        <v>2195</v>
      </c>
      <c r="S629" t="s">
        <v>2060</v>
      </c>
      <c r="T629" t="s">
        <v>2184</v>
      </c>
    </row>
    <row r="630" spans="1:20" x14ac:dyDescent="0.25">
      <c r="A630" s="98" t="s">
        <v>705</v>
      </c>
      <c r="B630" s="98" t="s">
        <v>727</v>
      </c>
      <c r="C630" s="98" t="s">
        <v>1179</v>
      </c>
      <c r="D630" s="98" t="s">
        <v>2034</v>
      </c>
      <c r="E630" s="101">
        <v>58157</v>
      </c>
      <c r="F630" s="101">
        <v>219512</v>
      </c>
      <c r="G630" s="98">
        <v>0</v>
      </c>
      <c r="H630" s="101">
        <v>45919</v>
      </c>
      <c r="I630" s="98" t="s">
        <v>2035</v>
      </c>
      <c r="J630" s="98">
        <v>58157</v>
      </c>
      <c r="K630" s="101" t="s">
        <v>2035</v>
      </c>
      <c r="L630" s="98">
        <v>54865</v>
      </c>
      <c r="M630" s="98">
        <v>3292</v>
      </c>
      <c r="N630" s="98">
        <v>6</v>
      </c>
      <c r="O630" s="98" t="s">
        <v>2176</v>
      </c>
      <c r="P630" s="98" t="s">
        <v>2183</v>
      </c>
      <c r="Q630" s="98" t="s">
        <v>2076</v>
      </c>
      <c r="R630" s="98" t="s">
        <v>2195</v>
      </c>
      <c r="S630" t="s">
        <v>2085</v>
      </c>
      <c r="T630" t="s">
        <v>2184</v>
      </c>
    </row>
    <row r="631" spans="1:20" x14ac:dyDescent="0.25">
      <c r="A631" s="98" t="s">
        <v>706</v>
      </c>
      <c r="B631" s="98" t="s">
        <v>728</v>
      </c>
      <c r="C631" s="98" t="s">
        <v>1179</v>
      </c>
      <c r="D631" s="98" t="s">
        <v>2034</v>
      </c>
      <c r="E631" s="101">
        <v>74256</v>
      </c>
      <c r="F631" s="101">
        <v>219512</v>
      </c>
      <c r="G631" s="98">
        <v>0</v>
      </c>
      <c r="H631" s="101">
        <v>45919</v>
      </c>
      <c r="I631" s="98" t="s">
        <v>2035</v>
      </c>
      <c r="J631" s="98">
        <v>74256</v>
      </c>
      <c r="K631" s="101" t="s">
        <v>2035</v>
      </c>
      <c r="L631" s="98">
        <v>65713</v>
      </c>
      <c r="M631" s="98">
        <v>8543</v>
      </c>
      <c r="N631" s="98">
        <v>13</v>
      </c>
      <c r="O631" s="98" t="s">
        <v>2176</v>
      </c>
      <c r="P631" s="98" t="s">
        <v>2183</v>
      </c>
      <c r="Q631" s="98" t="s">
        <v>2076</v>
      </c>
      <c r="R631" s="98" t="s">
        <v>2195</v>
      </c>
      <c r="S631" t="s">
        <v>2056</v>
      </c>
      <c r="T631" t="s">
        <v>2184</v>
      </c>
    </row>
    <row r="632" spans="1:20" x14ac:dyDescent="0.25">
      <c r="A632" s="98" t="s">
        <v>707</v>
      </c>
      <c r="B632" s="98" t="s">
        <v>729</v>
      </c>
      <c r="C632" s="98" t="s">
        <v>1179</v>
      </c>
      <c r="D632" s="98" t="s">
        <v>2034</v>
      </c>
      <c r="E632" s="101">
        <v>132899</v>
      </c>
      <c r="F632" s="101">
        <v>219512</v>
      </c>
      <c r="G632" s="98">
        <v>0</v>
      </c>
      <c r="H632" s="101">
        <v>45919</v>
      </c>
      <c r="I632" s="98" t="s">
        <v>2035</v>
      </c>
      <c r="J632" s="98">
        <v>132899</v>
      </c>
      <c r="K632" s="101" t="s">
        <v>2035</v>
      </c>
      <c r="L632" s="98">
        <v>126570</v>
      </c>
      <c r="M632" s="98">
        <v>6329</v>
      </c>
      <c r="N632" s="98">
        <v>5</v>
      </c>
      <c r="O632" s="98" t="s">
        <v>2176</v>
      </c>
      <c r="P632" s="98" t="s">
        <v>2183</v>
      </c>
      <c r="Q632" s="98" t="s">
        <v>2076</v>
      </c>
      <c r="R632" s="98" t="s">
        <v>2195</v>
      </c>
      <c r="S632" t="s">
        <v>2056</v>
      </c>
      <c r="T632" t="s">
        <v>2184</v>
      </c>
    </row>
    <row r="633" spans="1:20" x14ac:dyDescent="0.25">
      <c r="A633" s="98" t="s">
        <v>921</v>
      </c>
      <c r="B633" s="98" t="s">
        <v>1787</v>
      </c>
      <c r="C633" s="98" t="s">
        <v>1179</v>
      </c>
      <c r="D633" s="98" t="s">
        <v>2034</v>
      </c>
      <c r="E633" s="101">
        <v>19607</v>
      </c>
      <c r="F633" s="101">
        <v>219512</v>
      </c>
      <c r="G633" s="98">
        <v>0</v>
      </c>
      <c r="H633" s="101">
        <v>45919</v>
      </c>
      <c r="I633" s="98" t="s">
        <v>2035</v>
      </c>
      <c r="J633" s="98">
        <v>19607</v>
      </c>
      <c r="K633" s="101" t="s">
        <v>2035</v>
      </c>
      <c r="L633" s="98">
        <v>18853</v>
      </c>
      <c r="M633" s="98">
        <v>754</v>
      </c>
      <c r="N633" s="98">
        <v>4</v>
      </c>
      <c r="O633" s="98" t="s">
        <v>2176</v>
      </c>
      <c r="P633" s="98" t="s">
        <v>2183</v>
      </c>
      <c r="Q633" s="98" t="s">
        <v>2076</v>
      </c>
      <c r="R633" s="98" t="s">
        <v>2228</v>
      </c>
      <c r="S633" t="s">
        <v>2060</v>
      </c>
      <c r="T633" t="s">
        <v>2184</v>
      </c>
    </row>
    <row r="634" spans="1:20" x14ac:dyDescent="0.25">
      <c r="A634" s="98" t="s">
        <v>1788</v>
      </c>
      <c r="B634" s="98" t="s">
        <v>1789</v>
      </c>
      <c r="C634" s="98" t="s">
        <v>1179</v>
      </c>
      <c r="D634" s="98" t="s">
        <v>2034</v>
      </c>
      <c r="E634" s="101">
        <v>76703</v>
      </c>
      <c r="F634" s="101">
        <v>219512</v>
      </c>
      <c r="G634" s="98">
        <v>0</v>
      </c>
      <c r="H634" s="101">
        <v>45769</v>
      </c>
      <c r="I634" s="98" t="s">
        <v>2035</v>
      </c>
      <c r="J634" s="98">
        <v>76703</v>
      </c>
      <c r="K634" s="101" t="s">
        <v>2035</v>
      </c>
      <c r="L634" s="98">
        <v>73050</v>
      </c>
      <c r="M634" s="98">
        <v>3653</v>
      </c>
      <c r="N634" s="98">
        <v>5</v>
      </c>
      <c r="O634" s="98" t="s">
        <v>2150</v>
      </c>
      <c r="P634" s="98" t="s">
        <v>2208</v>
      </c>
      <c r="Q634" s="98" t="s">
        <v>2050</v>
      </c>
      <c r="R634" s="98" t="s">
        <v>2195</v>
      </c>
      <c r="S634" t="s">
        <v>2221</v>
      </c>
      <c r="T634" t="s">
        <v>2184</v>
      </c>
    </row>
    <row r="635" spans="1:20" x14ac:dyDescent="0.25">
      <c r="A635" s="98" t="s">
        <v>1790</v>
      </c>
      <c r="B635" s="98" t="s">
        <v>1791</v>
      </c>
      <c r="C635" s="98" t="s">
        <v>1179</v>
      </c>
      <c r="D635" s="98" t="s">
        <v>2034</v>
      </c>
      <c r="E635" s="101">
        <v>58185</v>
      </c>
      <c r="F635" s="101">
        <v>219512</v>
      </c>
      <c r="G635" s="98">
        <v>0</v>
      </c>
      <c r="H635" s="101">
        <v>45769</v>
      </c>
      <c r="I635" s="98" t="s">
        <v>2035</v>
      </c>
      <c r="J635" s="98">
        <v>58185</v>
      </c>
      <c r="K635" s="101" t="s">
        <v>2035</v>
      </c>
      <c r="L635" s="98">
        <v>55414</v>
      </c>
      <c r="M635" s="98">
        <v>2771</v>
      </c>
      <c r="N635" s="98">
        <v>5</v>
      </c>
      <c r="O635" s="98" t="s">
        <v>2150</v>
      </c>
      <c r="P635" s="98" t="s">
        <v>2183</v>
      </c>
      <c r="Q635" s="98" t="s">
        <v>2050</v>
      </c>
      <c r="R635" s="98" t="s">
        <v>2195</v>
      </c>
      <c r="S635" t="s">
        <v>2056</v>
      </c>
      <c r="T635" t="s">
        <v>2184</v>
      </c>
    </row>
    <row r="636" spans="1:20" x14ac:dyDescent="0.25">
      <c r="A636" s="98" t="s">
        <v>1792</v>
      </c>
      <c r="B636" s="98" t="s">
        <v>1793</v>
      </c>
      <c r="C636" s="98" t="s">
        <v>1179</v>
      </c>
      <c r="D636" s="98" t="s">
        <v>2034</v>
      </c>
      <c r="E636" s="101">
        <v>78288</v>
      </c>
      <c r="F636" s="101">
        <v>219512</v>
      </c>
      <c r="G636" s="98">
        <v>0</v>
      </c>
      <c r="H636" s="101">
        <v>45769</v>
      </c>
      <c r="I636" s="98" t="s">
        <v>2035</v>
      </c>
      <c r="J636" s="98">
        <v>78288</v>
      </c>
      <c r="K636" s="101" t="s">
        <v>2035</v>
      </c>
      <c r="L636" s="98">
        <v>74560</v>
      </c>
      <c r="M636" s="98">
        <v>3728</v>
      </c>
      <c r="N636" s="98">
        <v>5</v>
      </c>
      <c r="O636" s="98" t="s">
        <v>2150</v>
      </c>
      <c r="P636" s="98" t="s">
        <v>2208</v>
      </c>
      <c r="Q636" s="98" t="s">
        <v>2050</v>
      </c>
      <c r="R636" s="98" t="s">
        <v>2195</v>
      </c>
      <c r="S636" t="s">
        <v>2058</v>
      </c>
      <c r="T636" t="s">
        <v>2184</v>
      </c>
    </row>
    <row r="637" spans="1:20" x14ac:dyDescent="0.25">
      <c r="A637" s="98" t="s">
        <v>1794</v>
      </c>
      <c r="B637" s="98" t="s">
        <v>1795</v>
      </c>
      <c r="C637" s="98" t="s">
        <v>1179</v>
      </c>
      <c r="D637" s="98" t="s">
        <v>2034</v>
      </c>
      <c r="E637" s="101">
        <v>65260</v>
      </c>
      <c r="F637" s="101">
        <v>219512</v>
      </c>
      <c r="G637" s="98">
        <v>0</v>
      </c>
      <c r="H637" s="101">
        <v>45769</v>
      </c>
      <c r="I637" s="98" t="s">
        <v>2035</v>
      </c>
      <c r="J637" s="98">
        <v>65260</v>
      </c>
      <c r="K637" s="101" t="s">
        <v>2035</v>
      </c>
      <c r="L637" s="98">
        <v>62152</v>
      </c>
      <c r="M637" s="98">
        <v>3108</v>
      </c>
      <c r="N637" s="98">
        <v>5</v>
      </c>
      <c r="O637" s="98" t="s">
        <v>2150</v>
      </c>
      <c r="P637" s="98" t="s">
        <v>2208</v>
      </c>
      <c r="Q637" s="98" t="s">
        <v>2050</v>
      </c>
      <c r="R637" s="98" t="s">
        <v>2195</v>
      </c>
      <c r="S637" t="s">
        <v>2058</v>
      </c>
      <c r="T637" t="s">
        <v>2184</v>
      </c>
    </row>
    <row r="638" spans="1:20" x14ac:dyDescent="0.25">
      <c r="A638" s="98" t="s">
        <v>1796</v>
      </c>
      <c r="B638" s="98" t="s">
        <v>1797</v>
      </c>
      <c r="C638" s="98" t="s">
        <v>1179</v>
      </c>
      <c r="D638" s="98" t="s">
        <v>2034</v>
      </c>
      <c r="E638" s="101">
        <v>107626</v>
      </c>
      <c r="F638" s="101">
        <v>219512</v>
      </c>
      <c r="G638" s="98">
        <v>0</v>
      </c>
      <c r="H638" s="101">
        <v>45769</v>
      </c>
      <c r="I638" s="98" t="s">
        <v>2035</v>
      </c>
      <c r="J638" s="98">
        <v>107626</v>
      </c>
      <c r="K638" s="101" t="s">
        <v>2035</v>
      </c>
      <c r="L638" s="98">
        <v>102501</v>
      </c>
      <c r="M638" s="98">
        <v>5125</v>
      </c>
      <c r="N638" s="98">
        <v>5</v>
      </c>
      <c r="O638" s="98" t="s">
        <v>2150</v>
      </c>
      <c r="P638" s="98" t="s">
        <v>2208</v>
      </c>
      <c r="Q638" s="98" t="s">
        <v>2050</v>
      </c>
      <c r="R638" s="98" t="s">
        <v>2195</v>
      </c>
      <c r="S638" t="s">
        <v>2068</v>
      </c>
      <c r="T638" t="s">
        <v>2184</v>
      </c>
    </row>
    <row r="639" spans="1:20" x14ac:dyDescent="0.25">
      <c r="A639" s="98" t="s">
        <v>1798</v>
      </c>
      <c r="B639" s="98" t="s">
        <v>1799</v>
      </c>
      <c r="C639" s="98" t="s">
        <v>1179</v>
      </c>
      <c r="D639" s="98" t="s">
        <v>2034</v>
      </c>
      <c r="E639" s="101">
        <v>132556</v>
      </c>
      <c r="F639" s="101">
        <v>219512</v>
      </c>
      <c r="G639" s="98">
        <v>0</v>
      </c>
      <c r="H639" s="101">
        <v>45769</v>
      </c>
      <c r="I639" s="98" t="s">
        <v>2035</v>
      </c>
      <c r="J639" s="98">
        <v>132556</v>
      </c>
      <c r="K639" s="101" t="s">
        <v>2035</v>
      </c>
      <c r="L639" s="98">
        <v>126244</v>
      </c>
      <c r="M639" s="98">
        <v>6312</v>
      </c>
      <c r="N639" s="98">
        <v>5</v>
      </c>
      <c r="O639" s="98" t="s">
        <v>2150</v>
      </c>
      <c r="P639" s="98" t="s">
        <v>2208</v>
      </c>
      <c r="Q639" s="98" t="s">
        <v>2050</v>
      </c>
      <c r="R639" s="98" t="s">
        <v>2195</v>
      </c>
      <c r="S639" t="s">
        <v>2256</v>
      </c>
      <c r="T639" t="s">
        <v>2184</v>
      </c>
    </row>
    <row r="640" spans="1:20" x14ac:dyDescent="0.25">
      <c r="A640" s="98" t="s">
        <v>1800</v>
      </c>
      <c r="B640" s="98" t="s">
        <v>1801</v>
      </c>
      <c r="C640" s="98" t="s">
        <v>1179</v>
      </c>
      <c r="D640" s="98" t="s">
        <v>2034</v>
      </c>
      <c r="E640" s="101">
        <v>81829</v>
      </c>
      <c r="F640" s="101">
        <v>219512</v>
      </c>
      <c r="G640" s="98">
        <v>0</v>
      </c>
      <c r="H640" s="101">
        <v>45897</v>
      </c>
      <c r="I640" s="98" t="s">
        <v>2035</v>
      </c>
      <c r="J640" s="98">
        <v>81829</v>
      </c>
      <c r="K640" s="101" t="s">
        <v>2035</v>
      </c>
      <c r="L640" s="98">
        <v>76476</v>
      </c>
      <c r="M640" s="98">
        <v>5353</v>
      </c>
      <c r="N640" s="98">
        <v>7</v>
      </c>
      <c r="O640" s="98" t="s">
        <v>2150</v>
      </c>
      <c r="P640" s="98" t="s">
        <v>2208</v>
      </c>
      <c r="Q640" s="98" t="s">
        <v>2050</v>
      </c>
      <c r="R640" s="98" t="s">
        <v>2195</v>
      </c>
      <c r="S640" t="s">
        <v>2085</v>
      </c>
      <c r="T640" t="s">
        <v>2184</v>
      </c>
    </row>
    <row r="641" spans="1:20" x14ac:dyDescent="0.25">
      <c r="A641" s="98" t="s">
        <v>1802</v>
      </c>
      <c r="B641" s="98" t="s">
        <v>1803</v>
      </c>
      <c r="C641" s="98" t="s">
        <v>1179</v>
      </c>
      <c r="D641" s="98" t="s">
        <v>2034</v>
      </c>
      <c r="E641" s="101">
        <v>173687</v>
      </c>
      <c r="F641" s="101">
        <v>219512</v>
      </c>
      <c r="G641" s="98">
        <v>0</v>
      </c>
      <c r="H641" s="101">
        <v>45897</v>
      </c>
      <c r="I641" s="98" t="s">
        <v>2035</v>
      </c>
      <c r="J641" s="98">
        <v>173687</v>
      </c>
      <c r="K641" s="101" t="s">
        <v>2035</v>
      </c>
      <c r="L641" s="98">
        <v>162324</v>
      </c>
      <c r="M641" s="98">
        <v>11363</v>
      </c>
      <c r="N641" s="98">
        <v>7</v>
      </c>
      <c r="O641" s="98" t="s">
        <v>2150</v>
      </c>
      <c r="P641" s="98" t="s">
        <v>2208</v>
      </c>
      <c r="Q641" s="98" t="s">
        <v>2050</v>
      </c>
      <c r="R641" s="98" t="s">
        <v>2195</v>
      </c>
      <c r="S641" t="s">
        <v>2085</v>
      </c>
      <c r="T641" t="s">
        <v>2184</v>
      </c>
    </row>
    <row r="642" spans="1:20" x14ac:dyDescent="0.25">
      <c r="A642" s="98" t="s">
        <v>1804</v>
      </c>
      <c r="B642" s="98" t="s">
        <v>1805</v>
      </c>
      <c r="C642" s="98" t="s">
        <v>1179</v>
      </c>
      <c r="D642" s="98" t="s">
        <v>2034</v>
      </c>
      <c r="E642" s="101">
        <v>126528</v>
      </c>
      <c r="F642" s="101">
        <v>219512</v>
      </c>
      <c r="G642" s="98">
        <v>0</v>
      </c>
      <c r="H642" s="101">
        <v>45769</v>
      </c>
      <c r="I642" s="98" t="s">
        <v>2035</v>
      </c>
      <c r="J642" s="98">
        <v>126528</v>
      </c>
      <c r="K642" s="101" t="s">
        <v>2035</v>
      </c>
      <c r="L642" s="98">
        <v>120503</v>
      </c>
      <c r="M642" s="98">
        <v>6025</v>
      </c>
      <c r="N642" s="98">
        <v>5</v>
      </c>
      <c r="O642" s="98" t="s">
        <v>2150</v>
      </c>
      <c r="P642" s="98" t="s">
        <v>2208</v>
      </c>
      <c r="Q642" s="98" t="s">
        <v>2050</v>
      </c>
      <c r="R642" s="98" t="s">
        <v>2195</v>
      </c>
      <c r="S642" t="s">
        <v>2256</v>
      </c>
      <c r="T642" t="s">
        <v>2184</v>
      </c>
    </row>
    <row r="643" spans="1:20" x14ac:dyDescent="0.25">
      <c r="A643" s="98" t="s">
        <v>1806</v>
      </c>
      <c r="B643" s="98" t="s">
        <v>1807</v>
      </c>
      <c r="C643" s="98" t="s">
        <v>1179</v>
      </c>
      <c r="D643" s="98" t="s">
        <v>2034</v>
      </c>
      <c r="E643" s="101">
        <v>72997</v>
      </c>
      <c r="F643" s="101">
        <v>219512</v>
      </c>
      <c r="G643" s="98">
        <v>0</v>
      </c>
      <c r="H643" s="101">
        <v>45769</v>
      </c>
      <c r="I643" s="98" t="s">
        <v>2035</v>
      </c>
      <c r="J643" s="98">
        <v>72997</v>
      </c>
      <c r="K643" s="101" t="s">
        <v>2035</v>
      </c>
      <c r="L643" s="98">
        <v>69521</v>
      </c>
      <c r="M643" s="98">
        <v>3476</v>
      </c>
      <c r="N643" s="98">
        <v>5</v>
      </c>
      <c r="O643" s="98" t="s">
        <v>2150</v>
      </c>
      <c r="P643" s="98" t="s">
        <v>2208</v>
      </c>
      <c r="Q643" s="98" t="s">
        <v>2050</v>
      </c>
      <c r="R643" s="98" t="s">
        <v>2195</v>
      </c>
      <c r="S643" t="s">
        <v>2085</v>
      </c>
      <c r="T643" t="s">
        <v>2184</v>
      </c>
    </row>
    <row r="644" spans="1:20" x14ac:dyDescent="0.25">
      <c r="A644" s="98" t="s">
        <v>1808</v>
      </c>
      <c r="B644" s="98" t="s">
        <v>1809</v>
      </c>
      <c r="C644" s="98" t="s">
        <v>1179</v>
      </c>
      <c r="D644" s="98" t="s">
        <v>2034</v>
      </c>
      <c r="E644" s="101">
        <v>126528</v>
      </c>
      <c r="F644" s="101">
        <v>219512</v>
      </c>
      <c r="G644" s="98">
        <v>0</v>
      </c>
      <c r="H644" s="101">
        <v>45769</v>
      </c>
      <c r="I644" s="98" t="s">
        <v>2035</v>
      </c>
      <c r="J644" s="98">
        <v>126528</v>
      </c>
      <c r="K644" s="101" t="s">
        <v>2035</v>
      </c>
      <c r="L644" s="98">
        <v>120503</v>
      </c>
      <c r="M644" s="98">
        <v>6025</v>
      </c>
      <c r="N644" s="98">
        <v>5</v>
      </c>
      <c r="O644" s="98" t="s">
        <v>2150</v>
      </c>
      <c r="P644" s="98" t="s">
        <v>2208</v>
      </c>
      <c r="Q644" s="98" t="s">
        <v>2050</v>
      </c>
      <c r="R644" s="98" t="s">
        <v>2195</v>
      </c>
      <c r="S644" t="s">
        <v>2256</v>
      </c>
      <c r="T644" t="s">
        <v>2184</v>
      </c>
    </row>
    <row r="645" spans="1:20" x14ac:dyDescent="0.25">
      <c r="A645" s="98" t="s">
        <v>1810</v>
      </c>
      <c r="B645" s="98" t="s">
        <v>1811</v>
      </c>
      <c r="C645" s="98" t="s">
        <v>1179</v>
      </c>
      <c r="D645" s="98" t="s">
        <v>2034</v>
      </c>
      <c r="E645" s="101">
        <v>72997</v>
      </c>
      <c r="F645" s="101">
        <v>219512</v>
      </c>
      <c r="G645" s="98">
        <v>0</v>
      </c>
      <c r="H645" s="101">
        <v>45769</v>
      </c>
      <c r="I645" s="98" t="s">
        <v>2035</v>
      </c>
      <c r="J645" s="98">
        <v>72997</v>
      </c>
      <c r="K645" s="101" t="s">
        <v>2035</v>
      </c>
      <c r="L645" s="98">
        <v>69521</v>
      </c>
      <c r="M645" s="98">
        <v>3476</v>
      </c>
      <c r="N645" s="98">
        <v>5</v>
      </c>
      <c r="O645" s="98" t="s">
        <v>2150</v>
      </c>
      <c r="P645" s="98" t="s">
        <v>2208</v>
      </c>
      <c r="Q645" s="98" t="s">
        <v>2050</v>
      </c>
      <c r="R645" s="98" t="s">
        <v>2195</v>
      </c>
      <c r="S645" t="s">
        <v>2085</v>
      </c>
      <c r="T645" t="s">
        <v>2184</v>
      </c>
    </row>
    <row r="646" spans="1:20" x14ac:dyDescent="0.25">
      <c r="A646" s="98" t="s">
        <v>1812</v>
      </c>
      <c r="B646" s="98" t="s">
        <v>1813</v>
      </c>
      <c r="C646" s="98" t="s">
        <v>1179</v>
      </c>
      <c r="D646" s="98" t="s">
        <v>2034</v>
      </c>
      <c r="E646" s="101">
        <v>60209</v>
      </c>
      <c r="F646" s="101">
        <v>219512</v>
      </c>
      <c r="G646" s="98">
        <v>0</v>
      </c>
      <c r="H646" s="101">
        <v>45897</v>
      </c>
      <c r="I646" s="98" t="s">
        <v>2035</v>
      </c>
      <c r="J646" s="98">
        <v>60209</v>
      </c>
      <c r="K646" s="101" t="s">
        <v>2035</v>
      </c>
      <c r="L646" s="98">
        <v>58455</v>
      </c>
      <c r="M646" s="98">
        <v>1754</v>
      </c>
      <c r="N646" s="98">
        <v>3</v>
      </c>
      <c r="O646" s="98" t="s">
        <v>2150</v>
      </c>
      <c r="P646" s="98" t="s">
        <v>2208</v>
      </c>
      <c r="Q646" s="98" t="s">
        <v>2050</v>
      </c>
      <c r="R646" s="98" t="s">
        <v>2195</v>
      </c>
      <c r="S646" t="s">
        <v>2060</v>
      </c>
      <c r="T646" t="s">
        <v>2184</v>
      </c>
    </row>
    <row r="647" spans="1:20" x14ac:dyDescent="0.25">
      <c r="A647" s="98" t="s">
        <v>1814</v>
      </c>
      <c r="B647" s="98" t="s">
        <v>1815</v>
      </c>
      <c r="C647" s="98" t="s">
        <v>1179</v>
      </c>
      <c r="D647" s="98" t="s">
        <v>2034</v>
      </c>
      <c r="E647" s="101">
        <v>112050</v>
      </c>
      <c r="F647" s="101">
        <v>219512</v>
      </c>
      <c r="G647" s="98">
        <v>0</v>
      </c>
      <c r="H647" s="101">
        <v>45880</v>
      </c>
      <c r="I647" s="98" t="s">
        <v>2035</v>
      </c>
      <c r="J647" s="98">
        <v>112050</v>
      </c>
      <c r="K647" s="101" t="s">
        <v>2035</v>
      </c>
      <c r="L647" s="98">
        <v>108786</v>
      </c>
      <c r="M647" s="98">
        <v>3264</v>
      </c>
      <c r="N647" s="98">
        <v>3</v>
      </c>
      <c r="O647" s="98" t="s">
        <v>2150</v>
      </c>
      <c r="P647" s="98" t="s">
        <v>2208</v>
      </c>
      <c r="Q647" s="98" t="s">
        <v>2050</v>
      </c>
      <c r="R647" s="98" t="s">
        <v>2195</v>
      </c>
      <c r="S647" t="s">
        <v>2213</v>
      </c>
      <c r="T647" t="s">
        <v>2184</v>
      </c>
    </row>
    <row r="648" spans="1:20" x14ac:dyDescent="0.25">
      <c r="A648" s="98" t="s">
        <v>1816</v>
      </c>
      <c r="B648" s="98" t="s">
        <v>1817</v>
      </c>
      <c r="C648" s="98" t="s">
        <v>1179</v>
      </c>
      <c r="D648" s="98" t="s">
        <v>2034</v>
      </c>
      <c r="E648" s="101">
        <v>112050</v>
      </c>
      <c r="F648" s="101">
        <v>219512</v>
      </c>
      <c r="G648" s="98">
        <v>0</v>
      </c>
      <c r="H648" s="101">
        <v>45880</v>
      </c>
      <c r="I648" s="98" t="s">
        <v>2035</v>
      </c>
      <c r="J648" s="98">
        <v>112050</v>
      </c>
      <c r="K648" s="101" t="s">
        <v>2035</v>
      </c>
      <c r="L648" s="98">
        <v>108786</v>
      </c>
      <c r="M648" s="98">
        <v>3264</v>
      </c>
      <c r="N648" s="98">
        <v>3</v>
      </c>
      <c r="O648" s="98" t="s">
        <v>2150</v>
      </c>
      <c r="P648" s="98" t="s">
        <v>2208</v>
      </c>
      <c r="Q648" s="98" t="s">
        <v>2050</v>
      </c>
      <c r="R648" s="98" t="s">
        <v>2195</v>
      </c>
      <c r="S648" t="s">
        <v>2213</v>
      </c>
      <c r="T648" t="s">
        <v>2184</v>
      </c>
    </row>
    <row r="649" spans="1:20" x14ac:dyDescent="0.25">
      <c r="A649" s="98" t="s">
        <v>1818</v>
      </c>
      <c r="B649" s="98" t="s">
        <v>1819</v>
      </c>
      <c r="C649" s="98" t="s">
        <v>1179</v>
      </c>
      <c r="D649" s="98" t="s">
        <v>2034</v>
      </c>
      <c r="E649" s="101">
        <v>81552</v>
      </c>
      <c r="F649" s="101">
        <v>219512</v>
      </c>
      <c r="G649" s="98">
        <v>0</v>
      </c>
      <c r="H649" s="101">
        <v>45769</v>
      </c>
      <c r="I649" s="98" t="s">
        <v>2035</v>
      </c>
      <c r="J649" s="98">
        <v>81552</v>
      </c>
      <c r="K649" s="101" t="s">
        <v>2035</v>
      </c>
      <c r="L649" s="98">
        <v>77669</v>
      </c>
      <c r="M649" s="98">
        <v>3883</v>
      </c>
      <c r="N649" s="98">
        <v>5</v>
      </c>
      <c r="O649" s="98" t="s">
        <v>2150</v>
      </c>
      <c r="P649" s="98" t="s">
        <v>2208</v>
      </c>
      <c r="Q649" s="98" t="s">
        <v>2050</v>
      </c>
      <c r="R649" s="98" t="s">
        <v>2195</v>
      </c>
      <c r="S649" t="s">
        <v>2060</v>
      </c>
      <c r="T649" t="s">
        <v>2184</v>
      </c>
    </row>
    <row r="650" spans="1:20" x14ac:dyDescent="0.25">
      <c r="A650" s="98" t="s">
        <v>1820</v>
      </c>
      <c r="B650" s="98" t="s">
        <v>1821</v>
      </c>
      <c r="C650" s="98" t="s">
        <v>1179</v>
      </c>
      <c r="D650" s="98" t="s">
        <v>2034</v>
      </c>
      <c r="E650" s="101">
        <v>75460</v>
      </c>
      <c r="F650" s="101">
        <v>219512</v>
      </c>
      <c r="G650" s="98">
        <v>0</v>
      </c>
      <c r="H650" s="101">
        <v>45880</v>
      </c>
      <c r="I650" s="98" t="s">
        <v>2035</v>
      </c>
      <c r="J650" s="98">
        <v>75460</v>
      </c>
      <c r="K650" s="101" t="s">
        <v>2035</v>
      </c>
      <c r="L650" s="98">
        <v>71867</v>
      </c>
      <c r="M650" s="98">
        <v>3593</v>
      </c>
      <c r="N650" s="98">
        <v>5</v>
      </c>
      <c r="O650" s="98" t="s">
        <v>2150</v>
      </c>
      <c r="P650" s="98" t="s">
        <v>2208</v>
      </c>
      <c r="Q650" s="98" t="s">
        <v>2050</v>
      </c>
      <c r="R650" s="98" t="s">
        <v>2195</v>
      </c>
      <c r="S650" t="s">
        <v>2060</v>
      </c>
      <c r="T650" t="s">
        <v>2184</v>
      </c>
    </row>
    <row r="651" spans="1:20" x14ac:dyDescent="0.25">
      <c r="A651" s="98" t="s">
        <v>1822</v>
      </c>
      <c r="B651" s="98" t="s">
        <v>1823</v>
      </c>
      <c r="C651" s="98" t="s">
        <v>1179</v>
      </c>
      <c r="D651" s="98" t="s">
        <v>2034</v>
      </c>
      <c r="E651" s="101">
        <v>104749</v>
      </c>
      <c r="F651" s="101">
        <v>219512</v>
      </c>
      <c r="G651" s="98">
        <v>0</v>
      </c>
      <c r="H651" s="101">
        <v>45880</v>
      </c>
      <c r="I651" s="98" t="s">
        <v>2035</v>
      </c>
      <c r="J651" s="98">
        <v>104749</v>
      </c>
      <c r="K651" s="101" t="s">
        <v>2035</v>
      </c>
      <c r="L651" s="98">
        <v>99761</v>
      </c>
      <c r="M651" s="98">
        <v>4988</v>
      </c>
      <c r="N651" s="98">
        <v>5</v>
      </c>
      <c r="O651" s="98" t="s">
        <v>2150</v>
      </c>
      <c r="P651" s="98" t="s">
        <v>2144</v>
      </c>
      <c r="Q651" s="98" t="s">
        <v>2050</v>
      </c>
      <c r="R651" s="98" t="s">
        <v>2195</v>
      </c>
      <c r="S651" t="s">
        <v>2213</v>
      </c>
      <c r="T651" t="s">
        <v>2184</v>
      </c>
    </row>
    <row r="652" spans="1:20" x14ac:dyDescent="0.25">
      <c r="A652" s="98" t="s">
        <v>1824</v>
      </c>
      <c r="B652" s="98" t="s">
        <v>1825</v>
      </c>
      <c r="C652" s="98" t="s">
        <v>1179</v>
      </c>
      <c r="D652" s="98" t="s">
        <v>2034</v>
      </c>
      <c r="E652" s="101">
        <v>94918</v>
      </c>
      <c r="F652" s="101">
        <v>219512</v>
      </c>
      <c r="G652" s="98">
        <v>0</v>
      </c>
      <c r="H652" s="101">
        <v>45880</v>
      </c>
      <c r="I652" s="98" t="s">
        <v>2035</v>
      </c>
      <c r="J652" s="98">
        <v>94918</v>
      </c>
      <c r="K652" s="101" t="s">
        <v>2035</v>
      </c>
      <c r="L652" s="98">
        <v>86289</v>
      </c>
      <c r="M652" s="98">
        <v>8629</v>
      </c>
      <c r="N652" s="98">
        <v>10</v>
      </c>
      <c r="O652" s="98" t="s">
        <v>2150</v>
      </c>
      <c r="P652" s="98" t="s">
        <v>2144</v>
      </c>
      <c r="Q652" s="98" t="s">
        <v>2050</v>
      </c>
      <c r="R652" s="98" t="s">
        <v>2195</v>
      </c>
      <c r="S652" t="s">
        <v>2257</v>
      </c>
      <c r="T652" t="s">
        <v>2184</v>
      </c>
    </row>
    <row r="653" spans="1:20" x14ac:dyDescent="0.25">
      <c r="A653" s="98" t="s">
        <v>1826</v>
      </c>
      <c r="B653" s="98" t="s">
        <v>1827</v>
      </c>
      <c r="C653" s="98" t="s">
        <v>1179</v>
      </c>
      <c r="D653" s="98" t="s">
        <v>2034</v>
      </c>
      <c r="E653" s="101">
        <v>50633</v>
      </c>
      <c r="F653" s="101">
        <v>219512</v>
      </c>
      <c r="G653" s="98">
        <v>0</v>
      </c>
      <c r="H653" s="101">
        <v>45769</v>
      </c>
      <c r="I653" s="98" t="s">
        <v>2035</v>
      </c>
      <c r="J653" s="98">
        <v>50633</v>
      </c>
      <c r="K653" s="101" t="s">
        <v>2035</v>
      </c>
      <c r="L653" s="98">
        <v>48222</v>
      </c>
      <c r="M653" s="98">
        <v>2411</v>
      </c>
      <c r="N653" s="98">
        <v>5</v>
      </c>
      <c r="O653" s="98" t="s">
        <v>2150</v>
      </c>
      <c r="P653" s="98" t="s">
        <v>2144</v>
      </c>
      <c r="Q653" s="98" t="s">
        <v>2050</v>
      </c>
      <c r="R653" s="98" t="s">
        <v>2258</v>
      </c>
      <c r="S653" t="s">
        <v>2060</v>
      </c>
      <c r="T653" t="s">
        <v>2184</v>
      </c>
    </row>
    <row r="654" spans="1:20" x14ac:dyDescent="0.25">
      <c r="A654" s="98" t="s">
        <v>1828</v>
      </c>
      <c r="B654" s="98" t="s">
        <v>1829</v>
      </c>
      <c r="C654" s="98" t="s">
        <v>1179</v>
      </c>
      <c r="D654" s="98" t="s">
        <v>2034</v>
      </c>
      <c r="E654" s="101">
        <v>63540</v>
      </c>
      <c r="F654" s="101">
        <v>219512</v>
      </c>
      <c r="G654" s="98">
        <v>0</v>
      </c>
      <c r="H654" s="101">
        <v>45919</v>
      </c>
      <c r="I654" s="98" t="s">
        <v>2035</v>
      </c>
      <c r="J654" s="98">
        <v>63540</v>
      </c>
      <c r="K654" s="101" t="s">
        <v>2035</v>
      </c>
      <c r="L654" s="98">
        <v>61689</v>
      </c>
      <c r="M654" s="98">
        <v>1851</v>
      </c>
      <c r="N654" s="98">
        <v>3</v>
      </c>
      <c r="O654" s="98" t="s">
        <v>2150</v>
      </c>
      <c r="P654" s="98" t="s">
        <v>2144</v>
      </c>
      <c r="Q654" s="98" t="s">
        <v>2050</v>
      </c>
      <c r="R654" s="98" t="s">
        <v>2258</v>
      </c>
      <c r="S654" t="s">
        <v>2060</v>
      </c>
      <c r="T654" t="s">
        <v>2184</v>
      </c>
    </row>
    <row r="655" spans="1:20" x14ac:dyDescent="0.25">
      <c r="A655" s="98" t="s">
        <v>1830</v>
      </c>
      <c r="B655" s="98" t="s">
        <v>1831</v>
      </c>
      <c r="C655" s="98" t="s">
        <v>1179</v>
      </c>
      <c r="D655" s="98" t="s">
        <v>2034</v>
      </c>
      <c r="E655" s="101">
        <v>82123</v>
      </c>
      <c r="F655" s="101">
        <v>219512</v>
      </c>
      <c r="G655" s="98">
        <v>0</v>
      </c>
      <c r="H655" s="101">
        <v>45769</v>
      </c>
      <c r="I655" s="98" t="s">
        <v>2035</v>
      </c>
      <c r="J655" s="98">
        <v>82123</v>
      </c>
      <c r="K655" s="101" t="s">
        <v>2035</v>
      </c>
      <c r="L655" s="98">
        <v>78212</v>
      </c>
      <c r="M655" s="98">
        <v>3911</v>
      </c>
      <c r="N655" s="98">
        <v>5</v>
      </c>
      <c r="O655" s="98" t="s">
        <v>2150</v>
      </c>
      <c r="P655" s="98" t="s">
        <v>2144</v>
      </c>
      <c r="Q655" s="98" t="s">
        <v>2050</v>
      </c>
      <c r="R655" s="98" t="s">
        <v>2258</v>
      </c>
      <c r="S655" t="s">
        <v>2060</v>
      </c>
      <c r="T655" t="s">
        <v>2184</v>
      </c>
    </row>
    <row r="656" spans="1:20" x14ac:dyDescent="0.25">
      <c r="A656" s="98" t="s">
        <v>1832</v>
      </c>
      <c r="B656" s="98" t="s">
        <v>1833</v>
      </c>
      <c r="C656" s="98" t="s">
        <v>1179</v>
      </c>
      <c r="D656" s="98" t="s">
        <v>2034</v>
      </c>
      <c r="E656" s="101">
        <v>62630</v>
      </c>
      <c r="F656" s="101">
        <v>219512</v>
      </c>
      <c r="G656" s="98">
        <v>0</v>
      </c>
      <c r="H656" s="101">
        <v>45769</v>
      </c>
      <c r="I656" s="98" t="s">
        <v>2035</v>
      </c>
      <c r="J656" s="98">
        <v>62630</v>
      </c>
      <c r="K656" s="101" t="s">
        <v>2035</v>
      </c>
      <c r="L656" s="98">
        <v>59648</v>
      </c>
      <c r="M656" s="98">
        <v>2982</v>
      </c>
      <c r="N656" s="98">
        <v>5</v>
      </c>
      <c r="O656" s="98" t="s">
        <v>2150</v>
      </c>
      <c r="P656" s="98" t="s">
        <v>2144</v>
      </c>
      <c r="Q656" s="98" t="s">
        <v>2050</v>
      </c>
      <c r="R656" s="98" t="s">
        <v>2258</v>
      </c>
      <c r="S656" t="s">
        <v>2058</v>
      </c>
      <c r="T656" t="s">
        <v>2184</v>
      </c>
    </row>
    <row r="657" spans="1:20" x14ac:dyDescent="0.25">
      <c r="A657" s="98" t="s">
        <v>645</v>
      </c>
      <c r="B657" s="98" t="s">
        <v>1834</v>
      </c>
      <c r="C657" s="98" t="s">
        <v>1179</v>
      </c>
      <c r="D657" s="98" t="s">
        <v>2034</v>
      </c>
      <c r="E657" s="101">
        <v>53183</v>
      </c>
      <c r="F657" s="101">
        <v>219512</v>
      </c>
      <c r="G657" s="98">
        <v>0</v>
      </c>
      <c r="H657" s="101">
        <v>45880</v>
      </c>
      <c r="I657" s="98" t="s">
        <v>2035</v>
      </c>
      <c r="J657" s="98">
        <v>53183</v>
      </c>
      <c r="K657" s="101" t="s">
        <v>2035</v>
      </c>
      <c r="L657" s="98">
        <v>47485</v>
      </c>
      <c r="M657" s="98">
        <v>5698</v>
      </c>
      <c r="N657" s="98">
        <v>12</v>
      </c>
      <c r="O657" s="98" t="s">
        <v>2176</v>
      </c>
      <c r="P657" s="98" t="s">
        <v>2183</v>
      </c>
      <c r="Q657" s="98" t="s">
        <v>2076</v>
      </c>
      <c r="R657" s="98" t="s">
        <v>2258</v>
      </c>
      <c r="S657" t="s">
        <v>2071</v>
      </c>
      <c r="T657" t="s">
        <v>2184</v>
      </c>
    </row>
    <row r="658" spans="1:20" x14ac:dyDescent="0.25">
      <c r="A658" s="98" t="s">
        <v>646</v>
      </c>
      <c r="B658" s="98" t="s">
        <v>1835</v>
      </c>
      <c r="C658" s="98" t="s">
        <v>1179</v>
      </c>
      <c r="D658" s="98" t="s">
        <v>2034</v>
      </c>
      <c r="E658" s="101">
        <v>24947</v>
      </c>
      <c r="F658" s="101">
        <v>219512</v>
      </c>
      <c r="G658" s="98">
        <v>0</v>
      </c>
      <c r="H658" s="101">
        <v>45880</v>
      </c>
      <c r="I658" s="98" t="s">
        <v>2035</v>
      </c>
      <c r="J658" s="98">
        <v>24947</v>
      </c>
      <c r="K658" s="101" t="s">
        <v>2035</v>
      </c>
      <c r="L658" s="98">
        <v>22679</v>
      </c>
      <c r="M658" s="98">
        <v>2268</v>
      </c>
      <c r="N658" s="98">
        <v>10</v>
      </c>
      <c r="O658" s="98" t="s">
        <v>2176</v>
      </c>
      <c r="P658" s="98" t="s">
        <v>2183</v>
      </c>
      <c r="Q658" s="98" t="s">
        <v>2076</v>
      </c>
      <c r="R658" s="98" t="s">
        <v>2258</v>
      </c>
      <c r="S658" t="s">
        <v>2071</v>
      </c>
      <c r="T658" t="s">
        <v>2184</v>
      </c>
    </row>
    <row r="659" spans="1:20" x14ac:dyDescent="0.25">
      <c r="A659" s="98" t="s">
        <v>647</v>
      </c>
      <c r="B659" s="98" t="s">
        <v>1836</v>
      </c>
      <c r="C659" s="98" t="s">
        <v>1179</v>
      </c>
      <c r="D659" s="98" t="s">
        <v>2034</v>
      </c>
      <c r="E659" s="101">
        <v>26938</v>
      </c>
      <c r="F659" s="101">
        <v>219512</v>
      </c>
      <c r="G659" s="98">
        <v>0</v>
      </c>
      <c r="H659" s="101">
        <v>45880</v>
      </c>
      <c r="I659" s="98" t="s">
        <v>2035</v>
      </c>
      <c r="J659" s="98">
        <v>26938</v>
      </c>
      <c r="K659" s="101" t="s">
        <v>2035</v>
      </c>
      <c r="L659" s="98">
        <v>24489</v>
      </c>
      <c r="M659" s="98">
        <v>2449</v>
      </c>
      <c r="N659" s="98">
        <v>10</v>
      </c>
      <c r="O659" s="98" t="s">
        <v>2176</v>
      </c>
      <c r="P659" s="98" t="s">
        <v>2183</v>
      </c>
      <c r="Q659" s="98" t="s">
        <v>2076</v>
      </c>
      <c r="R659" s="98" t="s">
        <v>2258</v>
      </c>
      <c r="S659" t="s">
        <v>2071</v>
      </c>
      <c r="T659" t="s">
        <v>2184</v>
      </c>
    </row>
    <row r="660" spans="1:20" x14ac:dyDescent="0.25">
      <c r="A660" s="98" t="s">
        <v>648</v>
      </c>
      <c r="B660" s="98" t="s">
        <v>1837</v>
      </c>
      <c r="C660" s="98" t="s">
        <v>1179</v>
      </c>
      <c r="D660" s="98" t="s">
        <v>2034</v>
      </c>
      <c r="E660" s="101">
        <v>24827</v>
      </c>
      <c r="F660" s="101">
        <v>219512</v>
      </c>
      <c r="G660" s="98">
        <v>0</v>
      </c>
      <c r="H660" s="101">
        <v>45880</v>
      </c>
      <c r="I660" s="98" t="s">
        <v>2035</v>
      </c>
      <c r="J660" s="98">
        <v>24827</v>
      </c>
      <c r="K660" s="101" t="s">
        <v>2035</v>
      </c>
      <c r="L660" s="98">
        <v>22570</v>
      </c>
      <c r="M660" s="98">
        <v>2257</v>
      </c>
      <c r="N660" s="98">
        <v>10</v>
      </c>
      <c r="O660" s="98" t="s">
        <v>2176</v>
      </c>
      <c r="P660" s="98" t="s">
        <v>2183</v>
      </c>
      <c r="Q660" s="98" t="s">
        <v>2076</v>
      </c>
      <c r="R660" s="98" t="s">
        <v>2259</v>
      </c>
      <c r="S660" t="s">
        <v>2071</v>
      </c>
      <c r="T660" t="s">
        <v>2184</v>
      </c>
    </row>
    <row r="661" spans="1:20" x14ac:dyDescent="0.25">
      <c r="A661" s="98" t="s">
        <v>649</v>
      </c>
      <c r="B661" s="98" t="s">
        <v>1838</v>
      </c>
      <c r="C661" s="98" t="s">
        <v>1179</v>
      </c>
      <c r="D661" s="98" t="s">
        <v>2034</v>
      </c>
      <c r="E661" s="101">
        <v>26720</v>
      </c>
      <c r="F661" s="101">
        <v>219512</v>
      </c>
      <c r="G661" s="98">
        <v>0</v>
      </c>
      <c r="H661" s="101">
        <v>45880</v>
      </c>
      <c r="I661" s="98" t="s">
        <v>2035</v>
      </c>
      <c r="J661" s="98">
        <v>26720</v>
      </c>
      <c r="K661" s="101" t="s">
        <v>2035</v>
      </c>
      <c r="L661" s="98">
        <v>24291</v>
      </c>
      <c r="M661" s="98">
        <v>2429</v>
      </c>
      <c r="N661" s="98">
        <v>10</v>
      </c>
      <c r="O661" s="98" t="s">
        <v>2176</v>
      </c>
      <c r="P661" s="98" t="s">
        <v>2183</v>
      </c>
      <c r="Q661" s="98" t="s">
        <v>2076</v>
      </c>
      <c r="R661" s="98" t="s">
        <v>2259</v>
      </c>
      <c r="S661" t="s">
        <v>2071</v>
      </c>
      <c r="T661" t="s">
        <v>2184</v>
      </c>
    </row>
    <row r="662" spans="1:20" x14ac:dyDescent="0.25">
      <c r="A662" s="98" t="s">
        <v>650</v>
      </c>
      <c r="B662" s="98" t="s">
        <v>1839</v>
      </c>
      <c r="C662" s="98" t="s">
        <v>1179</v>
      </c>
      <c r="D662" s="98" t="s">
        <v>2034</v>
      </c>
      <c r="E662" s="101">
        <v>25618</v>
      </c>
      <c r="F662" s="101">
        <v>219512</v>
      </c>
      <c r="G662" s="98">
        <v>0</v>
      </c>
      <c r="H662" s="101">
        <v>45880</v>
      </c>
      <c r="I662" s="98" t="s">
        <v>2035</v>
      </c>
      <c r="J662" s="98">
        <v>25618</v>
      </c>
      <c r="K662" s="101" t="s">
        <v>2035</v>
      </c>
      <c r="L662" s="98">
        <v>23289</v>
      </c>
      <c r="M662" s="98">
        <v>2329</v>
      </c>
      <c r="N662" s="98">
        <v>10</v>
      </c>
      <c r="O662" s="98" t="s">
        <v>2176</v>
      </c>
      <c r="P662" s="98" t="s">
        <v>2183</v>
      </c>
      <c r="Q662" s="98" t="s">
        <v>2076</v>
      </c>
      <c r="R662" s="98" t="s">
        <v>2258</v>
      </c>
      <c r="S662" t="s">
        <v>2071</v>
      </c>
      <c r="T662" t="s">
        <v>2184</v>
      </c>
    </row>
    <row r="663" spans="1:20" x14ac:dyDescent="0.25">
      <c r="A663" s="98" t="s">
        <v>651</v>
      </c>
      <c r="B663" s="98" t="s">
        <v>1840</v>
      </c>
      <c r="C663" s="98" t="s">
        <v>1179</v>
      </c>
      <c r="D663" s="98" t="s">
        <v>2034</v>
      </c>
      <c r="E663" s="101">
        <v>48147</v>
      </c>
      <c r="F663" s="101">
        <v>219512</v>
      </c>
      <c r="G663" s="98">
        <v>0</v>
      </c>
      <c r="H663" s="101">
        <v>45880</v>
      </c>
      <c r="I663" s="98" t="s">
        <v>2035</v>
      </c>
      <c r="J663" s="98">
        <v>48147</v>
      </c>
      <c r="K663" s="101" t="s">
        <v>2035</v>
      </c>
      <c r="L663" s="98">
        <v>42988</v>
      </c>
      <c r="M663" s="98">
        <v>5159</v>
      </c>
      <c r="N663" s="98">
        <v>12</v>
      </c>
      <c r="O663" s="98" t="s">
        <v>2176</v>
      </c>
      <c r="P663" s="98" t="s">
        <v>2183</v>
      </c>
      <c r="Q663" s="98" t="s">
        <v>2076</v>
      </c>
      <c r="R663" s="98" t="s">
        <v>2258</v>
      </c>
      <c r="S663" t="s">
        <v>2071</v>
      </c>
      <c r="T663" t="s">
        <v>2184</v>
      </c>
    </row>
    <row r="664" spans="1:20" x14ac:dyDescent="0.25">
      <c r="A664" s="98" t="s">
        <v>977</v>
      </c>
      <c r="B664" s="98" t="s">
        <v>983</v>
      </c>
      <c r="C664" s="98" t="s">
        <v>1179</v>
      </c>
      <c r="D664" s="98" t="s">
        <v>2034</v>
      </c>
      <c r="E664" s="101">
        <v>32335</v>
      </c>
      <c r="F664" s="101">
        <v>219512</v>
      </c>
      <c r="G664" s="98">
        <v>0</v>
      </c>
      <c r="H664" s="101">
        <v>45897</v>
      </c>
      <c r="I664" s="98" t="s">
        <v>2035</v>
      </c>
      <c r="J664" s="98">
        <v>32335</v>
      </c>
      <c r="K664" s="101" t="s">
        <v>2054</v>
      </c>
      <c r="L664" s="98">
        <v>0</v>
      </c>
      <c r="M664" s="98">
        <v>32335</v>
      </c>
      <c r="N664" s="98">
        <v>0</v>
      </c>
      <c r="O664" s="98" t="s">
        <v>2176</v>
      </c>
      <c r="P664" s="98" t="s">
        <v>2183</v>
      </c>
      <c r="Q664" s="98" t="s">
        <v>2076</v>
      </c>
      <c r="R664" s="98" t="s">
        <v>2258</v>
      </c>
      <c r="S664" t="s">
        <v>2071</v>
      </c>
      <c r="T664" t="s">
        <v>2184</v>
      </c>
    </row>
    <row r="665" spans="1:20" x14ac:dyDescent="0.25">
      <c r="A665" s="98" t="s">
        <v>979</v>
      </c>
      <c r="B665" s="98" t="s">
        <v>984</v>
      </c>
      <c r="C665" s="98" t="s">
        <v>1179</v>
      </c>
      <c r="D665" s="98" t="s">
        <v>2034</v>
      </c>
      <c r="E665" s="101">
        <v>32625</v>
      </c>
      <c r="F665" s="101">
        <v>219512</v>
      </c>
      <c r="G665" s="98">
        <v>0</v>
      </c>
      <c r="H665" s="101">
        <v>45897</v>
      </c>
      <c r="I665" s="98" t="s">
        <v>2035</v>
      </c>
      <c r="J665" s="98">
        <v>32625</v>
      </c>
      <c r="K665" s="101" t="s">
        <v>2054</v>
      </c>
      <c r="L665" s="98">
        <v>0</v>
      </c>
      <c r="M665" s="98">
        <v>32625</v>
      </c>
      <c r="N665" s="98">
        <v>0</v>
      </c>
      <c r="O665" s="98" t="s">
        <v>2176</v>
      </c>
      <c r="P665" s="98" t="s">
        <v>2183</v>
      </c>
      <c r="Q665" s="98" t="s">
        <v>2076</v>
      </c>
      <c r="R665" s="98" t="s">
        <v>2258</v>
      </c>
      <c r="S665" t="s">
        <v>2071</v>
      </c>
      <c r="T665" t="s">
        <v>2184</v>
      </c>
    </row>
    <row r="666" spans="1:20" x14ac:dyDescent="0.25">
      <c r="A666" s="98" t="s">
        <v>981</v>
      </c>
      <c r="B666" s="98" t="s">
        <v>985</v>
      </c>
      <c r="C666" s="98" t="s">
        <v>1179</v>
      </c>
      <c r="D666" s="98" t="s">
        <v>2034</v>
      </c>
      <c r="E666" s="101">
        <v>50403</v>
      </c>
      <c r="F666" s="101">
        <v>219512</v>
      </c>
      <c r="G666" s="98">
        <v>0</v>
      </c>
      <c r="H666" s="101">
        <v>45897</v>
      </c>
      <c r="I666" s="98" t="s">
        <v>2035</v>
      </c>
      <c r="J666" s="98">
        <v>50403</v>
      </c>
      <c r="K666" s="101" t="s">
        <v>2054</v>
      </c>
      <c r="L666" s="98">
        <v>0</v>
      </c>
      <c r="M666" s="98">
        <v>50403</v>
      </c>
      <c r="N666" s="98">
        <v>0</v>
      </c>
      <c r="O666" s="98" t="s">
        <v>2176</v>
      </c>
      <c r="P666" s="98" t="s">
        <v>2183</v>
      </c>
      <c r="Q666" s="98" t="s">
        <v>2076</v>
      </c>
      <c r="R666" s="98" t="s">
        <v>2258</v>
      </c>
      <c r="S666" t="s">
        <v>2071</v>
      </c>
      <c r="T666" t="s">
        <v>2184</v>
      </c>
    </row>
    <row r="667" spans="1:20" x14ac:dyDescent="0.25">
      <c r="A667" s="98" t="s">
        <v>1841</v>
      </c>
      <c r="B667" s="98" t="s">
        <v>1842</v>
      </c>
      <c r="C667" s="98" t="s">
        <v>1179</v>
      </c>
      <c r="D667" s="98" t="s">
        <v>2034</v>
      </c>
      <c r="E667" s="101">
        <v>97615</v>
      </c>
      <c r="F667" s="101">
        <v>219512</v>
      </c>
      <c r="G667" s="98">
        <v>0</v>
      </c>
      <c r="H667" s="101">
        <v>45880</v>
      </c>
      <c r="I667" s="98" t="s">
        <v>2035</v>
      </c>
      <c r="J667" s="98">
        <v>97615</v>
      </c>
      <c r="K667" s="101" t="s">
        <v>2035</v>
      </c>
      <c r="L667" s="98">
        <v>92967</v>
      </c>
      <c r="M667" s="98">
        <v>4648</v>
      </c>
      <c r="N667" s="98">
        <v>5</v>
      </c>
      <c r="O667" s="98" t="s">
        <v>2150</v>
      </c>
      <c r="P667" s="98" t="s">
        <v>2208</v>
      </c>
      <c r="Q667" s="98" t="s">
        <v>2050</v>
      </c>
      <c r="R667" s="98" t="s">
        <v>2259</v>
      </c>
      <c r="S667" t="s">
        <v>2213</v>
      </c>
      <c r="T667" t="s">
        <v>2184</v>
      </c>
    </row>
    <row r="668" spans="1:20" x14ac:dyDescent="0.25">
      <c r="A668" s="98" t="s">
        <v>1843</v>
      </c>
      <c r="B668" s="98" t="s">
        <v>1844</v>
      </c>
      <c r="C668" s="98" t="s">
        <v>1179</v>
      </c>
      <c r="D668" s="98" t="s">
        <v>2034</v>
      </c>
      <c r="E668" s="101">
        <v>107066</v>
      </c>
      <c r="F668" s="101">
        <v>219512</v>
      </c>
      <c r="G668" s="98">
        <v>0</v>
      </c>
      <c r="H668" s="101">
        <v>45880</v>
      </c>
      <c r="I668" s="98" t="s">
        <v>2035</v>
      </c>
      <c r="J668" s="98">
        <v>107066</v>
      </c>
      <c r="K668" s="101" t="s">
        <v>2035</v>
      </c>
      <c r="L668" s="98">
        <v>101968</v>
      </c>
      <c r="M668" s="98">
        <v>5098</v>
      </c>
      <c r="N668" s="98">
        <v>5</v>
      </c>
      <c r="O668" s="98" t="s">
        <v>2150</v>
      </c>
      <c r="P668" s="98" t="s">
        <v>2208</v>
      </c>
      <c r="Q668" s="98" t="s">
        <v>2050</v>
      </c>
      <c r="R668" s="98" t="s">
        <v>2259</v>
      </c>
      <c r="S668" t="s">
        <v>2257</v>
      </c>
      <c r="T668" t="s">
        <v>2184</v>
      </c>
    </row>
    <row r="669" spans="1:20" x14ac:dyDescent="0.25">
      <c r="A669" s="98" t="s">
        <v>1845</v>
      </c>
      <c r="B669" s="98" t="s">
        <v>1846</v>
      </c>
      <c r="C669" s="98" t="s">
        <v>1179</v>
      </c>
      <c r="D669" s="98" t="s">
        <v>2034</v>
      </c>
      <c r="E669" s="101">
        <v>78034</v>
      </c>
      <c r="F669" s="101">
        <v>219512</v>
      </c>
      <c r="G669" s="98">
        <v>0</v>
      </c>
      <c r="H669" s="101">
        <v>45766</v>
      </c>
      <c r="I669" s="98" t="s">
        <v>2035</v>
      </c>
      <c r="J669" s="98">
        <v>78034</v>
      </c>
      <c r="K669" s="101" t="s">
        <v>2035</v>
      </c>
      <c r="L669" s="98">
        <v>85837</v>
      </c>
      <c r="M669" s="98">
        <v>-7803</v>
      </c>
      <c r="N669" s="98">
        <v>-9.09</v>
      </c>
      <c r="O669" s="98" t="s">
        <v>2150</v>
      </c>
      <c r="P669" s="98" t="s">
        <v>2208</v>
      </c>
      <c r="Q669" s="98" t="s">
        <v>2050</v>
      </c>
      <c r="R669" s="98" t="s">
        <v>2259</v>
      </c>
      <c r="S669" t="s">
        <v>2060</v>
      </c>
      <c r="T669" t="s">
        <v>2184</v>
      </c>
    </row>
    <row r="670" spans="1:20" x14ac:dyDescent="0.25">
      <c r="A670" s="98" t="s">
        <v>1847</v>
      </c>
      <c r="B670" s="98" t="s">
        <v>1848</v>
      </c>
      <c r="C670" s="98" t="s">
        <v>1179</v>
      </c>
      <c r="D670" s="98" t="s">
        <v>2034</v>
      </c>
      <c r="E670" s="101">
        <v>87148</v>
      </c>
      <c r="F670" s="101">
        <v>219512</v>
      </c>
      <c r="G670" s="98">
        <v>0</v>
      </c>
      <c r="H670" s="101">
        <v>45766</v>
      </c>
      <c r="I670" s="98" t="s">
        <v>2035</v>
      </c>
      <c r="J670" s="98">
        <v>87148</v>
      </c>
      <c r="K670" s="101" t="s">
        <v>2035</v>
      </c>
      <c r="L670" s="98">
        <v>95863</v>
      </c>
      <c r="M670" s="98">
        <v>-8715</v>
      </c>
      <c r="N670" s="98">
        <v>-9.09</v>
      </c>
      <c r="O670" s="98" t="s">
        <v>2150</v>
      </c>
      <c r="P670" s="98" t="s">
        <v>2208</v>
      </c>
      <c r="Q670" s="98" t="s">
        <v>2050</v>
      </c>
      <c r="R670" s="98" t="s">
        <v>2259</v>
      </c>
      <c r="S670" t="s">
        <v>2060</v>
      </c>
      <c r="T670" t="s">
        <v>2184</v>
      </c>
    </row>
    <row r="671" spans="1:20" x14ac:dyDescent="0.25">
      <c r="A671" s="98" t="s">
        <v>1849</v>
      </c>
      <c r="B671" s="98" t="s">
        <v>1850</v>
      </c>
      <c r="C671" s="98" t="s">
        <v>1179</v>
      </c>
      <c r="D671" s="98" t="s">
        <v>2034</v>
      </c>
      <c r="E671" s="101">
        <v>64598</v>
      </c>
      <c r="F671" s="101">
        <v>219512</v>
      </c>
      <c r="G671" s="98">
        <v>0</v>
      </c>
      <c r="H671" s="101">
        <v>45766</v>
      </c>
      <c r="I671" s="98" t="s">
        <v>2035</v>
      </c>
      <c r="J671" s="98">
        <v>64598</v>
      </c>
      <c r="K671" s="101" t="s">
        <v>2035</v>
      </c>
      <c r="L671" s="98">
        <v>71058</v>
      </c>
      <c r="M671" s="98">
        <v>-6460</v>
      </c>
      <c r="N671" s="98">
        <v>-9.09</v>
      </c>
      <c r="O671" s="98" t="s">
        <v>2150</v>
      </c>
      <c r="P671" s="98" t="s">
        <v>2208</v>
      </c>
      <c r="Q671" s="98" t="s">
        <v>2050</v>
      </c>
      <c r="R671" s="98" t="s">
        <v>2259</v>
      </c>
      <c r="S671" t="s">
        <v>2060</v>
      </c>
      <c r="T671" t="s">
        <v>2184</v>
      </c>
    </row>
    <row r="672" spans="1:20" x14ac:dyDescent="0.25">
      <c r="A672" s="98" t="s">
        <v>1851</v>
      </c>
      <c r="B672" s="98" t="s">
        <v>1852</v>
      </c>
      <c r="C672" s="98" t="s">
        <v>1179</v>
      </c>
      <c r="D672" s="98" t="s">
        <v>2034</v>
      </c>
      <c r="E672" s="101">
        <v>71007</v>
      </c>
      <c r="F672" s="101">
        <v>219512</v>
      </c>
      <c r="G672" s="98">
        <v>0</v>
      </c>
      <c r="H672" s="101">
        <v>45766</v>
      </c>
      <c r="I672" s="98" t="s">
        <v>2035</v>
      </c>
      <c r="J672" s="98">
        <v>71007</v>
      </c>
      <c r="K672" s="101" t="s">
        <v>2035</v>
      </c>
      <c r="L672" s="98">
        <v>78108</v>
      </c>
      <c r="M672" s="98">
        <v>-7101</v>
      </c>
      <c r="N672" s="98">
        <v>-9.09</v>
      </c>
      <c r="O672" s="98" t="s">
        <v>2150</v>
      </c>
      <c r="P672" s="98" t="s">
        <v>2208</v>
      </c>
      <c r="Q672" s="98" t="s">
        <v>2050</v>
      </c>
      <c r="R672" s="98" t="s">
        <v>2259</v>
      </c>
      <c r="S672" t="s">
        <v>2060</v>
      </c>
      <c r="T672" t="s">
        <v>2184</v>
      </c>
    </row>
    <row r="673" spans="1:20" x14ac:dyDescent="0.25">
      <c r="A673" s="98" t="s">
        <v>1853</v>
      </c>
      <c r="B673" s="98" t="s">
        <v>1854</v>
      </c>
      <c r="C673" s="98" t="s">
        <v>1179</v>
      </c>
      <c r="D673" s="98" t="s">
        <v>2034</v>
      </c>
      <c r="E673" s="101">
        <v>98539</v>
      </c>
      <c r="F673" s="101">
        <v>219512</v>
      </c>
      <c r="G673" s="98">
        <v>0</v>
      </c>
      <c r="H673" s="101">
        <v>45766</v>
      </c>
      <c r="I673" s="98" t="s">
        <v>2035</v>
      </c>
      <c r="J673" s="98">
        <v>98539</v>
      </c>
      <c r="K673" s="101" t="s">
        <v>2035</v>
      </c>
      <c r="L673" s="98">
        <v>108393</v>
      </c>
      <c r="M673" s="98">
        <v>-9854</v>
      </c>
      <c r="N673" s="98">
        <v>-9.09</v>
      </c>
      <c r="O673" s="98" t="s">
        <v>2150</v>
      </c>
      <c r="P673" s="98" t="s">
        <v>2208</v>
      </c>
      <c r="Q673" s="98" t="s">
        <v>2050</v>
      </c>
      <c r="R673" s="98" t="s">
        <v>2259</v>
      </c>
      <c r="S673" t="s">
        <v>2060</v>
      </c>
      <c r="T673" t="s">
        <v>2184</v>
      </c>
    </row>
    <row r="674" spans="1:20" x14ac:dyDescent="0.25">
      <c r="A674" s="98" t="s">
        <v>1855</v>
      </c>
      <c r="B674" s="98" t="s">
        <v>1856</v>
      </c>
      <c r="C674" s="98" t="s">
        <v>1179</v>
      </c>
      <c r="D674" s="98" t="s">
        <v>2034</v>
      </c>
      <c r="E674" s="101">
        <v>73872</v>
      </c>
      <c r="F674" s="101">
        <v>219512</v>
      </c>
      <c r="G674" s="98">
        <v>0</v>
      </c>
      <c r="H674" s="101">
        <v>45766</v>
      </c>
      <c r="I674" s="98" t="s">
        <v>2035</v>
      </c>
      <c r="J674" s="98">
        <v>73872</v>
      </c>
      <c r="K674" s="101" t="s">
        <v>2035</v>
      </c>
      <c r="L674" s="98">
        <v>81259</v>
      </c>
      <c r="M674" s="98">
        <v>-7387</v>
      </c>
      <c r="N674" s="98">
        <v>-9.09</v>
      </c>
      <c r="O674" s="98" t="s">
        <v>2150</v>
      </c>
      <c r="P674" s="98" t="s">
        <v>2208</v>
      </c>
      <c r="Q674" s="98" t="s">
        <v>2050</v>
      </c>
      <c r="R674" s="98" t="s">
        <v>2259</v>
      </c>
      <c r="S674" t="s">
        <v>2060</v>
      </c>
      <c r="T674" t="s">
        <v>2184</v>
      </c>
    </row>
    <row r="675" spans="1:20" x14ac:dyDescent="0.25">
      <c r="A675" s="98" t="s">
        <v>1857</v>
      </c>
      <c r="B675" s="98" t="s">
        <v>1858</v>
      </c>
      <c r="C675" s="98" t="s">
        <v>1179</v>
      </c>
      <c r="D675" s="98" t="s">
        <v>2034</v>
      </c>
      <c r="E675" s="101">
        <v>152980</v>
      </c>
      <c r="F675" s="101">
        <v>219512</v>
      </c>
      <c r="G675" s="98">
        <v>0</v>
      </c>
      <c r="H675" s="101">
        <v>45766</v>
      </c>
      <c r="I675" s="98" t="s">
        <v>2035</v>
      </c>
      <c r="J675" s="98">
        <v>152980</v>
      </c>
      <c r="K675" s="101" t="s">
        <v>2035</v>
      </c>
      <c r="L675" s="98">
        <v>168278</v>
      </c>
      <c r="M675" s="98">
        <v>-15298</v>
      </c>
      <c r="N675" s="98">
        <v>-9.09</v>
      </c>
      <c r="O675" s="98" t="s">
        <v>2150</v>
      </c>
      <c r="P675" s="98" t="s">
        <v>2208</v>
      </c>
      <c r="Q675" s="98" t="s">
        <v>2050</v>
      </c>
      <c r="R675" s="98" t="s">
        <v>2259</v>
      </c>
      <c r="S675" t="s">
        <v>2060</v>
      </c>
      <c r="T675" t="s">
        <v>2184</v>
      </c>
    </row>
    <row r="676" spans="1:20" x14ac:dyDescent="0.25">
      <c r="A676" s="98" t="s">
        <v>1859</v>
      </c>
      <c r="B676" s="98" t="s">
        <v>1860</v>
      </c>
      <c r="C676" s="98" t="s">
        <v>1179</v>
      </c>
      <c r="D676" s="98" t="s">
        <v>2034</v>
      </c>
      <c r="E676" s="101">
        <v>181437</v>
      </c>
      <c r="F676" s="101">
        <v>219512</v>
      </c>
      <c r="G676" s="98">
        <v>0</v>
      </c>
      <c r="H676" s="101">
        <v>45766</v>
      </c>
      <c r="I676" s="98" t="s">
        <v>2035</v>
      </c>
      <c r="J676" s="98">
        <v>181437</v>
      </c>
      <c r="K676" s="101" t="s">
        <v>2035</v>
      </c>
      <c r="L676" s="98">
        <v>199581</v>
      </c>
      <c r="M676" s="98">
        <v>-18144</v>
      </c>
      <c r="N676" s="98">
        <v>-9.09</v>
      </c>
      <c r="O676" s="98" t="s">
        <v>2150</v>
      </c>
      <c r="P676" s="98" t="s">
        <v>2208</v>
      </c>
      <c r="Q676" s="98" t="s">
        <v>2050</v>
      </c>
      <c r="R676" s="98" t="s">
        <v>2259</v>
      </c>
      <c r="S676" t="s">
        <v>2060</v>
      </c>
      <c r="T676" t="s">
        <v>2184</v>
      </c>
    </row>
    <row r="677" spans="1:20" x14ac:dyDescent="0.25">
      <c r="A677" s="98" t="s">
        <v>1861</v>
      </c>
      <c r="B677" s="98" t="s">
        <v>1862</v>
      </c>
      <c r="C677" s="98" t="s">
        <v>1179</v>
      </c>
      <c r="D677" s="98" t="s">
        <v>2034</v>
      </c>
      <c r="E677" s="101">
        <v>81411</v>
      </c>
      <c r="F677" s="101">
        <v>219512</v>
      </c>
      <c r="G677" s="98">
        <v>0</v>
      </c>
      <c r="H677" s="101">
        <v>45766</v>
      </c>
      <c r="I677" s="98" t="s">
        <v>2035</v>
      </c>
      <c r="J677" s="98">
        <v>81411</v>
      </c>
      <c r="K677" s="101" t="s">
        <v>2035</v>
      </c>
      <c r="L677" s="98">
        <v>89552</v>
      </c>
      <c r="M677" s="98">
        <v>-8141</v>
      </c>
      <c r="N677" s="98">
        <v>-9.09</v>
      </c>
      <c r="O677" s="98" t="s">
        <v>2150</v>
      </c>
      <c r="P677" s="98" t="s">
        <v>2208</v>
      </c>
      <c r="Q677" s="98" t="s">
        <v>2050</v>
      </c>
      <c r="R677" s="98" t="s">
        <v>2259</v>
      </c>
      <c r="S677" t="s">
        <v>2260</v>
      </c>
      <c r="T677" t="s">
        <v>2184</v>
      </c>
    </row>
    <row r="678" spans="1:20" x14ac:dyDescent="0.25">
      <c r="A678" s="98" t="s">
        <v>1863</v>
      </c>
      <c r="B678" s="98" t="s">
        <v>1864</v>
      </c>
      <c r="C678" s="98" t="s">
        <v>1179</v>
      </c>
      <c r="D678" s="98" t="s">
        <v>2034</v>
      </c>
      <c r="E678" s="101">
        <v>50995</v>
      </c>
      <c r="F678" s="101">
        <v>219512</v>
      </c>
      <c r="G678" s="98">
        <v>0</v>
      </c>
      <c r="H678" s="101">
        <v>45880</v>
      </c>
      <c r="I678" s="98" t="s">
        <v>2035</v>
      </c>
      <c r="J678" s="98">
        <v>50995</v>
      </c>
      <c r="K678" s="101" t="s">
        <v>2035</v>
      </c>
      <c r="L678" s="98">
        <v>46359</v>
      </c>
      <c r="M678" s="98">
        <v>4636</v>
      </c>
      <c r="N678" s="98">
        <v>10</v>
      </c>
      <c r="O678" s="98" t="s">
        <v>2150</v>
      </c>
      <c r="P678" s="98" t="s">
        <v>2208</v>
      </c>
      <c r="Q678" s="98" t="s">
        <v>2050</v>
      </c>
      <c r="R678" s="98" t="s">
        <v>2259</v>
      </c>
      <c r="S678" t="s">
        <v>2058</v>
      </c>
      <c r="T678" t="s">
        <v>2184</v>
      </c>
    </row>
    <row r="679" spans="1:20" x14ac:dyDescent="0.25">
      <c r="A679" s="98" t="s">
        <v>1865</v>
      </c>
      <c r="B679" s="98" t="s">
        <v>1866</v>
      </c>
      <c r="C679" s="98" t="s">
        <v>1179</v>
      </c>
      <c r="D679" s="98" t="s">
        <v>2034</v>
      </c>
      <c r="E679" s="101">
        <v>84383</v>
      </c>
      <c r="F679" s="101">
        <v>219512</v>
      </c>
      <c r="G679" s="98">
        <v>0</v>
      </c>
      <c r="H679" s="101">
        <v>45897</v>
      </c>
      <c r="I679" s="98" t="s">
        <v>2035</v>
      </c>
      <c r="J679" s="98">
        <v>84383</v>
      </c>
      <c r="K679" s="101" t="s">
        <v>2035</v>
      </c>
      <c r="L679" s="98">
        <v>93759</v>
      </c>
      <c r="M679" s="98">
        <v>-9376</v>
      </c>
      <c r="N679" s="98">
        <v>-10</v>
      </c>
      <c r="O679" s="98" t="s">
        <v>2150</v>
      </c>
      <c r="P679" s="98" t="s">
        <v>2208</v>
      </c>
      <c r="Q679" s="98" t="s">
        <v>2050</v>
      </c>
      <c r="R679" s="98" t="s">
        <v>2259</v>
      </c>
      <c r="S679" t="s">
        <v>2058</v>
      </c>
      <c r="T679" t="s">
        <v>2184</v>
      </c>
    </row>
    <row r="680" spans="1:20" x14ac:dyDescent="0.25">
      <c r="A680" s="98" t="s">
        <v>1867</v>
      </c>
      <c r="B680" s="98" t="s">
        <v>1868</v>
      </c>
      <c r="C680" s="98" t="s">
        <v>1179</v>
      </c>
      <c r="D680" s="98" t="s">
        <v>2034</v>
      </c>
      <c r="E680" s="101">
        <v>75966</v>
      </c>
      <c r="F680" s="101">
        <v>219512</v>
      </c>
      <c r="G680" s="98">
        <v>0</v>
      </c>
      <c r="H680" s="101">
        <v>45897</v>
      </c>
      <c r="I680" s="98" t="s">
        <v>2035</v>
      </c>
      <c r="J680" s="98">
        <v>75966</v>
      </c>
      <c r="K680" s="101" t="s">
        <v>2035</v>
      </c>
      <c r="L680" s="98">
        <v>84407</v>
      </c>
      <c r="M680" s="98">
        <v>-8441</v>
      </c>
      <c r="N680" s="98">
        <v>-10</v>
      </c>
      <c r="O680" s="98" t="s">
        <v>2150</v>
      </c>
      <c r="P680" s="98" t="s">
        <v>2208</v>
      </c>
      <c r="Q680" s="98" t="s">
        <v>2050</v>
      </c>
      <c r="R680" s="98" t="s">
        <v>2259</v>
      </c>
      <c r="S680" t="s">
        <v>2058</v>
      </c>
      <c r="T680" t="s">
        <v>2184</v>
      </c>
    </row>
    <row r="681" spans="1:20" x14ac:dyDescent="0.25">
      <c r="A681" s="98" t="s">
        <v>1869</v>
      </c>
      <c r="B681" s="98" t="s">
        <v>1870</v>
      </c>
      <c r="C681" s="98" t="s">
        <v>1179</v>
      </c>
      <c r="D681" s="98" t="s">
        <v>2034</v>
      </c>
      <c r="E681" s="101">
        <v>129689</v>
      </c>
      <c r="F681" s="101">
        <v>219512</v>
      </c>
      <c r="G681" s="98">
        <v>0</v>
      </c>
      <c r="H681" s="101">
        <v>45897</v>
      </c>
      <c r="I681" s="98" t="s">
        <v>2035</v>
      </c>
      <c r="J681" s="98">
        <v>129689</v>
      </c>
      <c r="K681" s="101" t="s">
        <v>2035</v>
      </c>
      <c r="L681" s="98">
        <v>121205</v>
      </c>
      <c r="M681" s="98">
        <v>8484</v>
      </c>
      <c r="N681" s="98">
        <v>7</v>
      </c>
      <c r="O681" s="98" t="s">
        <v>2087</v>
      </c>
      <c r="P681" s="98" t="s">
        <v>2261</v>
      </c>
      <c r="Q681" s="98" t="s">
        <v>2050</v>
      </c>
      <c r="R681" s="98" t="s">
        <v>2206</v>
      </c>
      <c r="S681" t="s">
        <v>2047</v>
      </c>
      <c r="T681" t="s">
        <v>2262</v>
      </c>
    </row>
    <row r="682" spans="1:20" x14ac:dyDescent="0.25">
      <c r="A682" s="98" t="s">
        <v>1871</v>
      </c>
      <c r="B682" s="98" t="s">
        <v>1872</v>
      </c>
      <c r="C682" s="98" t="s">
        <v>1179</v>
      </c>
      <c r="D682" s="98" t="s">
        <v>2034</v>
      </c>
      <c r="E682" s="101">
        <v>74083</v>
      </c>
      <c r="F682" s="101">
        <v>219512</v>
      </c>
      <c r="G682" s="98">
        <v>0</v>
      </c>
      <c r="H682" s="101">
        <v>45897</v>
      </c>
      <c r="I682" s="98" t="s">
        <v>2035</v>
      </c>
      <c r="J682" s="98">
        <v>74083</v>
      </c>
      <c r="K682" s="101" t="s">
        <v>2035</v>
      </c>
      <c r="L682" s="98">
        <v>69236</v>
      </c>
      <c r="M682" s="98">
        <v>4847</v>
      </c>
      <c r="N682" s="98">
        <v>7</v>
      </c>
      <c r="O682" s="98" t="s">
        <v>2087</v>
      </c>
      <c r="P682" s="98" t="s">
        <v>2261</v>
      </c>
      <c r="Q682" s="98" t="s">
        <v>2050</v>
      </c>
      <c r="R682" s="98" t="s">
        <v>2206</v>
      </c>
      <c r="S682" t="s">
        <v>2068</v>
      </c>
      <c r="T682" t="s">
        <v>2262</v>
      </c>
    </row>
    <row r="683" spans="1:20" x14ac:dyDescent="0.25">
      <c r="A683" s="98" t="s">
        <v>1873</v>
      </c>
      <c r="B683" s="98" t="s">
        <v>1874</v>
      </c>
      <c r="C683" s="98" t="s">
        <v>1179</v>
      </c>
      <c r="D683" s="98" t="s">
        <v>2034</v>
      </c>
      <c r="E683" s="101">
        <v>46881</v>
      </c>
      <c r="F683" s="101">
        <v>219512</v>
      </c>
      <c r="G683" s="98">
        <v>0</v>
      </c>
      <c r="H683" s="101">
        <v>45897</v>
      </c>
      <c r="I683" s="98" t="s">
        <v>2035</v>
      </c>
      <c r="J683" s="98">
        <v>46881</v>
      </c>
      <c r="K683" s="101" t="s">
        <v>2035</v>
      </c>
      <c r="L683" s="98">
        <v>43814</v>
      </c>
      <c r="M683" s="98">
        <v>3067</v>
      </c>
      <c r="N683" s="98">
        <v>7</v>
      </c>
      <c r="O683" s="98" t="s">
        <v>2087</v>
      </c>
      <c r="P683" s="98" t="s">
        <v>2261</v>
      </c>
      <c r="Q683" s="98" t="s">
        <v>2050</v>
      </c>
      <c r="R683" s="98" t="s">
        <v>2206</v>
      </c>
      <c r="S683" t="s">
        <v>2049</v>
      </c>
      <c r="T683" t="s">
        <v>2262</v>
      </c>
    </row>
    <row r="684" spans="1:20" x14ac:dyDescent="0.25">
      <c r="A684" s="98" t="s">
        <v>1875</v>
      </c>
      <c r="B684" s="98" t="s">
        <v>1876</v>
      </c>
      <c r="C684" s="98" t="s">
        <v>1179</v>
      </c>
      <c r="D684" s="98" t="s">
        <v>2034</v>
      </c>
      <c r="E684" s="101">
        <v>30293</v>
      </c>
      <c r="F684" s="101">
        <v>219512</v>
      </c>
      <c r="G684" s="98">
        <v>0</v>
      </c>
      <c r="H684" s="101">
        <v>45897</v>
      </c>
      <c r="I684" s="98" t="s">
        <v>2035</v>
      </c>
      <c r="J684" s="98">
        <v>30293</v>
      </c>
      <c r="K684" s="101" t="s">
        <v>2035</v>
      </c>
      <c r="L684" s="98">
        <v>28311</v>
      </c>
      <c r="M684" s="98">
        <v>1982</v>
      </c>
      <c r="N684" s="98">
        <v>7</v>
      </c>
      <c r="O684" s="98" t="s">
        <v>2087</v>
      </c>
      <c r="P684" s="98" t="s">
        <v>2261</v>
      </c>
      <c r="Q684" s="98" t="s">
        <v>2050</v>
      </c>
      <c r="R684" s="98" t="s">
        <v>2206</v>
      </c>
      <c r="S684" t="s">
        <v>2060</v>
      </c>
      <c r="T684" t="s">
        <v>2262</v>
      </c>
    </row>
    <row r="685" spans="1:20" x14ac:dyDescent="0.25">
      <c r="A685" s="98" t="s">
        <v>1877</v>
      </c>
      <c r="B685" s="98" t="s">
        <v>1878</v>
      </c>
      <c r="C685" s="98" t="s">
        <v>1179</v>
      </c>
      <c r="D685" s="98" t="s">
        <v>2034</v>
      </c>
      <c r="E685" s="101">
        <v>61662</v>
      </c>
      <c r="F685" s="101">
        <v>219512</v>
      </c>
      <c r="G685" s="98">
        <v>0</v>
      </c>
      <c r="H685" s="101">
        <v>45897</v>
      </c>
      <c r="I685" s="98" t="s">
        <v>2035</v>
      </c>
      <c r="J685" s="98">
        <v>61662</v>
      </c>
      <c r="K685" s="101" t="s">
        <v>2035</v>
      </c>
      <c r="L685" s="98">
        <v>57628</v>
      </c>
      <c r="M685" s="98">
        <v>4034</v>
      </c>
      <c r="N685" s="98">
        <v>7</v>
      </c>
      <c r="O685" s="98" t="s">
        <v>2087</v>
      </c>
      <c r="P685" s="98" t="s">
        <v>2261</v>
      </c>
      <c r="Q685" s="98" t="s">
        <v>2050</v>
      </c>
      <c r="R685" s="98" t="s">
        <v>2206</v>
      </c>
      <c r="S685" t="s">
        <v>2068</v>
      </c>
      <c r="T685" t="s">
        <v>2262</v>
      </c>
    </row>
    <row r="686" spans="1:20" x14ac:dyDescent="0.25">
      <c r="A686" s="98" t="s">
        <v>1879</v>
      </c>
      <c r="B686" s="98" t="s">
        <v>1880</v>
      </c>
      <c r="C686" s="98" t="s">
        <v>1179</v>
      </c>
      <c r="D686" s="98" t="s">
        <v>2034</v>
      </c>
      <c r="E686" s="101">
        <v>20380</v>
      </c>
      <c r="F686" s="101">
        <v>219512</v>
      </c>
      <c r="G686" s="98">
        <v>0</v>
      </c>
      <c r="H686" s="101">
        <v>45897</v>
      </c>
      <c r="I686" s="98" t="s">
        <v>2035</v>
      </c>
      <c r="J686" s="98">
        <v>20380</v>
      </c>
      <c r="K686" s="101" t="s">
        <v>2035</v>
      </c>
      <c r="L686" s="98">
        <v>19047</v>
      </c>
      <c r="M686" s="98">
        <v>1333</v>
      </c>
      <c r="N686" s="98">
        <v>7</v>
      </c>
      <c r="O686" s="98" t="s">
        <v>2087</v>
      </c>
      <c r="P686" s="98" t="s">
        <v>2261</v>
      </c>
      <c r="Q686" s="98" t="s">
        <v>2050</v>
      </c>
      <c r="R686" s="98" t="s">
        <v>2206</v>
      </c>
      <c r="S686" t="s">
        <v>2060</v>
      </c>
      <c r="T686" t="s">
        <v>2262</v>
      </c>
    </row>
    <row r="687" spans="1:20" x14ac:dyDescent="0.25">
      <c r="A687" s="98" t="s">
        <v>1881</v>
      </c>
      <c r="B687" s="98" t="s">
        <v>1882</v>
      </c>
      <c r="C687" s="98" t="s">
        <v>1179</v>
      </c>
      <c r="D687" s="98" t="s">
        <v>2034</v>
      </c>
      <c r="E687" s="101">
        <v>20106</v>
      </c>
      <c r="F687" s="101">
        <v>219512</v>
      </c>
      <c r="G687" s="98">
        <v>0</v>
      </c>
      <c r="H687" s="101">
        <v>45897</v>
      </c>
      <c r="I687" s="98" t="s">
        <v>2035</v>
      </c>
      <c r="J687" s="98">
        <v>20106</v>
      </c>
      <c r="K687" s="101" t="s">
        <v>2035</v>
      </c>
      <c r="L687" s="98">
        <v>16480</v>
      </c>
      <c r="M687" s="98">
        <v>3626</v>
      </c>
      <c r="N687" s="98">
        <v>22</v>
      </c>
      <c r="O687" s="98" t="s">
        <v>2087</v>
      </c>
      <c r="P687" s="98" t="s">
        <v>2261</v>
      </c>
      <c r="Q687" s="98" t="s">
        <v>2050</v>
      </c>
      <c r="R687" s="98" t="s">
        <v>2263</v>
      </c>
      <c r="S687" t="s">
        <v>2060</v>
      </c>
      <c r="T687" t="s">
        <v>2262</v>
      </c>
    </row>
    <row r="688" spans="1:20" x14ac:dyDescent="0.25">
      <c r="A688" s="98" t="s">
        <v>1883</v>
      </c>
      <c r="B688" s="98" t="s">
        <v>1884</v>
      </c>
      <c r="C688" s="98" t="s">
        <v>1179</v>
      </c>
      <c r="D688" s="98" t="s">
        <v>2034</v>
      </c>
      <c r="E688" s="101">
        <v>117735</v>
      </c>
      <c r="F688" s="101">
        <v>219512</v>
      </c>
      <c r="G688" s="98">
        <v>0</v>
      </c>
      <c r="H688" s="101">
        <v>45897</v>
      </c>
      <c r="I688" s="98" t="s">
        <v>2035</v>
      </c>
      <c r="J688" s="98">
        <v>117735</v>
      </c>
      <c r="K688" s="101" t="s">
        <v>2035</v>
      </c>
      <c r="L688" s="98">
        <v>99775</v>
      </c>
      <c r="M688" s="98">
        <v>17960</v>
      </c>
      <c r="N688" s="98">
        <v>18</v>
      </c>
      <c r="O688" s="98" t="s">
        <v>2087</v>
      </c>
      <c r="P688" s="98" t="s">
        <v>2261</v>
      </c>
      <c r="Q688" s="98" t="s">
        <v>2050</v>
      </c>
      <c r="R688" s="98" t="s">
        <v>2263</v>
      </c>
      <c r="S688" t="s">
        <v>2173</v>
      </c>
      <c r="T688" t="s">
        <v>2262</v>
      </c>
    </row>
    <row r="689" spans="1:20" x14ac:dyDescent="0.25">
      <c r="A689" s="98" t="s">
        <v>1885</v>
      </c>
      <c r="B689" s="98" t="s">
        <v>1886</v>
      </c>
      <c r="C689" s="98" t="s">
        <v>1136</v>
      </c>
      <c r="D689" s="98" t="s">
        <v>2034</v>
      </c>
      <c r="E689" s="101">
        <v>13193</v>
      </c>
      <c r="F689" s="101">
        <v>219512</v>
      </c>
      <c r="G689" s="98">
        <v>0</v>
      </c>
      <c r="H689" s="101">
        <v>45919</v>
      </c>
      <c r="I689" s="98" t="s">
        <v>2035</v>
      </c>
      <c r="J689" s="98">
        <v>13193</v>
      </c>
      <c r="K689" s="101" t="s">
        <v>2035</v>
      </c>
      <c r="L689" s="98">
        <v>11994</v>
      </c>
      <c r="M689" s="98">
        <v>1199</v>
      </c>
      <c r="N689" s="98">
        <v>10</v>
      </c>
      <c r="O689" s="98" t="s">
        <v>2264</v>
      </c>
      <c r="P689" s="98" t="s">
        <v>2261</v>
      </c>
      <c r="Q689" s="98" t="s">
        <v>2076</v>
      </c>
      <c r="R689" s="98" t="s">
        <v>2206</v>
      </c>
      <c r="S689" t="s">
        <v>2071</v>
      </c>
      <c r="T689" t="s">
        <v>2262</v>
      </c>
    </row>
    <row r="690" spans="1:20" x14ac:dyDescent="0.25">
      <c r="A690" s="98" t="s">
        <v>555</v>
      </c>
      <c r="B690" s="98" t="s">
        <v>1887</v>
      </c>
      <c r="C690" s="98" t="s">
        <v>1136</v>
      </c>
      <c r="D690" s="98" t="s">
        <v>2034</v>
      </c>
      <c r="E690" s="101">
        <v>11179</v>
      </c>
      <c r="F690" s="101">
        <v>219512</v>
      </c>
      <c r="G690" s="98">
        <v>0</v>
      </c>
      <c r="H690" s="101">
        <v>45919</v>
      </c>
      <c r="I690" s="98" t="s">
        <v>2035</v>
      </c>
      <c r="J690" s="98">
        <v>11179</v>
      </c>
      <c r="K690" s="101" t="s">
        <v>2035</v>
      </c>
      <c r="L690" s="98">
        <v>10163</v>
      </c>
      <c r="M690" s="98">
        <v>1016</v>
      </c>
      <c r="N690" s="98">
        <v>10</v>
      </c>
      <c r="O690" s="98" t="s">
        <v>2264</v>
      </c>
      <c r="P690" s="98" t="s">
        <v>2261</v>
      </c>
      <c r="Q690" s="98" t="s">
        <v>2076</v>
      </c>
      <c r="R690" s="98" t="s">
        <v>2206</v>
      </c>
      <c r="S690" t="s">
        <v>2058</v>
      </c>
      <c r="T690" t="s">
        <v>2262</v>
      </c>
    </row>
    <row r="691" spans="1:20" x14ac:dyDescent="0.25">
      <c r="A691" s="98" t="s">
        <v>563</v>
      </c>
      <c r="B691" s="98" t="s">
        <v>1888</v>
      </c>
      <c r="C691" s="98" t="s">
        <v>1136</v>
      </c>
      <c r="D691" s="98" t="s">
        <v>2034</v>
      </c>
      <c r="E691" s="101">
        <v>15717</v>
      </c>
      <c r="F691" s="101">
        <v>219512</v>
      </c>
      <c r="G691" s="98">
        <v>0</v>
      </c>
      <c r="H691" s="101">
        <v>45919</v>
      </c>
      <c r="I691" s="98" t="s">
        <v>2035</v>
      </c>
      <c r="J691" s="98">
        <v>15717</v>
      </c>
      <c r="K691" s="101" t="s">
        <v>2035</v>
      </c>
      <c r="L691" s="98">
        <v>14288</v>
      </c>
      <c r="M691" s="98">
        <v>1429</v>
      </c>
      <c r="N691" s="98">
        <v>10</v>
      </c>
      <c r="O691" s="98" t="s">
        <v>2264</v>
      </c>
      <c r="P691" s="98" t="s">
        <v>2261</v>
      </c>
      <c r="Q691" s="98" t="s">
        <v>2076</v>
      </c>
      <c r="R691" s="98" t="s">
        <v>2206</v>
      </c>
      <c r="S691" t="s">
        <v>2060</v>
      </c>
      <c r="T691" t="s">
        <v>2262</v>
      </c>
    </row>
    <row r="692" spans="1:20" x14ac:dyDescent="0.25">
      <c r="A692" s="98" t="s">
        <v>554</v>
      </c>
      <c r="B692" s="98" t="s">
        <v>1889</v>
      </c>
      <c r="C692" s="98" t="s">
        <v>1136</v>
      </c>
      <c r="D692" s="98" t="s">
        <v>2034</v>
      </c>
      <c r="E692" s="101">
        <v>18413</v>
      </c>
      <c r="F692" s="101">
        <v>219512</v>
      </c>
      <c r="G692" s="98">
        <v>0</v>
      </c>
      <c r="H692" s="101">
        <v>45919</v>
      </c>
      <c r="I692" s="98" t="s">
        <v>2035</v>
      </c>
      <c r="J692" s="98">
        <v>18413</v>
      </c>
      <c r="K692" s="101" t="s">
        <v>2035</v>
      </c>
      <c r="L692" s="98">
        <v>16739</v>
      </c>
      <c r="M692" s="98">
        <v>1674</v>
      </c>
      <c r="N692" s="98">
        <v>10</v>
      </c>
      <c r="O692" s="98" t="s">
        <v>2264</v>
      </c>
      <c r="P692" s="98" t="s">
        <v>2261</v>
      </c>
      <c r="Q692" s="98" t="s">
        <v>2076</v>
      </c>
      <c r="R692" s="98" t="s">
        <v>2206</v>
      </c>
      <c r="S692" t="s">
        <v>2058</v>
      </c>
      <c r="T692" t="s">
        <v>2262</v>
      </c>
    </row>
    <row r="693" spans="1:20" x14ac:dyDescent="0.25">
      <c r="A693" s="98" t="s">
        <v>560</v>
      </c>
      <c r="B693" s="98" t="s">
        <v>1890</v>
      </c>
      <c r="C693" s="98" t="s">
        <v>1136</v>
      </c>
      <c r="D693" s="98" t="s">
        <v>2034</v>
      </c>
      <c r="E693" s="101">
        <v>10628</v>
      </c>
      <c r="F693" s="101">
        <v>219512</v>
      </c>
      <c r="G693" s="98">
        <v>0</v>
      </c>
      <c r="H693" s="101">
        <v>45919</v>
      </c>
      <c r="I693" s="98" t="s">
        <v>2035</v>
      </c>
      <c r="J693" s="98">
        <v>10628</v>
      </c>
      <c r="K693" s="101" t="s">
        <v>2035</v>
      </c>
      <c r="L693" s="98">
        <v>9662</v>
      </c>
      <c r="M693" s="98">
        <v>966</v>
      </c>
      <c r="N693" s="98">
        <v>10</v>
      </c>
      <c r="O693" s="98" t="s">
        <v>2264</v>
      </c>
      <c r="P693" s="98" t="s">
        <v>2261</v>
      </c>
      <c r="Q693" s="98" t="s">
        <v>2076</v>
      </c>
      <c r="R693" s="98" t="s">
        <v>2206</v>
      </c>
      <c r="S693" t="s">
        <v>2265</v>
      </c>
      <c r="T693" t="s">
        <v>2262</v>
      </c>
    </row>
    <row r="694" spans="1:20" x14ac:dyDescent="0.25">
      <c r="A694" s="98" t="s">
        <v>553</v>
      </c>
      <c r="B694" s="98" t="s">
        <v>1891</v>
      </c>
      <c r="C694" s="98" t="s">
        <v>1136</v>
      </c>
      <c r="D694" s="98" t="s">
        <v>2034</v>
      </c>
      <c r="E694" s="101">
        <v>13637</v>
      </c>
      <c r="F694" s="101">
        <v>219512</v>
      </c>
      <c r="G694" s="98">
        <v>0</v>
      </c>
      <c r="H694" s="101">
        <v>45919</v>
      </c>
      <c r="I694" s="98" t="s">
        <v>2035</v>
      </c>
      <c r="J694" s="98">
        <v>13637</v>
      </c>
      <c r="K694" s="101" t="s">
        <v>2035</v>
      </c>
      <c r="L694" s="98">
        <v>12397</v>
      </c>
      <c r="M694" s="98">
        <v>1240</v>
      </c>
      <c r="N694" s="98">
        <v>10</v>
      </c>
      <c r="O694" s="98" t="s">
        <v>2264</v>
      </c>
      <c r="P694" s="98" t="s">
        <v>2261</v>
      </c>
      <c r="Q694" s="98" t="s">
        <v>2076</v>
      </c>
      <c r="R694" s="98" t="s">
        <v>2206</v>
      </c>
      <c r="S694" t="s">
        <v>2058</v>
      </c>
      <c r="T694" t="s">
        <v>2262</v>
      </c>
    </row>
    <row r="695" spans="1:20" x14ac:dyDescent="0.25">
      <c r="A695" s="98" t="s">
        <v>562</v>
      </c>
      <c r="B695" s="98" t="s">
        <v>1892</v>
      </c>
      <c r="C695" s="98" t="s">
        <v>1136</v>
      </c>
      <c r="D695" s="98" t="s">
        <v>2034</v>
      </c>
      <c r="E695" s="101">
        <v>5491</v>
      </c>
      <c r="F695" s="101">
        <v>219512</v>
      </c>
      <c r="G695" s="98">
        <v>0</v>
      </c>
      <c r="H695" s="101">
        <v>45919</v>
      </c>
      <c r="I695" s="98" t="s">
        <v>2035</v>
      </c>
      <c r="J695" s="98">
        <v>5491</v>
      </c>
      <c r="K695" s="101" t="s">
        <v>2035</v>
      </c>
      <c r="L695" s="98">
        <v>4992</v>
      </c>
      <c r="M695" s="98">
        <v>499</v>
      </c>
      <c r="N695" s="98">
        <v>10</v>
      </c>
      <c r="O695" s="98" t="s">
        <v>2264</v>
      </c>
      <c r="P695" s="98" t="s">
        <v>2261</v>
      </c>
      <c r="Q695" s="98" t="s">
        <v>2076</v>
      </c>
      <c r="R695" s="98" t="s">
        <v>2206</v>
      </c>
      <c r="S695" t="s">
        <v>2058</v>
      </c>
      <c r="T695" t="s">
        <v>2262</v>
      </c>
    </row>
    <row r="696" spans="1:20" x14ac:dyDescent="0.25">
      <c r="A696" s="98" t="s">
        <v>552</v>
      </c>
      <c r="B696" s="98" t="s">
        <v>1893</v>
      </c>
      <c r="C696" s="98" t="s">
        <v>1136</v>
      </c>
      <c r="D696" s="98" t="s">
        <v>2034</v>
      </c>
      <c r="E696" s="101">
        <v>19690</v>
      </c>
      <c r="F696" s="101">
        <v>219512</v>
      </c>
      <c r="G696" s="98">
        <v>0</v>
      </c>
      <c r="H696" s="101">
        <v>45919</v>
      </c>
      <c r="I696" s="98" t="s">
        <v>2035</v>
      </c>
      <c r="J696" s="98">
        <v>19690</v>
      </c>
      <c r="K696" s="101" t="s">
        <v>2035</v>
      </c>
      <c r="L696" s="98">
        <v>17900</v>
      </c>
      <c r="M696" s="98">
        <v>1790</v>
      </c>
      <c r="N696" s="98">
        <v>10</v>
      </c>
      <c r="O696" s="98" t="s">
        <v>2264</v>
      </c>
      <c r="P696" s="98" t="s">
        <v>2261</v>
      </c>
      <c r="Q696" s="98" t="s">
        <v>2076</v>
      </c>
      <c r="R696" s="98" t="s">
        <v>2206</v>
      </c>
      <c r="S696" t="s">
        <v>2058</v>
      </c>
      <c r="T696" t="s">
        <v>2262</v>
      </c>
    </row>
    <row r="697" spans="1:20" x14ac:dyDescent="0.25">
      <c r="A697" s="98" t="s">
        <v>551</v>
      </c>
      <c r="B697" s="98" t="s">
        <v>1894</v>
      </c>
      <c r="C697" s="98" t="s">
        <v>1136</v>
      </c>
      <c r="D697" s="98" t="s">
        <v>2034</v>
      </c>
      <c r="E697" s="101">
        <v>15167</v>
      </c>
      <c r="F697" s="101">
        <v>219512</v>
      </c>
      <c r="G697" s="98">
        <v>0</v>
      </c>
      <c r="H697" s="101">
        <v>45919</v>
      </c>
      <c r="I697" s="98" t="s">
        <v>2035</v>
      </c>
      <c r="J697" s="98">
        <v>15167</v>
      </c>
      <c r="K697" s="101" t="s">
        <v>2035</v>
      </c>
      <c r="L697" s="98">
        <v>13788</v>
      </c>
      <c r="M697" s="98">
        <v>1379</v>
      </c>
      <c r="N697" s="98">
        <v>10</v>
      </c>
      <c r="O697" s="98" t="s">
        <v>2264</v>
      </c>
      <c r="P697" s="98" t="s">
        <v>2261</v>
      </c>
      <c r="Q697" s="98" t="s">
        <v>2076</v>
      </c>
      <c r="R697" s="98" t="s">
        <v>2206</v>
      </c>
      <c r="S697" t="s">
        <v>2058</v>
      </c>
      <c r="T697" t="s">
        <v>2262</v>
      </c>
    </row>
    <row r="698" spans="1:20" x14ac:dyDescent="0.25">
      <c r="A698" s="98" t="s">
        <v>550</v>
      </c>
      <c r="B698" s="98" t="s">
        <v>1895</v>
      </c>
      <c r="C698" s="98" t="s">
        <v>1136</v>
      </c>
      <c r="D698" s="98" t="s">
        <v>2034</v>
      </c>
      <c r="E698" s="101">
        <v>13615</v>
      </c>
      <c r="F698" s="101">
        <v>219512</v>
      </c>
      <c r="G698" s="98">
        <v>0</v>
      </c>
      <c r="H698" s="101">
        <v>45919</v>
      </c>
      <c r="I698" s="98" t="s">
        <v>2035</v>
      </c>
      <c r="J698" s="98">
        <v>13615</v>
      </c>
      <c r="K698" s="101" t="s">
        <v>2035</v>
      </c>
      <c r="L698" s="98">
        <v>12377</v>
      </c>
      <c r="M698" s="98">
        <v>1238</v>
      </c>
      <c r="N698" s="98">
        <v>10</v>
      </c>
      <c r="O698" s="98" t="s">
        <v>2264</v>
      </c>
      <c r="P698" s="98" t="s">
        <v>2261</v>
      </c>
      <c r="Q698" s="98" t="s">
        <v>2076</v>
      </c>
      <c r="R698" s="98" t="s">
        <v>2206</v>
      </c>
      <c r="S698" t="s">
        <v>2058</v>
      </c>
      <c r="T698" t="s">
        <v>2262</v>
      </c>
    </row>
    <row r="699" spans="1:20" x14ac:dyDescent="0.25">
      <c r="A699" s="98" t="s">
        <v>549</v>
      </c>
      <c r="B699" s="98" t="s">
        <v>1896</v>
      </c>
      <c r="C699" s="98" t="s">
        <v>1136</v>
      </c>
      <c r="D699" s="98" t="s">
        <v>2034</v>
      </c>
      <c r="E699" s="101">
        <v>10425</v>
      </c>
      <c r="F699" s="101">
        <v>219512</v>
      </c>
      <c r="G699" s="98">
        <v>0</v>
      </c>
      <c r="H699" s="101">
        <v>45919</v>
      </c>
      <c r="I699" s="98" t="s">
        <v>2035</v>
      </c>
      <c r="J699" s="98">
        <v>10425</v>
      </c>
      <c r="K699" s="101" t="s">
        <v>2035</v>
      </c>
      <c r="L699" s="98">
        <v>9477</v>
      </c>
      <c r="M699" s="98">
        <v>948</v>
      </c>
      <c r="N699" s="98">
        <v>10</v>
      </c>
      <c r="O699" s="98" t="s">
        <v>2264</v>
      </c>
      <c r="P699" s="98" t="s">
        <v>2261</v>
      </c>
      <c r="Q699" s="98" t="s">
        <v>2076</v>
      </c>
      <c r="R699" s="98" t="s">
        <v>2206</v>
      </c>
      <c r="S699" t="s">
        <v>2058</v>
      </c>
      <c r="T699" t="s">
        <v>2262</v>
      </c>
    </row>
    <row r="700" spans="1:20" x14ac:dyDescent="0.25">
      <c r="A700" s="98" t="s">
        <v>561</v>
      </c>
      <c r="B700" s="98" t="s">
        <v>1897</v>
      </c>
      <c r="C700" s="98" t="s">
        <v>1136</v>
      </c>
      <c r="D700" s="98" t="s">
        <v>2034</v>
      </c>
      <c r="E700" s="101">
        <v>10292</v>
      </c>
      <c r="F700" s="101">
        <v>219512</v>
      </c>
      <c r="G700" s="98">
        <v>0</v>
      </c>
      <c r="H700" s="101">
        <v>45919</v>
      </c>
      <c r="I700" s="98" t="s">
        <v>2035</v>
      </c>
      <c r="J700" s="98">
        <v>10292</v>
      </c>
      <c r="K700" s="101" t="s">
        <v>2035</v>
      </c>
      <c r="L700" s="98">
        <v>9356</v>
      </c>
      <c r="M700" s="98">
        <v>936</v>
      </c>
      <c r="N700" s="98">
        <v>10</v>
      </c>
      <c r="O700" s="98" t="s">
        <v>2264</v>
      </c>
      <c r="P700" s="98" t="s">
        <v>2261</v>
      </c>
      <c r="Q700" s="98" t="s">
        <v>2076</v>
      </c>
      <c r="R700" s="98" t="s">
        <v>2206</v>
      </c>
      <c r="S700" t="s">
        <v>2265</v>
      </c>
      <c r="T700" t="s">
        <v>2262</v>
      </c>
    </row>
    <row r="701" spans="1:20" x14ac:dyDescent="0.25">
      <c r="A701" s="98" t="s">
        <v>664</v>
      </c>
      <c r="B701" s="98" t="s">
        <v>1898</v>
      </c>
      <c r="C701" s="98" t="s">
        <v>1136</v>
      </c>
      <c r="D701" s="98" t="s">
        <v>2034</v>
      </c>
      <c r="E701" s="101">
        <v>56597</v>
      </c>
      <c r="F701" s="101">
        <v>219512</v>
      </c>
      <c r="G701" s="98">
        <v>0</v>
      </c>
      <c r="H701" s="101">
        <v>45919</v>
      </c>
      <c r="I701" s="98" t="s">
        <v>2035</v>
      </c>
      <c r="J701" s="98">
        <v>56597</v>
      </c>
      <c r="K701" s="101" t="s">
        <v>2035</v>
      </c>
      <c r="L701" s="98">
        <v>53902</v>
      </c>
      <c r="M701" s="98">
        <v>2695</v>
      </c>
      <c r="N701" s="98">
        <v>5</v>
      </c>
      <c r="O701" s="98" t="s">
        <v>2176</v>
      </c>
      <c r="P701" s="98" t="s">
        <v>2261</v>
      </c>
      <c r="Q701" s="98" t="s">
        <v>2076</v>
      </c>
      <c r="R701" s="98" t="s">
        <v>2263</v>
      </c>
      <c r="S701" t="s">
        <v>2056</v>
      </c>
      <c r="T701" t="s">
        <v>2262</v>
      </c>
    </row>
    <row r="702" spans="1:20" x14ac:dyDescent="0.25">
      <c r="A702" s="98" t="s">
        <v>665</v>
      </c>
      <c r="B702" s="98" t="s">
        <v>1899</v>
      </c>
      <c r="C702" s="98" t="s">
        <v>1136</v>
      </c>
      <c r="D702" s="98" t="s">
        <v>2034</v>
      </c>
      <c r="E702" s="101">
        <v>72001</v>
      </c>
      <c r="F702" s="101">
        <v>219512</v>
      </c>
      <c r="G702" s="98">
        <v>0</v>
      </c>
      <c r="H702" s="101">
        <v>45919</v>
      </c>
      <c r="I702" s="98" t="s">
        <v>2035</v>
      </c>
      <c r="J702" s="98">
        <v>72001</v>
      </c>
      <c r="K702" s="101" t="s">
        <v>2035</v>
      </c>
      <c r="L702" s="98">
        <v>68572</v>
      </c>
      <c r="M702" s="98">
        <v>3429</v>
      </c>
      <c r="N702" s="98">
        <v>5</v>
      </c>
      <c r="O702" s="98" t="s">
        <v>2176</v>
      </c>
      <c r="P702" s="98" t="s">
        <v>2261</v>
      </c>
      <c r="Q702" s="98" t="s">
        <v>2076</v>
      </c>
      <c r="R702" s="98" t="s">
        <v>2263</v>
      </c>
      <c r="S702" t="s">
        <v>2056</v>
      </c>
      <c r="T702" t="s">
        <v>2262</v>
      </c>
    </row>
    <row r="703" spans="1:20" x14ac:dyDescent="0.25">
      <c r="A703" s="98" t="s">
        <v>666</v>
      </c>
      <c r="B703" s="98" t="s">
        <v>1900</v>
      </c>
      <c r="C703" s="98" t="s">
        <v>1136</v>
      </c>
      <c r="D703" s="98" t="s">
        <v>2034</v>
      </c>
      <c r="E703" s="101">
        <v>46491</v>
      </c>
      <c r="F703" s="101">
        <v>219512</v>
      </c>
      <c r="G703" s="98">
        <v>0</v>
      </c>
      <c r="H703" s="101">
        <v>45919</v>
      </c>
      <c r="I703" s="98" t="s">
        <v>2035</v>
      </c>
      <c r="J703" s="98">
        <v>46491</v>
      </c>
      <c r="K703" s="101" t="s">
        <v>2035</v>
      </c>
      <c r="L703" s="98">
        <v>44277</v>
      </c>
      <c r="M703" s="98">
        <v>2214</v>
      </c>
      <c r="N703" s="98">
        <v>5</v>
      </c>
      <c r="O703" s="98" t="s">
        <v>2176</v>
      </c>
      <c r="P703" s="98" t="s">
        <v>2261</v>
      </c>
      <c r="Q703" s="98" t="s">
        <v>2076</v>
      </c>
      <c r="R703" s="98" t="s">
        <v>2263</v>
      </c>
      <c r="S703" t="s">
        <v>2049</v>
      </c>
      <c r="T703" t="s">
        <v>2262</v>
      </c>
    </row>
    <row r="704" spans="1:20" x14ac:dyDescent="0.25">
      <c r="A704" s="98" t="s">
        <v>667</v>
      </c>
      <c r="B704" s="98" t="s">
        <v>1901</v>
      </c>
      <c r="C704" s="98" t="s">
        <v>1136</v>
      </c>
      <c r="D704" s="98" t="s">
        <v>2034</v>
      </c>
      <c r="E704" s="101">
        <v>45466</v>
      </c>
      <c r="F704" s="101">
        <v>219512</v>
      </c>
      <c r="G704" s="98">
        <v>0</v>
      </c>
      <c r="H704" s="101">
        <v>45919</v>
      </c>
      <c r="I704" s="98" t="s">
        <v>2035</v>
      </c>
      <c r="J704" s="98">
        <v>45466</v>
      </c>
      <c r="K704" s="101" t="s">
        <v>2035</v>
      </c>
      <c r="L704" s="98">
        <v>43301</v>
      </c>
      <c r="M704" s="98">
        <v>2165</v>
      </c>
      <c r="N704" s="98">
        <v>5</v>
      </c>
      <c r="O704" s="98" t="s">
        <v>2176</v>
      </c>
      <c r="P704" s="98" t="s">
        <v>2261</v>
      </c>
      <c r="Q704" s="98" t="s">
        <v>2076</v>
      </c>
      <c r="R704" s="98" t="s">
        <v>2263</v>
      </c>
      <c r="S704" t="s">
        <v>2058</v>
      </c>
      <c r="T704" t="s">
        <v>2262</v>
      </c>
    </row>
    <row r="705" spans="1:20" x14ac:dyDescent="0.25">
      <c r="A705" s="98" t="s">
        <v>548</v>
      </c>
      <c r="B705" s="98" t="s">
        <v>1902</v>
      </c>
      <c r="C705" s="98" t="s">
        <v>1136</v>
      </c>
      <c r="D705" s="98" t="s">
        <v>2034</v>
      </c>
      <c r="E705" s="101">
        <v>16298</v>
      </c>
      <c r="F705" s="101">
        <v>219512</v>
      </c>
      <c r="G705" s="98">
        <v>0</v>
      </c>
      <c r="H705" s="101">
        <v>45919</v>
      </c>
      <c r="I705" s="98" t="s">
        <v>2035</v>
      </c>
      <c r="J705" s="98">
        <v>16298</v>
      </c>
      <c r="K705" s="101" t="s">
        <v>2035</v>
      </c>
      <c r="L705" s="98">
        <v>14552</v>
      </c>
      <c r="M705" s="98">
        <v>1746</v>
      </c>
      <c r="N705" s="98">
        <v>12</v>
      </c>
      <c r="O705" s="98" t="s">
        <v>2264</v>
      </c>
      <c r="P705" s="98" t="s">
        <v>2261</v>
      </c>
      <c r="Q705" s="98" t="s">
        <v>2076</v>
      </c>
      <c r="R705" s="98" t="s">
        <v>2206</v>
      </c>
      <c r="S705" t="s">
        <v>2058</v>
      </c>
      <c r="T705" t="s">
        <v>2262</v>
      </c>
    </row>
    <row r="706" spans="1:20" x14ac:dyDescent="0.25">
      <c r="A706" s="98" t="s">
        <v>547</v>
      </c>
      <c r="B706" s="98" t="s">
        <v>1903</v>
      </c>
      <c r="C706" s="98" t="s">
        <v>1136</v>
      </c>
      <c r="D706" s="98" t="s">
        <v>2034</v>
      </c>
      <c r="E706" s="101">
        <v>22294</v>
      </c>
      <c r="F706" s="101">
        <v>219512</v>
      </c>
      <c r="G706" s="98">
        <v>0</v>
      </c>
      <c r="H706" s="101">
        <v>45919</v>
      </c>
      <c r="I706" s="98" t="s">
        <v>2035</v>
      </c>
      <c r="J706" s="98">
        <v>22294</v>
      </c>
      <c r="K706" s="101" t="s">
        <v>2035</v>
      </c>
      <c r="L706" s="98">
        <v>19729</v>
      </c>
      <c r="M706" s="98">
        <v>2565</v>
      </c>
      <c r="N706" s="98">
        <v>13</v>
      </c>
      <c r="O706" s="98" t="s">
        <v>2264</v>
      </c>
      <c r="P706" s="98" t="s">
        <v>2261</v>
      </c>
      <c r="Q706" s="98" t="s">
        <v>2076</v>
      </c>
      <c r="R706" s="98" t="s">
        <v>2206</v>
      </c>
      <c r="S706" t="s">
        <v>2058</v>
      </c>
      <c r="T706" t="s">
        <v>2262</v>
      </c>
    </row>
    <row r="707" spans="1:20" x14ac:dyDescent="0.25">
      <c r="A707" s="98" t="s">
        <v>546</v>
      </c>
      <c r="B707" s="98" t="s">
        <v>1904</v>
      </c>
      <c r="C707" s="98" t="s">
        <v>1136</v>
      </c>
      <c r="D707" s="98" t="s">
        <v>2034</v>
      </c>
      <c r="E707" s="101">
        <v>22233</v>
      </c>
      <c r="F707" s="101">
        <v>219512</v>
      </c>
      <c r="G707" s="98">
        <v>0</v>
      </c>
      <c r="H707" s="101">
        <v>45919</v>
      </c>
      <c r="I707" s="98" t="s">
        <v>2035</v>
      </c>
      <c r="J707" s="98">
        <v>22233</v>
      </c>
      <c r="K707" s="101" t="s">
        <v>2035</v>
      </c>
      <c r="L707" s="98">
        <v>19851</v>
      </c>
      <c r="M707" s="98">
        <v>2382</v>
      </c>
      <c r="N707" s="98">
        <v>12</v>
      </c>
      <c r="O707" s="98" t="s">
        <v>2264</v>
      </c>
      <c r="P707" s="98" t="s">
        <v>2261</v>
      </c>
      <c r="Q707" s="98" t="s">
        <v>2076</v>
      </c>
      <c r="R707" s="98" t="s">
        <v>2206</v>
      </c>
      <c r="S707" t="s">
        <v>2058</v>
      </c>
      <c r="T707" t="s">
        <v>2262</v>
      </c>
    </row>
    <row r="708" spans="1:20" x14ac:dyDescent="0.25">
      <c r="A708" s="98" t="s">
        <v>545</v>
      </c>
      <c r="B708" s="98" t="s">
        <v>1905</v>
      </c>
      <c r="C708" s="98" t="s">
        <v>1136</v>
      </c>
      <c r="D708" s="98" t="s">
        <v>2034</v>
      </c>
      <c r="E708" s="101">
        <v>40537</v>
      </c>
      <c r="F708" s="101">
        <v>219512</v>
      </c>
      <c r="G708" s="98">
        <v>0</v>
      </c>
      <c r="H708" s="101">
        <v>45919</v>
      </c>
      <c r="I708" s="98" t="s">
        <v>2035</v>
      </c>
      <c r="J708" s="98">
        <v>40537</v>
      </c>
      <c r="K708" s="101" t="s">
        <v>2035</v>
      </c>
      <c r="L708" s="98">
        <v>36194</v>
      </c>
      <c r="M708" s="98">
        <v>4343</v>
      </c>
      <c r="N708" s="98">
        <v>12</v>
      </c>
      <c r="O708" s="98" t="s">
        <v>2264</v>
      </c>
      <c r="P708" s="98" t="s">
        <v>2261</v>
      </c>
      <c r="Q708" s="98" t="s">
        <v>2076</v>
      </c>
      <c r="R708" s="98" t="s">
        <v>2206</v>
      </c>
      <c r="S708" t="s">
        <v>2058</v>
      </c>
      <c r="T708" t="s">
        <v>2262</v>
      </c>
    </row>
    <row r="709" spans="1:20" x14ac:dyDescent="0.25">
      <c r="A709" s="98" t="s">
        <v>544</v>
      </c>
      <c r="B709" s="98" t="s">
        <v>1906</v>
      </c>
      <c r="C709" s="98" t="s">
        <v>1136</v>
      </c>
      <c r="D709" s="98" t="s">
        <v>2034</v>
      </c>
      <c r="E709" s="101">
        <v>30528</v>
      </c>
      <c r="F709" s="101">
        <v>219512</v>
      </c>
      <c r="G709" s="98">
        <v>0</v>
      </c>
      <c r="H709" s="101">
        <v>45919</v>
      </c>
      <c r="I709" s="98" t="s">
        <v>2035</v>
      </c>
      <c r="J709" s="98">
        <v>30528</v>
      </c>
      <c r="K709" s="101" t="s">
        <v>2035</v>
      </c>
      <c r="L709" s="98">
        <v>27257</v>
      </c>
      <c r="M709" s="98">
        <v>3271</v>
      </c>
      <c r="N709" s="98">
        <v>12</v>
      </c>
      <c r="O709" s="98" t="s">
        <v>2264</v>
      </c>
      <c r="P709" s="98" t="s">
        <v>2261</v>
      </c>
      <c r="Q709" s="98" t="s">
        <v>2076</v>
      </c>
      <c r="R709" s="98" t="s">
        <v>2206</v>
      </c>
      <c r="S709" t="s">
        <v>2058</v>
      </c>
      <c r="T709" t="s">
        <v>2262</v>
      </c>
    </row>
    <row r="710" spans="1:20" x14ac:dyDescent="0.25">
      <c r="A710" s="98" t="s">
        <v>543</v>
      </c>
      <c r="B710" s="98" t="s">
        <v>1907</v>
      </c>
      <c r="C710" s="98" t="s">
        <v>1136</v>
      </c>
      <c r="D710" s="98" t="s">
        <v>2034</v>
      </c>
      <c r="E710" s="101">
        <v>30166</v>
      </c>
      <c r="F710" s="101">
        <v>219512</v>
      </c>
      <c r="G710" s="98">
        <v>0</v>
      </c>
      <c r="H710" s="101">
        <v>45919</v>
      </c>
      <c r="I710" s="98" t="s">
        <v>2035</v>
      </c>
      <c r="J710" s="98">
        <v>30166</v>
      </c>
      <c r="K710" s="101" t="s">
        <v>2035</v>
      </c>
      <c r="L710" s="98">
        <v>26696</v>
      </c>
      <c r="M710" s="98">
        <v>3470</v>
      </c>
      <c r="N710" s="98">
        <v>13</v>
      </c>
      <c r="O710" s="98" t="s">
        <v>2264</v>
      </c>
      <c r="P710" s="98" t="s">
        <v>2261</v>
      </c>
      <c r="Q710" s="98" t="s">
        <v>2076</v>
      </c>
      <c r="R710" s="98" t="s">
        <v>2206</v>
      </c>
      <c r="S710" t="s">
        <v>2058</v>
      </c>
      <c r="T710" t="s">
        <v>2262</v>
      </c>
    </row>
    <row r="711" spans="1:20" x14ac:dyDescent="0.25">
      <c r="A711" s="98" t="s">
        <v>542</v>
      </c>
      <c r="B711" s="98" t="s">
        <v>1908</v>
      </c>
      <c r="C711" s="98" t="s">
        <v>1136</v>
      </c>
      <c r="D711" s="98" t="s">
        <v>2034</v>
      </c>
      <c r="E711" s="101">
        <v>10349</v>
      </c>
      <c r="F711" s="101">
        <v>219512</v>
      </c>
      <c r="G711" s="98">
        <v>0</v>
      </c>
      <c r="H711" s="101">
        <v>45919</v>
      </c>
      <c r="I711" s="98" t="s">
        <v>2035</v>
      </c>
      <c r="J711" s="98">
        <v>10349</v>
      </c>
      <c r="K711" s="101" t="s">
        <v>2035</v>
      </c>
      <c r="L711" s="98">
        <v>9240</v>
      </c>
      <c r="M711" s="98">
        <v>1109</v>
      </c>
      <c r="N711" s="98">
        <v>12</v>
      </c>
      <c r="O711" s="98" t="s">
        <v>2264</v>
      </c>
      <c r="P711" s="98" t="s">
        <v>2261</v>
      </c>
      <c r="Q711" s="98" t="s">
        <v>2076</v>
      </c>
      <c r="R711" s="98" t="s">
        <v>2206</v>
      </c>
      <c r="S711" t="s">
        <v>2058</v>
      </c>
      <c r="T711" t="s">
        <v>2262</v>
      </c>
    </row>
    <row r="712" spans="1:20" x14ac:dyDescent="0.25">
      <c r="A712" s="98" t="s">
        <v>556</v>
      </c>
      <c r="B712" s="98" t="s">
        <v>1909</v>
      </c>
      <c r="C712" s="98" t="s">
        <v>1136</v>
      </c>
      <c r="D712" s="98" t="s">
        <v>2034</v>
      </c>
      <c r="E712" s="101">
        <v>8317</v>
      </c>
      <c r="F712" s="101">
        <v>219512</v>
      </c>
      <c r="G712" s="98">
        <v>0</v>
      </c>
      <c r="H712" s="101">
        <v>45919</v>
      </c>
      <c r="I712" s="98" t="s">
        <v>2035</v>
      </c>
      <c r="J712" s="98">
        <v>8317</v>
      </c>
      <c r="K712" s="101" t="s">
        <v>2035</v>
      </c>
      <c r="L712" s="98">
        <v>7426</v>
      </c>
      <c r="M712" s="98">
        <v>891</v>
      </c>
      <c r="N712" s="98">
        <v>12</v>
      </c>
      <c r="O712" s="98" t="s">
        <v>2264</v>
      </c>
      <c r="P712" s="98" t="s">
        <v>2261</v>
      </c>
      <c r="Q712" s="98" t="s">
        <v>2076</v>
      </c>
      <c r="R712" s="98" t="s">
        <v>2206</v>
      </c>
      <c r="S712" t="s">
        <v>2071</v>
      </c>
      <c r="T712" t="s">
        <v>2262</v>
      </c>
    </row>
    <row r="713" spans="1:20" x14ac:dyDescent="0.25">
      <c r="A713" s="98" t="s">
        <v>557</v>
      </c>
      <c r="B713" s="98" t="s">
        <v>1910</v>
      </c>
      <c r="C713" s="98" t="s">
        <v>1136</v>
      </c>
      <c r="D713" s="98" t="s">
        <v>2034</v>
      </c>
      <c r="E713" s="101">
        <v>10706</v>
      </c>
      <c r="F713" s="101">
        <v>219512</v>
      </c>
      <c r="G713" s="98">
        <v>0</v>
      </c>
      <c r="H713" s="101">
        <v>45919</v>
      </c>
      <c r="I713" s="98" t="s">
        <v>2035</v>
      </c>
      <c r="J713" s="98">
        <v>10706</v>
      </c>
      <c r="K713" s="101" t="s">
        <v>2035</v>
      </c>
      <c r="L713" s="98">
        <v>9559</v>
      </c>
      <c r="M713" s="98">
        <v>1147</v>
      </c>
      <c r="N713" s="98">
        <v>12</v>
      </c>
      <c r="O713" s="98" t="s">
        <v>2264</v>
      </c>
      <c r="P713" s="98" t="s">
        <v>2261</v>
      </c>
      <c r="Q713" s="98" t="s">
        <v>2076</v>
      </c>
      <c r="R713" s="98" t="s">
        <v>2206</v>
      </c>
      <c r="S713" t="s">
        <v>2071</v>
      </c>
      <c r="T713" t="s">
        <v>2262</v>
      </c>
    </row>
    <row r="714" spans="1:20" x14ac:dyDescent="0.25">
      <c r="A714" s="98" t="s">
        <v>558</v>
      </c>
      <c r="B714" s="98" t="s">
        <v>1911</v>
      </c>
      <c r="C714" s="98" t="s">
        <v>1136</v>
      </c>
      <c r="D714" s="98" t="s">
        <v>2034</v>
      </c>
      <c r="E714" s="101">
        <v>12464</v>
      </c>
      <c r="F714" s="101">
        <v>219512</v>
      </c>
      <c r="G714" s="98">
        <v>0</v>
      </c>
      <c r="H714" s="101">
        <v>45919</v>
      </c>
      <c r="I714" s="98" t="s">
        <v>2035</v>
      </c>
      <c r="J714" s="98">
        <v>12464</v>
      </c>
      <c r="K714" s="101" t="s">
        <v>2035</v>
      </c>
      <c r="L714" s="98">
        <v>11129</v>
      </c>
      <c r="M714" s="98">
        <v>1335</v>
      </c>
      <c r="N714" s="98">
        <v>12</v>
      </c>
      <c r="O714" s="98" t="s">
        <v>2264</v>
      </c>
      <c r="P714" s="98" t="s">
        <v>2261</v>
      </c>
      <c r="Q714" s="98" t="s">
        <v>2076</v>
      </c>
      <c r="R714" s="98" t="s">
        <v>2171</v>
      </c>
      <c r="S714" t="s">
        <v>2058</v>
      </c>
      <c r="T714" t="s">
        <v>2262</v>
      </c>
    </row>
    <row r="715" spans="1:20" x14ac:dyDescent="0.25">
      <c r="A715" s="98" t="s">
        <v>559</v>
      </c>
      <c r="B715" s="98" t="s">
        <v>1912</v>
      </c>
      <c r="C715" s="98" t="s">
        <v>1136</v>
      </c>
      <c r="D715" s="98" t="s">
        <v>2034</v>
      </c>
      <c r="E715" s="101">
        <v>16825</v>
      </c>
      <c r="F715" s="101">
        <v>219512</v>
      </c>
      <c r="G715" s="98">
        <v>0</v>
      </c>
      <c r="H715" s="101">
        <v>45919</v>
      </c>
      <c r="I715" s="98" t="s">
        <v>2035</v>
      </c>
      <c r="J715" s="98">
        <v>16825</v>
      </c>
      <c r="K715" s="101" t="s">
        <v>2035</v>
      </c>
      <c r="L715" s="98">
        <v>15022</v>
      </c>
      <c r="M715" s="98">
        <v>1803</v>
      </c>
      <c r="N715" s="98">
        <v>12</v>
      </c>
      <c r="O715" s="98" t="s">
        <v>2264</v>
      </c>
      <c r="P715" s="98" t="s">
        <v>2261</v>
      </c>
      <c r="Q715" s="98" t="s">
        <v>2076</v>
      </c>
      <c r="R715" s="98" t="s">
        <v>2171</v>
      </c>
      <c r="S715" t="s">
        <v>2056</v>
      </c>
      <c r="T715" t="s">
        <v>2262</v>
      </c>
    </row>
    <row r="716" spans="1:20" x14ac:dyDescent="0.25">
      <c r="A716" s="98" t="s">
        <v>674</v>
      </c>
      <c r="B716" s="98" t="s">
        <v>690</v>
      </c>
      <c r="C716" s="98" t="s">
        <v>1136</v>
      </c>
      <c r="D716" s="98" t="s">
        <v>2034</v>
      </c>
      <c r="E716" s="101">
        <v>57755</v>
      </c>
      <c r="F716" s="101">
        <v>219512</v>
      </c>
      <c r="G716" s="98">
        <v>0</v>
      </c>
      <c r="H716" s="101">
        <v>45919</v>
      </c>
      <c r="I716" s="98" t="s">
        <v>2035</v>
      </c>
      <c r="J716" s="98">
        <v>57755</v>
      </c>
      <c r="K716" s="101" t="s">
        <v>2035</v>
      </c>
      <c r="L716" s="98">
        <v>55005</v>
      </c>
      <c r="M716" s="98">
        <v>2750</v>
      </c>
      <c r="N716" s="98">
        <v>5</v>
      </c>
      <c r="O716" s="98" t="s">
        <v>2176</v>
      </c>
      <c r="P716" s="98" t="s">
        <v>2261</v>
      </c>
      <c r="Q716" s="98" t="s">
        <v>2076</v>
      </c>
      <c r="R716" s="98" t="s">
        <v>2206</v>
      </c>
      <c r="S716" t="s">
        <v>2058</v>
      </c>
      <c r="T716" t="s">
        <v>2262</v>
      </c>
    </row>
    <row r="717" spans="1:20" x14ac:dyDescent="0.25">
      <c r="A717" s="98" t="s">
        <v>675</v>
      </c>
      <c r="B717" s="98" t="s">
        <v>691</v>
      </c>
      <c r="C717" s="98" t="s">
        <v>1179</v>
      </c>
      <c r="D717" s="98" t="s">
        <v>2034</v>
      </c>
      <c r="E717" s="101">
        <v>44038</v>
      </c>
      <c r="F717" s="101">
        <v>219512</v>
      </c>
      <c r="G717" s="98">
        <v>0</v>
      </c>
      <c r="H717" s="101">
        <v>45880</v>
      </c>
      <c r="I717" s="98" t="s">
        <v>2035</v>
      </c>
      <c r="J717" s="98">
        <v>44038</v>
      </c>
      <c r="K717" s="101" t="s">
        <v>2035</v>
      </c>
      <c r="L717" s="98">
        <v>38294</v>
      </c>
      <c r="M717" s="98">
        <v>5744</v>
      </c>
      <c r="N717" s="98">
        <v>15</v>
      </c>
      <c r="O717" s="98" t="s">
        <v>2176</v>
      </c>
      <c r="P717" s="98" t="s">
        <v>2183</v>
      </c>
      <c r="Q717" s="98" t="s">
        <v>2076</v>
      </c>
      <c r="R717" s="98" t="s">
        <v>2195</v>
      </c>
      <c r="S717" t="s">
        <v>2058</v>
      </c>
      <c r="T717" t="s">
        <v>2184</v>
      </c>
    </row>
    <row r="718" spans="1:20" x14ac:dyDescent="0.25">
      <c r="A718" s="98" t="s">
        <v>676</v>
      </c>
      <c r="B718" s="98" t="s">
        <v>692</v>
      </c>
      <c r="C718" s="98" t="s">
        <v>1179</v>
      </c>
      <c r="D718" s="98" t="s">
        <v>2034</v>
      </c>
      <c r="E718" s="101">
        <v>32547</v>
      </c>
      <c r="F718" s="101">
        <v>219512</v>
      </c>
      <c r="G718" s="98">
        <v>0</v>
      </c>
      <c r="H718" s="101">
        <v>45880</v>
      </c>
      <c r="I718" s="98" t="s">
        <v>2035</v>
      </c>
      <c r="J718" s="98">
        <v>32547</v>
      </c>
      <c r="K718" s="101" t="s">
        <v>2035</v>
      </c>
      <c r="L718" s="98">
        <v>28302</v>
      </c>
      <c r="M718" s="98">
        <v>4245</v>
      </c>
      <c r="N718" s="98">
        <v>15</v>
      </c>
      <c r="O718" s="98" t="s">
        <v>2176</v>
      </c>
      <c r="P718" s="98" t="s">
        <v>2183</v>
      </c>
      <c r="Q718" s="98" t="s">
        <v>2076</v>
      </c>
      <c r="R718" s="98" t="s">
        <v>2195</v>
      </c>
      <c r="S718" t="s">
        <v>2056</v>
      </c>
      <c r="T718" t="s">
        <v>2184</v>
      </c>
    </row>
    <row r="719" spans="1:20" x14ac:dyDescent="0.25">
      <c r="A719" s="98" t="s">
        <v>677</v>
      </c>
      <c r="B719" s="98" t="s">
        <v>693</v>
      </c>
      <c r="C719" s="98" t="s">
        <v>1179</v>
      </c>
      <c r="D719" s="98" t="s">
        <v>2034</v>
      </c>
      <c r="E719" s="101">
        <v>55680</v>
      </c>
      <c r="F719" s="101">
        <v>219512</v>
      </c>
      <c r="G719" s="98">
        <v>0</v>
      </c>
      <c r="H719" s="101">
        <v>45880</v>
      </c>
      <c r="I719" s="98" t="s">
        <v>2035</v>
      </c>
      <c r="J719" s="98">
        <v>55680</v>
      </c>
      <c r="K719" s="101" t="s">
        <v>2035</v>
      </c>
      <c r="L719" s="98">
        <v>48417</v>
      </c>
      <c r="M719" s="98">
        <v>7263</v>
      </c>
      <c r="N719" s="98">
        <v>15</v>
      </c>
      <c r="O719" s="98" t="s">
        <v>2176</v>
      </c>
      <c r="P719" s="98" t="s">
        <v>2183</v>
      </c>
      <c r="Q719" s="98" t="s">
        <v>2076</v>
      </c>
      <c r="R719" s="98" t="s">
        <v>2195</v>
      </c>
      <c r="S719" t="s">
        <v>2056</v>
      </c>
      <c r="T719" t="s">
        <v>2184</v>
      </c>
    </row>
    <row r="720" spans="1:20" x14ac:dyDescent="0.25">
      <c r="A720" s="98" t="s">
        <v>678</v>
      </c>
      <c r="B720" s="98" t="s">
        <v>1913</v>
      </c>
      <c r="C720" s="98" t="s">
        <v>1179</v>
      </c>
      <c r="D720" s="98" t="s">
        <v>2034</v>
      </c>
      <c r="E720" s="101">
        <v>28986</v>
      </c>
      <c r="F720" s="101">
        <v>219512</v>
      </c>
      <c r="G720" s="98">
        <v>0</v>
      </c>
      <c r="H720" s="101">
        <v>45880</v>
      </c>
      <c r="I720" s="98" t="s">
        <v>2035</v>
      </c>
      <c r="J720" s="98">
        <v>28986</v>
      </c>
      <c r="K720" s="101" t="s">
        <v>2035</v>
      </c>
      <c r="L720" s="98">
        <v>25205</v>
      </c>
      <c r="M720" s="98">
        <v>3781</v>
      </c>
      <c r="N720" s="98">
        <v>15</v>
      </c>
      <c r="O720" s="98" t="s">
        <v>2176</v>
      </c>
      <c r="P720" s="98" t="s">
        <v>2183</v>
      </c>
      <c r="Q720" s="98" t="s">
        <v>2076</v>
      </c>
      <c r="R720" s="98" t="s">
        <v>2195</v>
      </c>
      <c r="S720" t="s">
        <v>2060</v>
      </c>
      <c r="T720" t="s">
        <v>2184</v>
      </c>
    </row>
    <row r="721" spans="1:20" x14ac:dyDescent="0.25">
      <c r="A721" s="98" t="s">
        <v>679</v>
      </c>
      <c r="B721" s="98" t="s">
        <v>694</v>
      </c>
      <c r="C721" s="98" t="s">
        <v>1179</v>
      </c>
      <c r="D721" s="98" t="s">
        <v>2034</v>
      </c>
      <c r="E721" s="101">
        <v>35123</v>
      </c>
      <c r="F721" s="101">
        <v>219512</v>
      </c>
      <c r="G721" s="98">
        <v>0</v>
      </c>
      <c r="H721" s="101">
        <v>45880</v>
      </c>
      <c r="I721" s="98" t="s">
        <v>2035</v>
      </c>
      <c r="J721" s="98">
        <v>35123</v>
      </c>
      <c r="K721" s="101" t="s">
        <v>2035</v>
      </c>
      <c r="L721" s="98">
        <v>30542</v>
      </c>
      <c r="M721" s="98">
        <v>4581</v>
      </c>
      <c r="N721" s="98">
        <v>15</v>
      </c>
      <c r="O721" s="98" t="s">
        <v>2176</v>
      </c>
      <c r="P721" s="98" t="s">
        <v>2183</v>
      </c>
      <c r="Q721" s="98" t="s">
        <v>2076</v>
      </c>
      <c r="R721" s="98" t="s">
        <v>2195</v>
      </c>
      <c r="S721" t="s">
        <v>2058</v>
      </c>
      <c r="T721" t="s">
        <v>2184</v>
      </c>
    </row>
    <row r="722" spans="1:20" x14ac:dyDescent="0.25">
      <c r="A722" s="98" t="s">
        <v>680</v>
      </c>
      <c r="B722" s="98" t="s">
        <v>695</v>
      </c>
      <c r="C722" s="98" t="s">
        <v>1179</v>
      </c>
      <c r="D722" s="98" t="s">
        <v>2034</v>
      </c>
      <c r="E722" s="101">
        <v>62397</v>
      </c>
      <c r="F722" s="101">
        <v>219512</v>
      </c>
      <c r="G722" s="98">
        <v>0</v>
      </c>
      <c r="H722" s="101">
        <v>45880</v>
      </c>
      <c r="I722" s="98" t="s">
        <v>2035</v>
      </c>
      <c r="J722" s="98">
        <v>62397</v>
      </c>
      <c r="K722" s="101" t="s">
        <v>2035</v>
      </c>
      <c r="L722" s="98">
        <v>54258</v>
      </c>
      <c r="M722" s="98">
        <v>8139</v>
      </c>
      <c r="N722" s="98">
        <v>15</v>
      </c>
      <c r="O722" s="98" t="s">
        <v>2176</v>
      </c>
      <c r="P722" s="98" t="s">
        <v>2183</v>
      </c>
      <c r="Q722" s="98" t="s">
        <v>2076</v>
      </c>
      <c r="R722" s="98" t="s">
        <v>2195</v>
      </c>
      <c r="S722" t="s">
        <v>2056</v>
      </c>
      <c r="T722" t="s">
        <v>2184</v>
      </c>
    </row>
    <row r="723" spans="1:20" x14ac:dyDescent="0.25">
      <c r="A723" s="98" t="s">
        <v>681</v>
      </c>
      <c r="B723" s="98" t="s">
        <v>696</v>
      </c>
      <c r="C723" s="98" t="s">
        <v>1179</v>
      </c>
      <c r="D723" s="98" t="s">
        <v>2034</v>
      </c>
      <c r="E723" s="101">
        <v>59125</v>
      </c>
      <c r="F723" s="101">
        <v>219512</v>
      </c>
      <c r="G723" s="98">
        <v>0</v>
      </c>
      <c r="H723" s="101">
        <v>45919</v>
      </c>
      <c r="I723" s="98" t="s">
        <v>2035</v>
      </c>
      <c r="J723" s="98">
        <v>59125</v>
      </c>
      <c r="K723" s="101" t="s">
        <v>2035</v>
      </c>
      <c r="L723" s="98">
        <v>56851</v>
      </c>
      <c r="M723" s="98">
        <v>2274</v>
      </c>
      <c r="N723" s="98">
        <v>4</v>
      </c>
      <c r="O723" s="98" t="s">
        <v>2176</v>
      </c>
      <c r="P723" s="98" t="s">
        <v>2261</v>
      </c>
      <c r="Q723" s="98" t="s">
        <v>2050</v>
      </c>
      <c r="R723" s="98" t="s">
        <v>2171</v>
      </c>
      <c r="S723" t="s">
        <v>2060</v>
      </c>
      <c r="T723" t="s">
        <v>2266</v>
      </c>
    </row>
    <row r="724" spans="1:20" x14ac:dyDescent="0.25">
      <c r="A724" s="98" t="s">
        <v>1914</v>
      </c>
      <c r="B724" s="98" t="s">
        <v>1915</v>
      </c>
      <c r="C724" s="98" t="s">
        <v>1179</v>
      </c>
      <c r="D724" s="98" t="s">
        <v>2034</v>
      </c>
      <c r="E724" s="101">
        <v>1</v>
      </c>
      <c r="F724" s="101">
        <v>219512</v>
      </c>
      <c r="G724" s="98">
        <v>0</v>
      </c>
      <c r="H724" s="101">
        <v>45766</v>
      </c>
      <c r="I724" s="98" t="s">
        <v>2035</v>
      </c>
      <c r="J724" s="98">
        <v>1</v>
      </c>
      <c r="K724" s="101" t="s">
        <v>2035</v>
      </c>
      <c r="L724" s="98">
        <v>93616</v>
      </c>
      <c r="M724" s="98">
        <v>-93615</v>
      </c>
      <c r="N724" s="98">
        <v>-100</v>
      </c>
      <c r="O724" s="98" t="s">
        <v>2087</v>
      </c>
      <c r="P724" s="98" t="s">
        <v>2261</v>
      </c>
      <c r="Q724" s="98" t="s">
        <v>2050</v>
      </c>
      <c r="R724" s="98" t="s">
        <v>2171</v>
      </c>
      <c r="S724" t="s">
        <v>2173</v>
      </c>
      <c r="T724" t="s">
        <v>2267</v>
      </c>
    </row>
    <row r="725" spans="1:20" x14ac:dyDescent="0.25">
      <c r="A725" s="98" t="s">
        <v>1916</v>
      </c>
      <c r="B725" s="98" t="s">
        <v>1917</v>
      </c>
      <c r="C725" s="98" t="s">
        <v>1179</v>
      </c>
      <c r="D725" s="98" t="s">
        <v>2034</v>
      </c>
      <c r="E725" s="101">
        <v>119437</v>
      </c>
      <c r="F725" s="101">
        <v>219512</v>
      </c>
      <c r="G725" s="98">
        <v>0</v>
      </c>
      <c r="H725" s="101">
        <v>45919</v>
      </c>
      <c r="I725" s="98" t="s">
        <v>2035</v>
      </c>
      <c r="J725" s="98">
        <v>119437</v>
      </c>
      <c r="K725" s="101" t="s">
        <v>2035</v>
      </c>
      <c r="L725" s="98">
        <v>102963</v>
      </c>
      <c r="M725" s="98">
        <v>16474</v>
      </c>
      <c r="N725" s="98">
        <v>16</v>
      </c>
      <c r="O725" s="98" t="s">
        <v>2087</v>
      </c>
      <c r="P725" s="98" t="s">
        <v>2261</v>
      </c>
      <c r="Q725" s="98" t="s">
        <v>2050</v>
      </c>
      <c r="R725" s="98" t="s">
        <v>2171</v>
      </c>
      <c r="S725" t="s">
        <v>2173</v>
      </c>
      <c r="T725" t="s">
        <v>2267</v>
      </c>
    </row>
    <row r="726" spans="1:20" x14ac:dyDescent="0.25">
      <c r="A726" s="98" t="s">
        <v>1918</v>
      </c>
      <c r="B726" s="98" t="s">
        <v>1919</v>
      </c>
      <c r="C726" s="98" t="s">
        <v>1179</v>
      </c>
      <c r="D726" s="98" t="s">
        <v>2034</v>
      </c>
      <c r="E726" s="101">
        <v>89638</v>
      </c>
      <c r="F726" s="101">
        <v>219512</v>
      </c>
      <c r="G726" s="98">
        <v>0</v>
      </c>
      <c r="H726" s="101">
        <v>45919</v>
      </c>
      <c r="I726" s="98" t="s">
        <v>2035</v>
      </c>
      <c r="J726" s="98">
        <v>89638</v>
      </c>
      <c r="K726" s="101" t="s">
        <v>2035</v>
      </c>
      <c r="L726" s="98">
        <v>71141</v>
      </c>
      <c r="M726" s="98">
        <v>18497</v>
      </c>
      <c r="N726" s="98">
        <v>26</v>
      </c>
      <c r="O726" s="98" t="s">
        <v>2087</v>
      </c>
      <c r="P726" s="98" t="s">
        <v>2261</v>
      </c>
      <c r="Q726" s="98" t="s">
        <v>2050</v>
      </c>
      <c r="R726" s="98" t="s">
        <v>2171</v>
      </c>
      <c r="S726" t="s">
        <v>2067</v>
      </c>
      <c r="T726" t="s">
        <v>2267</v>
      </c>
    </row>
    <row r="727" spans="1:20" x14ac:dyDescent="0.25">
      <c r="A727" s="98" t="s">
        <v>1920</v>
      </c>
      <c r="B727" s="98" t="s">
        <v>1921</v>
      </c>
      <c r="C727" s="98" t="s">
        <v>1179</v>
      </c>
      <c r="D727" s="98" t="s">
        <v>2034</v>
      </c>
      <c r="E727" s="101">
        <v>89234</v>
      </c>
      <c r="F727" s="101">
        <v>219512</v>
      </c>
      <c r="G727" s="98">
        <v>0</v>
      </c>
      <c r="H727" s="101">
        <v>45919</v>
      </c>
      <c r="I727" s="98" t="s">
        <v>2035</v>
      </c>
      <c r="J727" s="98">
        <v>89234</v>
      </c>
      <c r="K727" s="101" t="s">
        <v>2035</v>
      </c>
      <c r="L727" s="98">
        <v>76926</v>
      </c>
      <c r="M727" s="98">
        <v>12308</v>
      </c>
      <c r="N727" s="98">
        <v>16</v>
      </c>
      <c r="O727" s="98" t="s">
        <v>2087</v>
      </c>
      <c r="P727" s="98" t="s">
        <v>2261</v>
      </c>
      <c r="Q727" s="98" t="s">
        <v>2050</v>
      </c>
      <c r="R727" s="98" t="s">
        <v>2171</v>
      </c>
      <c r="S727" t="s">
        <v>2067</v>
      </c>
      <c r="T727" t="s">
        <v>2267</v>
      </c>
    </row>
    <row r="728" spans="1:20" x14ac:dyDescent="0.25">
      <c r="A728" s="98" t="s">
        <v>1922</v>
      </c>
      <c r="B728" s="98" t="s">
        <v>1923</v>
      </c>
      <c r="C728" s="98" t="s">
        <v>1179</v>
      </c>
      <c r="D728" s="98" t="s">
        <v>2034</v>
      </c>
      <c r="E728" s="101">
        <v>60594</v>
      </c>
      <c r="F728" s="101">
        <v>219512</v>
      </c>
      <c r="G728" s="98">
        <v>0</v>
      </c>
      <c r="H728" s="101">
        <v>45919</v>
      </c>
      <c r="I728" s="98" t="s">
        <v>2035</v>
      </c>
      <c r="J728" s="98">
        <v>60594</v>
      </c>
      <c r="K728" s="101" t="s">
        <v>2035</v>
      </c>
      <c r="L728" s="98">
        <v>52236</v>
      </c>
      <c r="M728" s="98">
        <v>8358</v>
      </c>
      <c r="N728" s="98">
        <v>16</v>
      </c>
      <c r="O728" s="98" t="s">
        <v>2087</v>
      </c>
      <c r="P728" s="98" t="s">
        <v>2261</v>
      </c>
      <c r="Q728" s="98" t="s">
        <v>2050</v>
      </c>
      <c r="R728" s="98" t="s">
        <v>2171</v>
      </c>
      <c r="S728" t="s">
        <v>2085</v>
      </c>
      <c r="T728" t="s">
        <v>2267</v>
      </c>
    </row>
    <row r="729" spans="1:20" x14ac:dyDescent="0.25">
      <c r="A729" s="98" t="s">
        <v>1924</v>
      </c>
      <c r="B729" s="98" t="s">
        <v>1925</v>
      </c>
      <c r="C729" s="98" t="s">
        <v>1136</v>
      </c>
      <c r="D729" s="98" t="s">
        <v>2034</v>
      </c>
      <c r="E729" s="101">
        <v>48651</v>
      </c>
      <c r="F729" s="101">
        <v>219512</v>
      </c>
      <c r="G729" s="98">
        <v>0</v>
      </c>
      <c r="H729" s="101">
        <v>45352</v>
      </c>
      <c r="I729" s="98" t="s">
        <v>2035</v>
      </c>
      <c r="J729" s="98">
        <v>48651</v>
      </c>
      <c r="K729" s="101" t="s">
        <v>2054</v>
      </c>
      <c r="L729" s="98">
        <v>0</v>
      </c>
      <c r="M729" s="98">
        <v>48651</v>
      </c>
      <c r="N729" s="98">
        <v>0</v>
      </c>
      <c r="O729" s="98" t="s">
        <v>2106</v>
      </c>
      <c r="P729" s="98" t="s">
        <v>2107</v>
      </c>
      <c r="Q729" s="98" t="s">
        <v>2076</v>
      </c>
      <c r="R729" s="98" t="s">
        <v>2108</v>
      </c>
      <c r="S729" t="s">
        <v>2085</v>
      </c>
      <c r="T729" t="s">
        <v>2267</v>
      </c>
    </row>
    <row r="730" spans="1:20" x14ac:dyDescent="0.25">
      <c r="A730" s="98" t="s">
        <v>1926</v>
      </c>
      <c r="B730" s="98" t="s">
        <v>1927</v>
      </c>
      <c r="C730" s="98" t="s">
        <v>1179</v>
      </c>
      <c r="D730" s="98" t="s">
        <v>2034</v>
      </c>
      <c r="E730" s="101">
        <v>78192</v>
      </c>
      <c r="F730" s="101">
        <v>219512</v>
      </c>
      <c r="G730" s="98">
        <v>0</v>
      </c>
      <c r="H730" s="101">
        <v>45919</v>
      </c>
      <c r="I730" s="98" t="s">
        <v>2035</v>
      </c>
      <c r="J730" s="98">
        <v>78192</v>
      </c>
      <c r="K730" s="101" t="s">
        <v>2035</v>
      </c>
      <c r="L730" s="98">
        <v>67993</v>
      </c>
      <c r="M730" s="98">
        <v>10199</v>
      </c>
      <c r="N730" s="98">
        <v>15</v>
      </c>
      <c r="O730" s="98" t="s">
        <v>2087</v>
      </c>
      <c r="P730" s="98" t="s">
        <v>2261</v>
      </c>
      <c r="Q730" s="98" t="s">
        <v>2050</v>
      </c>
      <c r="R730" s="98" t="s">
        <v>2171</v>
      </c>
      <c r="S730" t="s">
        <v>2085</v>
      </c>
      <c r="T730" t="s">
        <v>2267</v>
      </c>
    </row>
    <row r="731" spans="1:20" x14ac:dyDescent="0.25">
      <c r="A731" s="98" t="s">
        <v>1928</v>
      </c>
      <c r="B731" s="98" t="s">
        <v>1929</v>
      </c>
      <c r="C731" s="98" t="s">
        <v>1179</v>
      </c>
      <c r="D731" s="98" t="s">
        <v>2034</v>
      </c>
      <c r="E731" s="101">
        <v>42664</v>
      </c>
      <c r="F731" s="101">
        <v>219512</v>
      </c>
      <c r="G731" s="98">
        <v>0</v>
      </c>
      <c r="H731" s="101">
        <v>45919</v>
      </c>
      <c r="I731" s="98" t="s">
        <v>2035</v>
      </c>
      <c r="J731" s="98">
        <v>42664</v>
      </c>
      <c r="K731" s="101" t="s">
        <v>2035</v>
      </c>
      <c r="L731" s="98">
        <v>39873</v>
      </c>
      <c r="M731" s="98">
        <v>2791</v>
      </c>
      <c r="N731" s="98">
        <v>7</v>
      </c>
      <c r="O731" s="98" t="s">
        <v>2087</v>
      </c>
      <c r="P731" s="98" t="s">
        <v>2261</v>
      </c>
      <c r="Q731" s="98" t="s">
        <v>2050</v>
      </c>
      <c r="R731" s="98" t="s">
        <v>2268</v>
      </c>
      <c r="S731" t="s">
        <v>2173</v>
      </c>
      <c r="T731" t="s">
        <v>2267</v>
      </c>
    </row>
    <row r="732" spans="1:20" x14ac:dyDescent="0.25">
      <c r="A732" s="98" t="s">
        <v>508</v>
      </c>
      <c r="B732" s="98" t="s">
        <v>1930</v>
      </c>
      <c r="C732" s="98" t="s">
        <v>1136</v>
      </c>
      <c r="D732" s="98" t="s">
        <v>2034</v>
      </c>
      <c r="E732" s="101">
        <v>131766</v>
      </c>
      <c r="F732" s="101">
        <v>219512</v>
      </c>
      <c r="G732" s="98">
        <v>0</v>
      </c>
      <c r="H732" s="101">
        <v>45919</v>
      </c>
      <c r="I732" s="98" t="s">
        <v>2035</v>
      </c>
      <c r="J732" s="98">
        <v>131766</v>
      </c>
      <c r="K732" s="101" t="s">
        <v>2035</v>
      </c>
      <c r="L732" s="98">
        <v>114579</v>
      </c>
      <c r="M732" s="98">
        <v>17187</v>
      </c>
      <c r="N732" s="98">
        <v>15</v>
      </c>
      <c r="O732" s="98" t="s">
        <v>2264</v>
      </c>
      <c r="P732" s="98" t="s">
        <v>2261</v>
      </c>
      <c r="Q732" s="98" t="s">
        <v>2076</v>
      </c>
      <c r="R732" s="98" t="s">
        <v>2268</v>
      </c>
      <c r="S732" t="s">
        <v>2269</v>
      </c>
      <c r="T732" t="s">
        <v>2262</v>
      </c>
    </row>
    <row r="733" spans="1:20" x14ac:dyDescent="0.25">
      <c r="A733" s="98" t="s">
        <v>509</v>
      </c>
      <c r="B733" s="98" t="s">
        <v>1931</v>
      </c>
      <c r="C733" s="98" t="s">
        <v>1136</v>
      </c>
      <c r="D733" s="98" t="s">
        <v>2034</v>
      </c>
      <c r="E733" s="101">
        <v>20249</v>
      </c>
      <c r="F733" s="101">
        <v>219512</v>
      </c>
      <c r="G733" s="98">
        <v>0</v>
      </c>
      <c r="H733" s="101">
        <v>45919</v>
      </c>
      <c r="I733" s="98" t="s">
        <v>2035</v>
      </c>
      <c r="J733" s="98">
        <v>20249</v>
      </c>
      <c r="K733" s="101" t="s">
        <v>2035</v>
      </c>
      <c r="L733" s="98">
        <v>18408</v>
      </c>
      <c r="M733" s="98">
        <v>1841</v>
      </c>
      <c r="N733" s="98">
        <v>10</v>
      </c>
      <c r="O733" s="98" t="s">
        <v>2264</v>
      </c>
      <c r="P733" s="98" t="s">
        <v>2261</v>
      </c>
      <c r="Q733" s="98" t="s">
        <v>2076</v>
      </c>
      <c r="R733" s="98" t="s">
        <v>2268</v>
      </c>
      <c r="S733" t="s">
        <v>2215</v>
      </c>
      <c r="T733" t="s">
        <v>2262</v>
      </c>
    </row>
    <row r="734" spans="1:20" x14ac:dyDescent="0.25">
      <c r="A734" s="98" t="s">
        <v>510</v>
      </c>
      <c r="B734" s="98" t="s">
        <v>1932</v>
      </c>
      <c r="C734" s="98" t="s">
        <v>1136</v>
      </c>
      <c r="D734" s="98" t="s">
        <v>2034</v>
      </c>
      <c r="E734" s="101">
        <v>31840</v>
      </c>
      <c r="F734" s="101">
        <v>219512</v>
      </c>
      <c r="G734" s="98">
        <v>0</v>
      </c>
      <c r="H734" s="101">
        <v>45919</v>
      </c>
      <c r="I734" s="98" t="s">
        <v>2035</v>
      </c>
      <c r="J734" s="98">
        <v>31840</v>
      </c>
      <c r="K734" s="101" t="s">
        <v>2035</v>
      </c>
      <c r="L734" s="98">
        <v>27687</v>
      </c>
      <c r="M734" s="98">
        <v>4153</v>
      </c>
      <c r="N734" s="98">
        <v>15</v>
      </c>
      <c r="O734" s="98" t="s">
        <v>2264</v>
      </c>
      <c r="P734" s="98" t="s">
        <v>2261</v>
      </c>
      <c r="Q734" s="98" t="s">
        <v>2076</v>
      </c>
      <c r="R734" s="98" t="s">
        <v>2268</v>
      </c>
      <c r="S734" t="s">
        <v>2215</v>
      </c>
      <c r="T734" t="s">
        <v>2262</v>
      </c>
    </row>
    <row r="735" spans="1:20" x14ac:dyDescent="0.25">
      <c r="A735" s="98" t="s">
        <v>511</v>
      </c>
      <c r="B735" s="98" t="s">
        <v>1933</v>
      </c>
      <c r="C735" s="98" t="s">
        <v>1136</v>
      </c>
      <c r="D735" s="98" t="s">
        <v>2034</v>
      </c>
      <c r="E735" s="101">
        <v>31642</v>
      </c>
      <c r="F735" s="101">
        <v>219512</v>
      </c>
      <c r="G735" s="98">
        <v>0</v>
      </c>
      <c r="H735" s="101">
        <v>45919</v>
      </c>
      <c r="I735" s="98" t="s">
        <v>2035</v>
      </c>
      <c r="J735" s="98">
        <v>31642</v>
      </c>
      <c r="K735" s="101" t="s">
        <v>2035</v>
      </c>
      <c r="L735" s="98">
        <v>27515</v>
      </c>
      <c r="M735" s="98">
        <v>4127</v>
      </c>
      <c r="N735" s="98">
        <v>15</v>
      </c>
      <c r="O735" s="98" t="s">
        <v>2264</v>
      </c>
      <c r="P735" s="98" t="s">
        <v>2261</v>
      </c>
      <c r="Q735" s="98" t="s">
        <v>2076</v>
      </c>
      <c r="R735" s="98" t="s">
        <v>2268</v>
      </c>
      <c r="S735" t="s">
        <v>2215</v>
      </c>
      <c r="T735" t="s">
        <v>2262</v>
      </c>
    </row>
    <row r="736" spans="1:20" x14ac:dyDescent="0.25">
      <c r="A736" s="98" t="s">
        <v>512</v>
      </c>
      <c r="B736" s="98" t="s">
        <v>1934</v>
      </c>
      <c r="C736" s="98" t="s">
        <v>1136</v>
      </c>
      <c r="D736" s="98" t="s">
        <v>2034</v>
      </c>
      <c r="E736" s="101">
        <v>135682</v>
      </c>
      <c r="F736" s="101">
        <v>219512</v>
      </c>
      <c r="G736" s="98">
        <v>0</v>
      </c>
      <c r="H736" s="101">
        <v>45919</v>
      </c>
      <c r="I736" s="98" t="s">
        <v>2035</v>
      </c>
      <c r="J736" s="98">
        <v>135682</v>
      </c>
      <c r="K736" s="101" t="s">
        <v>2035</v>
      </c>
      <c r="L736" s="98">
        <v>117984</v>
      </c>
      <c r="M736" s="98">
        <v>17698</v>
      </c>
      <c r="N736" s="98">
        <v>15</v>
      </c>
      <c r="O736" s="98" t="s">
        <v>2264</v>
      </c>
      <c r="P736" s="98" t="s">
        <v>2261</v>
      </c>
      <c r="Q736" s="98" t="s">
        <v>2076</v>
      </c>
      <c r="R736" s="98" t="s">
        <v>2268</v>
      </c>
      <c r="S736" t="s">
        <v>2269</v>
      </c>
      <c r="T736" t="s">
        <v>2262</v>
      </c>
    </row>
    <row r="737" spans="1:20" x14ac:dyDescent="0.25">
      <c r="A737" s="98" t="s">
        <v>513</v>
      </c>
      <c r="B737" s="98" t="s">
        <v>1935</v>
      </c>
      <c r="C737" s="98" t="s">
        <v>1136</v>
      </c>
      <c r="D737" s="98" t="s">
        <v>2034</v>
      </c>
      <c r="E737" s="101">
        <v>48861</v>
      </c>
      <c r="F737" s="101">
        <v>219512</v>
      </c>
      <c r="G737" s="98">
        <v>0</v>
      </c>
      <c r="H737" s="101">
        <v>45919</v>
      </c>
      <c r="I737" s="98" t="s">
        <v>2035</v>
      </c>
      <c r="J737" s="98">
        <v>48861</v>
      </c>
      <c r="K737" s="101" t="s">
        <v>2035</v>
      </c>
      <c r="L737" s="98">
        <v>42488</v>
      </c>
      <c r="M737" s="98">
        <v>6373</v>
      </c>
      <c r="N737" s="98">
        <v>15</v>
      </c>
      <c r="O737" s="98" t="s">
        <v>2264</v>
      </c>
      <c r="P737" s="98" t="s">
        <v>2261</v>
      </c>
      <c r="Q737" s="98" t="s">
        <v>2076</v>
      </c>
      <c r="R737" s="98" t="s">
        <v>2268</v>
      </c>
      <c r="S737" t="s">
        <v>2215</v>
      </c>
      <c r="T737" t="s">
        <v>2262</v>
      </c>
    </row>
    <row r="738" spans="1:20" x14ac:dyDescent="0.25">
      <c r="A738" s="98" t="s">
        <v>1936</v>
      </c>
      <c r="B738" s="98" t="s">
        <v>1937</v>
      </c>
      <c r="C738" s="98" t="s">
        <v>1280</v>
      </c>
      <c r="D738" s="98" t="s">
        <v>2034</v>
      </c>
      <c r="E738" s="101">
        <v>15738</v>
      </c>
      <c r="F738" s="101">
        <v>219512</v>
      </c>
      <c r="G738" s="98">
        <v>0</v>
      </c>
      <c r="H738" s="101">
        <v>45919</v>
      </c>
      <c r="I738" s="98" t="s">
        <v>2035</v>
      </c>
      <c r="J738" s="98">
        <v>15738</v>
      </c>
      <c r="K738" s="101" t="s">
        <v>2035</v>
      </c>
      <c r="L738" s="98">
        <v>15280</v>
      </c>
      <c r="M738" s="98">
        <v>458</v>
      </c>
      <c r="N738" s="98">
        <v>3</v>
      </c>
      <c r="O738" s="98" t="s">
        <v>2087</v>
      </c>
      <c r="P738" s="98" t="s">
        <v>2261</v>
      </c>
      <c r="Q738" s="98" t="s">
        <v>2050</v>
      </c>
      <c r="R738" s="98" t="s">
        <v>2268</v>
      </c>
      <c r="S738" t="s">
        <v>2040</v>
      </c>
      <c r="T738" t="s">
        <v>2267</v>
      </c>
    </row>
    <row r="739" spans="1:20" x14ac:dyDescent="0.25">
      <c r="A739" s="98" t="s">
        <v>1938</v>
      </c>
      <c r="B739" s="98" t="s">
        <v>1939</v>
      </c>
      <c r="C739" s="98" t="s">
        <v>1179</v>
      </c>
      <c r="D739" s="98" t="s">
        <v>2034</v>
      </c>
      <c r="E739" s="101">
        <v>892</v>
      </c>
      <c r="F739" s="101">
        <v>219512</v>
      </c>
      <c r="G739" s="98">
        <v>0</v>
      </c>
      <c r="H739" s="101">
        <v>45762</v>
      </c>
      <c r="I739" s="98" t="s">
        <v>2035</v>
      </c>
      <c r="J739" s="98">
        <v>892</v>
      </c>
      <c r="K739" s="101" t="s">
        <v>2035</v>
      </c>
      <c r="L739" s="98">
        <v>811</v>
      </c>
      <c r="M739" s="98">
        <v>81</v>
      </c>
      <c r="N739" s="98">
        <v>9.99</v>
      </c>
      <c r="O739" s="98" t="s">
        <v>2087</v>
      </c>
      <c r="P739" s="98" t="s">
        <v>2088</v>
      </c>
      <c r="Q739" s="98" t="s">
        <v>2050</v>
      </c>
      <c r="R739" s="98" t="s">
        <v>2270</v>
      </c>
      <c r="S739" t="s">
        <v>2058</v>
      </c>
      <c r="T739" t="s">
        <v>2271</v>
      </c>
    </row>
    <row r="740" spans="1:20" x14ac:dyDescent="0.25">
      <c r="A740" s="98" t="s">
        <v>1940</v>
      </c>
      <c r="B740" s="98" t="s">
        <v>1941</v>
      </c>
      <c r="C740" s="98" t="s">
        <v>1179</v>
      </c>
      <c r="D740" s="98" t="s">
        <v>2034</v>
      </c>
      <c r="E740" s="101">
        <v>3347</v>
      </c>
      <c r="F740" s="101">
        <v>219512</v>
      </c>
      <c r="G740" s="98">
        <v>0</v>
      </c>
      <c r="H740" s="101">
        <v>45762</v>
      </c>
      <c r="I740" s="98" t="s">
        <v>2035</v>
      </c>
      <c r="J740" s="98">
        <v>3347</v>
      </c>
      <c r="K740" s="101" t="s">
        <v>2035</v>
      </c>
      <c r="L740" s="98">
        <v>3043</v>
      </c>
      <c r="M740" s="98">
        <v>304</v>
      </c>
      <c r="N740" s="98">
        <v>9.99</v>
      </c>
      <c r="O740" s="98" t="s">
        <v>2087</v>
      </c>
      <c r="P740" s="98" t="s">
        <v>2088</v>
      </c>
      <c r="Q740" s="98" t="s">
        <v>2050</v>
      </c>
      <c r="R740" s="98" t="s">
        <v>2270</v>
      </c>
      <c r="S740" t="s">
        <v>2047</v>
      </c>
      <c r="T740" t="s">
        <v>2272</v>
      </c>
    </row>
    <row r="741" spans="1:20" x14ac:dyDescent="0.25">
      <c r="A741" s="98" t="s">
        <v>1942</v>
      </c>
      <c r="B741" s="98" t="s">
        <v>1943</v>
      </c>
      <c r="C741" s="98" t="s">
        <v>1179</v>
      </c>
      <c r="D741" s="98" t="s">
        <v>2034</v>
      </c>
      <c r="E741" s="101">
        <v>224968</v>
      </c>
      <c r="F741" s="101">
        <v>219512</v>
      </c>
      <c r="G741" s="98">
        <v>0</v>
      </c>
      <c r="H741" s="101">
        <v>45919</v>
      </c>
      <c r="I741" s="98" t="s">
        <v>2035</v>
      </c>
      <c r="J741" s="98">
        <v>224968</v>
      </c>
      <c r="K741" s="101" t="s">
        <v>2035</v>
      </c>
      <c r="L741" s="98">
        <v>166643</v>
      </c>
      <c r="M741" s="98">
        <v>58325</v>
      </c>
      <c r="N741" s="98">
        <v>35</v>
      </c>
      <c r="O741" s="98" t="s">
        <v>2062</v>
      </c>
      <c r="P741" s="98" t="s">
        <v>2037</v>
      </c>
      <c r="Q741" s="98" t="s">
        <v>2050</v>
      </c>
      <c r="R741" s="98" t="s">
        <v>2045</v>
      </c>
      <c r="S741" t="s">
        <v>2220</v>
      </c>
      <c r="T741" t="s">
        <v>2273</v>
      </c>
    </row>
    <row r="742" spans="1:20" x14ac:dyDescent="0.25">
      <c r="A742" s="98" t="s">
        <v>1944</v>
      </c>
      <c r="B742" s="98" t="s">
        <v>1945</v>
      </c>
      <c r="C742" s="98" t="s">
        <v>1114</v>
      </c>
      <c r="D742" s="98" t="s">
        <v>2034</v>
      </c>
      <c r="E742" s="101">
        <v>1148</v>
      </c>
      <c r="F742" s="101">
        <v>219512</v>
      </c>
      <c r="G742" s="98">
        <v>0</v>
      </c>
      <c r="H742" s="101">
        <v>45762</v>
      </c>
      <c r="I742" s="98" t="s">
        <v>2035</v>
      </c>
      <c r="J742" s="98">
        <v>1148</v>
      </c>
      <c r="K742" s="101" t="s">
        <v>2035</v>
      </c>
      <c r="L742" s="98">
        <v>1044</v>
      </c>
      <c r="M742" s="98">
        <v>104</v>
      </c>
      <c r="N742" s="98">
        <v>9.9600000000000009</v>
      </c>
      <c r="O742" s="98" t="s">
        <v>2087</v>
      </c>
      <c r="P742" s="98" t="s">
        <v>2104</v>
      </c>
      <c r="Q742" s="98" t="s">
        <v>2050</v>
      </c>
      <c r="R742" s="98" t="s">
        <v>2270</v>
      </c>
      <c r="S742" t="s">
        <v>2040</v>
      </c>
      <c r="T742" t="s">
        <v>2266</v>
      </c>
    </row>
    <row r="743" spans="1:20" x14ac:dyDescent="0.25">
      <c r="A743" s="98" t="s">
        <v>1946</v>
      </c>
      <c r="B743" s="98" t="s">
        <v>1947</v>
      </c>
      <c r="C743" s="98" t="s">
        <v>1114</v>
      </c>
      <c r="D743" s="98" t="s">
        <v>2034</v>
      </c>
      <c r="E743" s="101">
        <v>2091</v>
      </c>
      <c r="F743" s="101">
        <v>219512</v>
      </c>
      <c r="G743" s="98">
        <v>0</v>
      </c>
      <c r="H743" s="101">
        <v>45897</v>
      </c>
      <c r="I743" s="98" t="s">
        <v>2035</v>
      </c>
      <c r="J743" s="98">
        <v>2091</v>
      </c>
      <c r="K743" s="101" t="s">
        <v>2035</v>
      </c>
      <c r="L743" s="98">
        <v>1901</v>
      </c>
      <c r="M743" s="98">
        <v>190</v>
      </c>
      <c r="N743" s="98">
        <v>9.99</v>
      </c>
      <c r="O743" s="98" t="s">
        <v>2087</v>
      </c>
      <c r="P743" s="98" t="s">
        <v>2104</v>
      </c>
      <c r="Q743" s="98" t="s">
        <v>2050</v>
      </c>
      <c r="R743" s="98" t="s">
        <v>2270</v>
      </c>
      <c r="S743" t="s">
        <v>2040</v>
      </c>
      <c r="T743" t="s">
        <v>2266</v>
      </c>
    </row>
    <row r="744" spans="1:20" x14ac:dyDescent="0.25">
      <c r="A744" s="98" t="s">
        <v>1948</v>
      </c>
      <c r="B744" s="98" t="s">
        <v>1949</v>
      </c>
      <c r="C744" s="98" t="s">
        <v>1104</v>
      </c>
      <c r="D744" s="98" t="s">
        <v>2034</v>
      </c>
      <c r="E744" s="101">
        <v>5860</v>
      </c>
      <c r="F744" s="101">
        <v>219512</v>
      </c>
      <c r="G744" s="98">
        <v>0</v>
      </c>
      <c r="H744" s="101">
        <v>45897</v>
      </c>
      <c r="I744" s="98" t="s">
        <v>2035</v>
      </c>
      <c r="J744" s="98">
        <v>5860</v>
      </c>
      <c r="K744" s="101" t="s">
        <v>2035</v>
      </c>
      <c r="L744" s="98">
        <v>5426</v>
      </c>
      <c r="M744" s="98">
        <v>434</v>
      </c>
      <c r="N744" s="98">
        <v>8</v>
      </c>
      <c r="O744" s="98" t="s">
        <v>2087</v>
      </c>
      <c r="P744" s="98" t="s">
        <v>2274</v>
      </c>
      <c r="Q744" s="98" t="s">
        <v>2050</v>
      </c>
      <c r="R744" s="98" t="s">
        <v>2045</v>
      </c>
      <c r="S744" t="s">
        <v>2040</v>
      </c>
      <c r="T744" t="s">
        <v>2275</v>
      </c>
    </row>
    <row r="745" spans="1:20" x14ac:dyDescent="0.25">
      <c r="A745" s="98" t="s">
        <v>1950</v>
      </c>
      <c r="B745" s="98" t="s">
        <v>1951</v>
      </c>
      <c r="C745" s="98" t="s">
        <v>1104</v>
      </c>
      <c r="D745" s="98" t="s">
        <v>2034</v>
      </c>
      <c r="E745" s="101">
        <v>9614</v>
      </c>
      <c r="F745" s="101">
        <v>219512</v>
      </c>
      <c r="G745" s="98">
        <v>0</v>
      </c>
      <c r="H745" s="101">
        <v>45762</v>
      </c>
      <c r="I745" s="98" t="s">
        <v>2035</v>
      </c>
      <c r="J745" s="98">
        <v>9614</v>
      </c>
      <c r="K745" s="101" t="s">
        <v>2035</v>
      </c>
      <c r="L745" s="98">
        <v>8740</v>
      </c>
      <c r="M745" s="98">
        <v>874</v>
      </c>
      <c r="N745" s="98">
        <v>10</v>
      </c>
      <c r="O745" s="98" t="s">
        <v>2087</v>
      </c>
      <c r="P745" s="98" t="s">
        <v>2274</v>
      </c>
      <c r="Q745" s="98" t="s">
        <v>2050</v>
      </c>
      <c r="R745" s="98" t="s">
        <v>2270</v>
      </c>
      <c r="S745" t="s">
        <v>2040</v>
      </c>
      <c r="T745" t="s">
        <v>2275</v>
      </c>
    </row>
    <row r="746" spans="1:20" x14ac:dyDescent="0.25">
      <c r="A746" s="98" t="s">
        <v>1952</v>
      </c>
      <c r="B746" s="98" t="s">
        <v>1953</v>
      </c>
      <c r="C746" s="98" t="s">
        <v>1104</v>
      </c>
      <c r="D746" s="98" t="s">
        <v>2034</v>
      </c>
      <c r="E746" s="101">
        <v>72</v>
      </c>
      <c r="F746" s="101">
        <v>219512</v>
      </c>
      <c r="G746" s="98">
        <v>0</v>
      </c>
      <c r="H746" s="101">
        <v>45762</v>
      </c>
      <c r="I746" s="98" t="s">
        <v>2035</v>
      </c>
      <c r="J746" s="98">
        <v>72</v>
      </c>
      <c r="K746" s="101" t="s">
        <v>2035</v>
      </c>
      <c r="L746" s="98">
        <v>65</v>
      </c>
      <c r="M746" s="98">
        <v>7</v>
      </c>
      <c r="N746" s="98">
        <v>10.77</v>
      </c>
      <c r="O746" s="98" t="s">
        <v>2087</v>
      </c>
      <c r="P746" s="98" t="s">
        <v>2104</v>
      </c>
      <c r="Q746" s="98" t="s">
        <v>2050</v>
      </c>
      <c r="R746" s="98" t="s">
        <v>2270</v>
      </c>
      <c r="S746" t="s">
        <v>2040</v>
      </c>
      <c r="T746" t="s">
        <v>2275</v>
      </c>
    </row>
    <row r="747" spans="1:20" x14ac:dyDescent="0.25">
      <c r="A747" s="98" t="s">
        <v>1954</v>
      </c>
      <c r="B747" s="98" t="s">
        <v>1955</v>
      </c>
      <c r="C747" s="98" t="s">
        <v>1179</v>
      </c>
      <c r="D747" s="98" t="s">
        <v>2034</v>
      </c>
      <c r="E747" s="101">
        <v>157</v>
      </c>
      <c r="F747" s="101">
        <v>219512</v>
      </c>
      <c r="G747" s="98">
        <v>0</v>
      </c>
      <c r="H747" s="101">
        <v>45762</v>
      </c>
      <c r="I747" s="98" t="s">
        <v>2035</v>
      </c>
      <c r="J747" s="98">
        <v>157</v>
      </c>
      <c r="K747" s="101" t="s">
        <v>2035</v>
      </c>
      <c r="L747" s="98">
        <v>143</v>
      </c>
      <c r="M747" s="98">
        <v>14</v>
      </c>
      <c r="N747" s="98">
        <v>9.7899999999999991</v>
      </c>
      <c r="O747" s="98" t="s">
        <v>2087</v>
      </c>
      <c r="P747" s="98" t="s">
        <v>2162</v>
      </c>
      <c r="Q747" s="98" t="s">
        <v>2050</v>
      </c>
      <c r="R747" s="98" t="s">
        <v>2270</v>
      </c>
      <c r="S747" t="s">
        <v>2040</v>
      </c>
      <c r="T747" t="s">
        <v>2276</v>
      </c>
    </row>
    <row r="748" spans="1:20" x14ac:dyDescent="0.25">
      <c r="A748" s="98" t="s">
        <v>1956</v>
      </c>
      <c r="B748" s="98" t="s">
        <v>1957</v>
      </c>
      <c r="C748" s="98" t="s">
        <v>1136</v>
      </c>
      <c r="D748" s="98" t="s">
        <v>2034</v>
      </c>
      <c r="E748" s="101">
        <v>377</v>
      </c>
      <c r="F748" s="101">
        <v>219512</v>
      </c>
      <c r="G748" s="98">
        <v>0</v>
      </c>
      <c r="H748" s="101">
        <v>45762</v>
      </c>
      <c r="I748" s="98" t="s">
        <v>2035</v>
      </c>
      <c r="J748" s="98">
        <v>377</v>
      </c>
      <c r="K748" s="101" t="s">
        <v>2035</v>
      </c>
      <c r="L748" s="98">
        <v>343</v>
      </c>
      <c r="M748" s="98">
        <v>34</v>
      </c>
      <c r="N748" s="98">
        <v>9.91</v>
      </c>
      <c r="O748" s="98" t="s">
        <v>2150</v>
      </c>
      <c r="P748" s="98" t="s">
        <v>2147</v>
      </c>
      <c r="Q748" s="98" t="s">
        <v>2050</v>
      </c>
      <c r="R748" s="98" t="s">
        <v>2045</v>
      </c>
      <c r="S748" t="s">
        <v>2047</v>
      </c>
      <c r="T748" t="s">
        <v>2277</v>
      </c>
    </row>
    <row r="749" spans="1:20" x14ac:dyDescent="0.25">
      <c r="A749" s="98" t="s">
        <v>1958</v>
      </c>
      <c r="B749" s="98" t="s">
        <v>1959</v>
      </c>
      <c r="C749" s="98" t="s">
        <v>1136</v>
      </c>
      <c r="D749" s="98" t="s">
        <v>2034</v>
      </c>
      <c r="E749" s="101">
        <v>6587</v>
      </c>
      <c r="F749" s="101">
        <v>219512</v>
      </c>
      <c r="G749" s="98">
        <v>0</v>
      </c>
      <c r="H749" s="101">
        <v>45762</v>
      </c>
      <c r="I749" s="98" t="s">
        <v>2035</v>
      </c>
      <c r="J749" s="98">
        <v>6587</v>
      </c>
      <c r="K749" s="101" t="s">
        <v>2035</v>
      </c>
      <c r="L749" s="98">
        <v>5988</v>
      </c>
      <c r="M749" s="98">
        <v>599</v>
      </c>
      <c r="N749" s="98">
        <v>10</v>
      </c>
      <c r="O749" s="98" t="s">
        <v>2087</v>
      </c>
      <c r="P749" s="98" t="s">
        <v>2274</v>
      </c>
      <c r="Q749" s="98" t="s">
        <v>2050</v>
      </c>
      <c r="R749" s="98" t="s">
        <v>2270</v>
      </c>
      <c r="S749" t="s">
        <v>2040</v>
      </c>
      <c r="T749" t="s">
        <v>2277</v>
      </c>
    </row>
    <row r="750" spans="1:20" x14ac:dyDescent="0.25">
      <c r="A750" s="98" t="s">
        <v>1960</v>
      </c>
      <c r="B750" s="98" t="s">
        <v>1961</v>
      </c>
      <c r="C750" s="98" t="s">
        <v>1104</v>
      </c>
      <c r="D750" s="98" t="s">
        <v>2034</v>
      </c>
      <c r="E750" s="101">
        <v>1</v>
      </c>
      <c r="F750" s="101">
        <v>219512</v>
      </c>
      <c r="G750" s="98">
        <v>0</v>
      </c>
      <c r="H750" s="101">
        <v>45766</v>
      </c>
      <c r="I750" s="98" t="s">
        <v>2035</v>
      </c>
      <c r="J750" s="98">
        <v>1</v>
      </c>
      <c r="K750" s="101" t="s">
        <v>2035</v>
      </c>
      <c r="L750" s="98">
        <v>19195</v>
      </c>
      <c r="M750" s="98">
        <v>-19194</v>
      </c>
      <c r="N750" s="98">
        <v>-99.99</v>
      </c>
      <c r="O750" s="98" t="s">
        <v>2150</v>
      </c>
      <c r="P750" s="98" t="s">
        <v>2278</v>
      </c>
      <c r="Q750" s="98" t="s">
        <v>2050</v>
      </c>
      <c r="R750" s="98" t="s">
        <v>2105</v>
      </c>
      <c r="S750" t="s">
        <v>2040</v>
      </c>
      <c r="T750" t="s">
        <v>2279</v>
      </c>
    </row>
    <row r="751" spans="1:20" x14ac:dyDescent="0.25">
      <c r="A751" s="98" t="s">
        <v>1962</v>
      </c>
      <c r="B751" s="98" t="s">
        <v>1963</v>
      </c>
      <c r="C751" s="98" t="s">
        <v>1104</v>
      </c>
      <c r="D751" s="98" t="s">
        <v>2034</v>
      </c>
      <c r="E751" s="101">
        <v>1</v>
      </c>
      <c r="F751" s="101">
        <v>219512</v>
      </c>
      <c r="G751" s="98">
        <v>0</v>
      </c>
      <c r="H751" s="101">
        <v>45432</v>
      </c>
      <c r="I751" s="98" t="s">
        <v>2035</v>
      </c>
      <c r="J751" s="98">
        <v>1</v>
      </c>
      <c r="K751" s="101" t="s">
        <v>2035</v>
      </c>
      <c r="L751" s="98">
        <v>20000</v>
      </c>
      <c r="M751" s="98">
        <v>-19999</v>
      </c>
      <c r="N751" s="98">
        <v>-100</v>
      </c>
      <c r="O751" s="98" t="s">
        <v>2150</v>
      </c>
      <c r="P751" s="98" t="s">
        <v>2278</v>
      </c>
      <c r="Q751" s="98" t="s">
        <v>2050</v>
      </c>
      <c r="R751" s="98" t="s">
        <v>2105</v>
      </c>
      <c r="S751" t="s">
        <v>2040</v>
      </c>
      <c r="T751" t="s">
        <v>2279</v>
      </c>
    </row>
    <row r="752" spans="1:20" x14ac:dyDescent="0.25">
      <c r="A752" s="98" t="s">
        <v>1964</v>
      </c>
      <c r="B752" s="98" t="s">
        <v>1965</v>
      </c>
      <c r="C752" s="98" t="s">
        <v>1104</v>
      </c>
      <c r="D752" s="98" t="s">
        <v>2034</v>
      </c>
      <c r="E752" s="101">
        <v>1</v>
      </c>
      <c r="F752" s="101">
        <v>219512</v>
      </c>
      <c r="G752" s="98">
        <v>0</v>
      </c>
      <c r="H752" s="101">
        <v>45432</v>
      </c>
      <c r="I752" s="98" t="s">
        <v>2035</v>
      </c>
      <c r="J752" s="98">
        <v>1</v>
      </c>
      <c r="K752" s="101" t="s">
        <v>2035</v>
      </c>
      <c r="L752" s="98">
        <v>20000</v>
      </c>
      <c r="M752" s="98">
        <v>-19999</v>
      </c>
      <c r="N752" s="98">
        <v>-100</v>
      </c>
      <c r="O752" s="98" t="s">
        <v>2150</v>
      </c>
      <c r="P752" s="98" t="s">
        <v>2278</v>
      </c>
      <c r="Q752" s="98" t="s">
        <v>2050</v>
      </c>
      <c r="R752" s="98" t="s">
        <v>2105</v>
      </c>
      <c r="S752" t="s">
        <v>2040</v>
      </c>
      <c r="T752" t="s">
        <v>2279</v>
      </c>
    </row>
    <row r="753" spans="1:20" x14ac:dyDescent="0.25">
      <c r="A753" s="98" t="s">
        <v>1966</v>
      </c>
      <c r="B753" s="98" t="s">
        <v>1967</v>
      </c>
      <c r="C753" s="98" t="s">
        <v>1104</v>
      </c>
      <c r="D753" s="98" t="s">
        <v>2034</v>
      </c>
      <c r="E753" s="101">
        <v>1</v>
      </c>
      <c r="F753" s="101">
        <v>219512</v>
      </c>
      <c r="G753" s="98">
        <v>0</v>
      </c>
      <c r="H753" s="101">
        <v>45766</v>
      </c>
      <c r="I753" s="98" t="s">
        <v>2035</v>
      </c>
      <c r="J753" s="98">
        <v>1</v>
      </c>
      <c r="K753" s="101" t="s">
        <v>2035</v>
      </c>
      <c r="L753" s="98">
        <v>5177</v>
      </c>
      <c r="M753" s="98">
        <v>-5176</v>
      </c>
      <c r="N753" s="98">
        <v>-99.98</v>
      </c>
      <c r="O753" s="98" t="s">
        <v>2036</v>
      </c>
      <c r="P753" s="98" t="s">
        <v>2037</v>
      </c>
      <c r="Q753" s="98" t="s">
        <v>2050</v>
      </c>
      <c r="R753" s="98" t="s">
        <v>2045</v>
      </c>
      <c r="S753" t="s">
        <v>2040</v>
      </c>
      <c r="T753" t="s">
        <v>2043</v>
      </c>
    </row>
    <row r="754" spans="1:20" x14ac:dyDescent="0.25">
      <c r="A754" s="98" t="s">
        <v>1968</v>
      </c>
      <c r="B754" s="98" t="s">
        <v>1969</v>
      </c>
      <c r="C754" s="98" t="s">
        <v>1104</v>
      </c>
      <c r="D754" s="98" t="s">
        <v>2034</v>
      </c>
      <c r="E754" s="101">
        <v>1</v>
      </c>
      <c r="F754" s="101">
        <v>219512</v>
      </c>
      <c r="G754" s="98">
        <v>0</v>
      </c>
      <c r="H754" s="101">
        <v>45766</v>
      </c>
      <c r="I754" s="98" t="s">
        <v>2035</v>
      </c>
      <c r="J754" s="98">
        <v>1</v>
      </c>
      <c r="K754" s="101" t="s">
        <v>2035</v>
      </c>
      <c r="L754" s="98">
        <v>2712</v>
      </c>
      <c r="M754" s="98">
        <v>-2711</v>
      </c>
      <c r="N754" s="98">
        <v>-99.96</v>
      </c>
      <c r="O754" s="98" t="s">
        <v>2036</v>
      </c>
      <c r="P754" s="98" t="s">
        <v>2037</v>
      </c>
      <c r="Q754" s="98" t="s">
        <v>2038</v>
      </c>
      <c r="R754" s="98" t="s">
        <v>2045</v>
      </c>
      <c r="S754" t="s">
        <v>2040</v>
      </c>
      <c r="T754" t="s">
        <v>2046</v>
      </c>
    </row>
    <row r="755" spans="1:20" x14ac:dyDescent="0.25">
      <c r="A755" s="98" t="s">
        <v>1970</v>
      </c>
      <c r="B755" s="98" t="s">
        <v>1971</v>
      </c>
      <c r="C755" s="98" t="s">
        <v>1104</v>
      </c>
      <c r="D755" s="98" t="s">
        <v>2034</v>
      </c>
      <c r="E755" s="101">
        <v>1</v>
      </c>
      <c r="F755" s="101">
        <v>219512</v>
      </c>
      <c r="G755" s="98">
        <v>0</v>
      </c>
      <c r="H755" s="101">
        <v>45766</v>
      </c>
      <c r="I755" s="98" t="s">
        <v>2035</v>
      </c>
      <c r="J755" s="98">
        <v>1</v>
      </c>
      <c r="K755" s="101" t="s">
        <v>2035</v>
      </c>
      <c r="L755" s="98">
        <v>6354</v>
      </c>
      <c r="M755" s="98">
        <v>-6353</v>
      </c>
      <c r="N755" s="98">
        <v>-99.98</v>
      </c>
      <c r="O755" s="98" t="s">
        <v>2036</v>
      </c>
      <c r="P755" s="98" t="s">
        <v>2037</v>
      </c>
      <c r="Q755" s="98" t="s">
        <v>2038</v>
      </c>
      <c r="R755" s="98" t="s">
        <v>2045</v>
      </c>
      <c r="S755" t="s">
        <v>2040</v>
      </c>
      <c r="T755" t="s">
        <v>2046</v>
      </c>
    </row>
    <row r="756" spans="1:20" x14ac:dyDescent="0.25">
      <c r="A756" s="98" t="s">
        <v>1972</v>
      </c>
      <c r="B756" s="98" t="s">
        <v>1973</v>
      </c>
      <c r="C756" s="98" t="s">
        <v>1136</v>
      </c>
      <c r="D756" s="98" t="s">
        <v>2034</v>
      </c>
      <c r="E756" s="101">
        <v>34700</v>
      </c>
      <c r="F756" s="101">
        <v>219512</v>
      </c>
      <c r="G756" s="98">
        <v>0</v>
      </c>
      <c r="H756" s="101">
        <v>45762</v>
      </c>
      <c r="I756" s="98" t="s">
        <v>2035</v>
      </c>
      <c r="J756" s="98">
        <v>34700</v>
      </c>
      <c r="K756" s="101" t="s">
        <v>2035</v>
      </c>
      <c r="L756" s="98">
        <v>31545</v>
      </c>
      <c r="M756" s="98">
        <v>3155</v>
      </c>
      <c r="N756" s="98">
        <v>10</v>
      </c>
      <c r="O756" s="98" t="s">
        <v>2036</v>
      </c>
      <c r="P756" s="98" t="s">
        <v>2037</v>
      </c>
      <c r="Q756" s="98" t="s">
        <v>2038</v>
      </c>
      <c r="R756" s="98" t="s">
        <v>2039</v>
      </c>
      <c r="S756" t="s">
        <v>2047</v>
      </c>
      <c r="T756" t="s">
        <v>2048</v>
      </c>
    </row>
    <row r="757" spans="1:20" x14ac:dyDescent="0.25">
      <c r="A757" s="98" t="s">
        <v>1974</v>
      </c>
      <c r="B757" s="98" t="s">
        <v>1975</v>
      </c>
      <c r="C757" s="98" t="s">
        <v>1136</v>
      </c>
      <c r="D757" s="98" t="s">
        <v>2034</v>
      </c>
      <c r="E757" s="101">
        <v>39604</v>
      </c>
      <c r="F757" s="101">
        <v>219512</v>
      </c>
      <c r="G757" s="98">
        <v>0</v>
      </c>
      <c r="H757" s="101">
        <v>45762</v>
      </c>
      <c r="I757" s="98" t="s">
        <v>2035</v>
      </c>
      <c r="J757" s="98">
        <v>39604</v>
      </c>
      <c r="K757" s="101" t="s">
        <v>2035</v>
      </c>
      <c r="L757" s="98">
        <v>36004</v>
      </c>
      <c r="M757" s="98">
        <v>3600</v>
      </c>
      <c r="N757" s="98">
        <v>10</v>
      </c>
      <c r="O757" s="98" t="s">
        <v>2036</v>
      </c>
      <c r="P757" s="98" t="s">
        <v>2037</v>
      </c>
      <c r="Q757" s="98" t="s">
        <v>2038</v>
      </c>
      <c r="R757" s="98" t="s">
        <v>2039</v>
      </c>
      <c r="S757" t="s">
        <v>2047</v>
      </c>
      <c r="T757" t="s">
        <v>2048</v>
      </c>
    </row>
    <row r="758" spans="1:20" x14ac:dyDescent="0.25">
      <c r="A758" s="98" t="s">
        <v>1976</v>
      </c>
      <c r="B758" s="98" t="s">
        <v>1977</v>
      </c>
      <c r="C758" s="98" t="s">
        <v>1136</v>
      </c>
      <c r="D758" s="98" t="s">
        <v>2034</v>
      </c>
      <c r="E758" s="101">
        <v>22293</v>
      </c>
      <c r="F758" s="101">
        <v>219512</v>
      </c>
      <c r="G758" s="98">
        <v>0</v>
      </c>
      <c r="H758" s="101">
        <v>45762</v>
      </c>
      <c r="I758" s="98" t="s">
        <v>2035</v>
      </c>
      <c r="J758" s="98">
        <v>22293</v>
      </c>
      <c r="K758" s="101" t="s">
        <v>2035</v>
      </c>
      <c r="L758" s="98">
        <v>20266</v>
      </c>
      <c r="M758" s="98">
        <v>2027</v>
      </c>
      <c r="N758" s="98">
        <v>10</v>
      </c>
      <c r="O758" s="98" t="s">
        <v>2036</v>
      </c>
      <c r="P758" s="98" t="s">
        <v>2037</v>
      </c>
      <c r="Q758" s="98" t="s">
        <v>2038</v>
      </c>
      <c r="R758" s="98" t="s">
        <v>2039</v>
      </c>
      <c r="S758" t="s">
        <v>2056</v>
      </c>
      <c r="T758" t="s">
        <v>2048</v>
      </c>
    </row>
    <row r="759" spans="1:20" x14ac:dyDescent="0.25">
      <c r="A759" s="98" t="s">
        <v>1978</v>
      </c>
      <c r="B759" s="98" t="s">
        <v>1979</v>
      </c>
      <c r="C759" s="98" t="s">
        <v>1136</v>
      </c>
      <c r="D759" s="98" t="s">
        <v>2034</v>
      </c>
      <c r="E759" s="101">
        <v>20298</v>
      </c>
      <c r="F759" s="101">
        <v>219512</v>
      </c>
      <c r="G759" s="98">
        <v>0</v>
      </c>
      <c r="H759" s="101">
        <v>45897</v>
      </c>
      <c r="I759" s="98" t="s">
        <v>2035</v>
      </c>
      <c r="J759" s="98">
        <v>20298</v>
      </c>
      <c r="K759" s="101" t="s">
        <v>2035</v>
      </c>
      <c r="L759" s="98">
        <v>18794</v>
      </c>
      <c r="M759" s="98">
        <v>1504</v>
      </c>
      <c r="N759" s="98">
        <v>8</v>
      </c>
      <c r="O759" s="98" t="s">
        <v>2036</v>
      </c>
      <c r="P759" s="98" t="s">
        <v>2037</v>
      </c>
      <c r="Q759" s="98" t="s">
        <v>2038</v>
      </c>
      <c r="R759" s="98" t="s">
        <v>2039</v>
      </c>
      <c r="S759" t="s">
        <v>2056</v>
      </c>
      <c r="T759" t="s">
        <v>2048</v>
      </c>
    </row>
    <row r="760" spans="1:20" x14ac:dyDescent="0.25">
      <c r="A760" s="98" t="s">
        <v>1980</v>
      </c>
      <c r="B760" s="98" t="s">
        <v>1981</v>
      </c>
      <c r="C760" s="98" t="s">
        <v>1104</v>
      </c>
      <c r="D760" s="98" t="s">
        <v>2034</v>
      </c>
      <c r="E760" s="101">
        <v>1</v>
      </c>
      <c r="F760" s="101">
        <v>219512</v>
      </c>
      <c r="G760" s="98">
        <v>0</v>
      </c>
      <c r="H760" s="101">
        <v>45880</v>
      </c>
      <c r="I760" s="98" t="s">
        <v>2035</v>
      </c>
      <c r="J760" s="98">
        <v>1</v>
      </c>
      <c r="K760" s="101" t="s">
        <v>2035</v>
      </c>
      <c r="L760" s="98">
        <v>1947</v>
      </c>
      <c r="M760" s="98">
        <v>-1946</v>
      </c>
      <c r="N760" s="98">
        <v>-99.95</v>
      </c>
      <c r="O760" s="98" t="s">
        <v>2036</v>
      </c>
      <c r="P760" s="98" t="s">
        <v>2037</v>
      </c>
      <c r="Q760" s="98" t="s">
        <v>2038</v>
      </c>
      <c r="R760" s="98" t="s">
        <v>2045</v>
      </c>
      <c r="S760" t="s">
        <v>2040</v>
      </c>
      <c r="T760" t="s">
        <v>2046</v>
      </c>
    </row>
    <row r="761" spans="1:20" x14ac:dyDescent="0.25">
      <c r="A761" s="98" t="s">
        <v>182</v>
      </c>
      <c r="B761" s="98" t="s">
        <v>1982</v>
      </c>
      <c r="C761" s="98" t="s">
        <v>1063</v>
      </c>
      <c r="D761" s="98" t="s">
        <v>2034</v>
      </c>
      <c r="E761" s="101">
        <v>126745</v>
      </c>
      <c r="F761" s="101">
        <v>219512</v>
      </c>
      <c r="G761" s="98">
        <v>0</v>
      </c>
      <c r="H761" s="101">
        <v>45919</v>
      </c>
      <c r="I761" s="98" t="s">
        <v>2035</v>
      </c>
      <c r="J761" s="98">
        <v>126745</v>
      </c>
      <c r="K761" s="101" t="s">
        <v>2035</v>
      </c>
      <c r="L761" s="98">
        <v>62745</v>
      </c>
      <c r="M761" s="98">
        <v>64000</v>
      </c>
      <c r="N761" s="98">
        <v>102</v>
      </c>
      <c r="O761" s="98" t="s">
        <v>2087</v>
      </c>
      <c r="P761" s="98" t="s">
        <v>2037</v>
      </c>
      <c r="Q761" s="98" t="s">
        <v>2050</v>
      </c>
      <c r="R761" s="98" t="s">
        <v>2045</v>
      </c>
      <c r="S761" t="s">
        <v>2040</v>
      </c>
      <c r="T761" t="s">
        <v>2280</v>
      </c>
    </row>
    <row r="762" spans="1:20" x14ac:dyDescent="0.25">
      <c r="A762" s="98" t="s">
        <v>183</v>
      </c>
      <c r="B762" s="98" t="s">
        <v>1983</v>
      </c>
      <c r="C762" s="98" t="s">
        <v>1063</v>
      </c>
      <c r="D762" s="98" t="s">
        <v>2034</v>
      </c>
      <c r="E762" s="101">
        <v>126430</v>
      </c>
      <c r="F762" s="101">
        <v>219512</v>
      </c>
      <c r="G762" s="98">
        <v>0</v>
      </c>
      <c r="H762" s="101">
        <v>45919</v>
      </c>
      <c r="I762" s="98" t="s">
        <v>2035</v>
      </c>
      <c r="J762" s="98">
        <v>126430</v>
      </c>
      <c r="K762" s="101" t="s">
        <v>2035</v>
      </c>
      <c r="L762" s="98">
        <v>62589</v>
      </c>
      <c r="M762" s="98">
        <v>63841</v>
      </c>
      <c r="N762" s="98">
        <v>102</v>
      </c>
      <c r="O762" s="98" t="s">
        <v>2087</v>
      </c>
      <c r="P762" s="98" t="s">
        <v>2037</v>
      </c>
      <c r="Q762" s="98" t="s">
        <v>2050</v>
      </c>
      <c r="R762" s="98" t="s">
        <v>2045</v>
      </c>
      <c r="S762" t="s">
        <v>2040</v>
      </c>
      <c r="T762" t="s">
        <v>2280</v>
      </c>
    </row>
    <row r="763" spans="1:20" x14ac:dyDescent="0.25">
      <c r="A763" s="98" t="s">
        <v>184</v>
      </c>
      <c r="B763" s="98" t="s">
        <v>1984</v>
      </c>
      <c r="C763" s="98" t="s">
        <v>1063</v>
      </c>
      <c r="D763" s="98" t="s">
        <v>2034</v>
      </c>
      <c r="E763" s="101">
        <v>127448</v>
      </c>
      <c r="F763" s="101">
        <v>219512</v>
      </c>
      <c r="G763" s="98">
        <v>0</v>
      </c>
      <c r="H763" s="101">
        <v>45919</v>
      </c>
      <c r="I763" s="98" t="s">
        <v>2035</v>
      </c>
      <c r="J763" s="98">
        <v>127448</v>
      </c>
      <c r="K763" s="101" t="s">
        <v>2035</v>
      </c>
      <c r="L763" s="98">
        <v>63093</v>
      </c>
      <c r="M763" s="98">
        <v>64355</v>
      </c>
      <c r="N763" s="98">
        <v>102</v>
      </c>
      <c r="O763" s="98" t="s">
        <v>2087</v>
      </c>
      <c r="P763" s="98" t="s">
        <v>2037</v>
      </c>
      <c r="Q763" s="98" t="s">
        <v>2050</v>
      </c>
      <c r="R763" s="98" t="s">
        <v>2045</v>
      </c>
      <c r="S763" t="s">
        <v>2040</v>
      </c>
      <c r="T763" t="s">
        <v>2280</v>
      </c>
    </row>
    <row r="764" spans="1:20" x14ac:dyDescent="0.25">
      <c r="A764" s="98" t="s">
        <v>185</v>
      </c>
      <c r="B764" s="98" t="s">
        <v>1985</v>
      </c>
      <c r="C764" s="98" t="s">
        <v>1063</v>
      </c>
      <c r="D764" s="98" t="s">
        <v>2034</v>
      </c>
      <c r="E764" s="101">
        <v>127448</v>
      </c>
      <c r="F764" s="101">
        <v>219512</v>
      </c>
      <c r="G764" s="98">
        <v>0</v>
      </c>
      <c r="H764" s="101">
        <v>45919</v>
      </c>
      <c r="I764" s="98" t="s">
        <v>2035</v>
      </c>
      <c r="J764" s="98">
        <v>127448</v>
      </c>
      <c r="K764" s="101" t="s">
        <v>2035</v>
      </c>
      <c r="L764" s="98">
        <v>63093</v>
      </c>
      <c r="M764" s="98">
        <v>64355</v>
      </c>
      <c r="N764" s="98">
        <v>102</v>
      </c>
      <c r="O764" s="98" t="s">
        <v>2087</v>
      </c>
      <c r="P764" s="98" t="s">
        <v>2037</v>
      </c>
      <c r="Q764" s="98" t="s">
        <v>2050</v>
      </c>
      <c r="R764" s="98" t="s">
        <v>2045</v>
      </c>
      <c r="S764" t="s">
        <v>2040</v>
      </c>
      <c r="T764" t="s">
        <v>2280</v>
      </c>
    </row>
    <row r="765" spans="1:20" x14ac:dyDescent="0.25">
      <c r="A765" s="98" t="s">
        <v>186</v>
      </c>
      <c r="B765" s="98" t="s">
        <v>1986</v>
      </c>
      <c r="C765" s="98" t="s">
        <v>1063</v>
      </c>
      <c r="D765" s="98" t="s">
        <v>2034</v>
      </c>
      <c r="E765" s="101">
        <v>127096</v>
      </c>
      <c r="F765" s="101">
        <v>219512</v>
      </c>
      <c r="G765" s="98">
        <v>0</v>
      </c>
      <c r="H765" s="101">
        <v>45919</v>
      </c>
      <c r="I765" s="98" t="s">
        <v>2035</v>
      </c>
      <c r="J765" s="98">
        <v>127096</v>
      </c>
      <c r="K765" s="101" t="s">
        <v>2035</v>
      </c>
      <c r="L765" s="98">
        <v>62919</v>
      </c>
      <c r="M765" s="98">
        <v>64177</v>
      </c>
      <c r="N765" s="98">
        <v>102</v>
      </c>
      <c r="O765" s="98" t="s">
        <v>2087</v>
      </c>
      <c r="P765" s="98" t="s">
        <v>2037</v>
      </c>
      <c r="Q765" s="98" t="s">
        <v>2050</v>
      </c>
      <c r="R765" s="98" t="s">
        <v>2045</v>
      </c>
      <c r="S765" t="s">
        <v>2040</v>
      </c>
      <c r="T765" t="s">
        <v>2280</v>
      </c>
    </row>
    <row r="766" spans="1:20" x14ac:dyDescent="0.25">
      <c r="A766" s="98" t="s">
        <v>187</v>
      </c>
      <c r="B766" s="98" t="s">
        <v>1987</v>
      </c>
      <c r="C766" s="98" t="s">
        <v>1063</v>
      </c>
      <c r="D766" s="98" t="s">
        <v>2034</v>
      </c>
      <c r="E766" s="101">
        <v>13720</v>
      </c>
      <c r="F766" s="101">
        <v>219512</v>
      </c>
      <c r="G766" s="98">
        <v>0</v>
      </c>
      <c r="H766" s="101">
        <v>45766</v>
      </c>
      <c r="I766" s="98" t="s">
        <v>2035</v>
      </c>
      <c r="J766" s="98">
        <v>13720</v>
      </c>
      <c r="K766" s="101" t="s">
        <v>2035</v>
      </c>
      <c r="L766" s="98">
        <v>15092</v>
      </c>
      <c r="M766" s="98">
        <v>-1372</v>
      </c>
      <c r="N766" s="98">
        <v>-9.09</v>
      </c>
      <c r="O766" s="98" t="s">
        <v>2036</v>
      </c>
      <c r="P766" s="98" t="s">
        <v>2037</v>
      </c>
      <c r="Q766" s="98" t="s">
        <v>2050</v>
      </c>
      <c r="R766" s="98" t="s">
        <v>2045</v>
      </c>
      <c r="S766" t="s">
        <v>2040</v>
      </c>
      <c r="T766" t="s">
        <v>2043</v>
      </c>
    </row>
    <row r="767" spans="1:20" x14ac:dyDescent="0.25">
      <c r="A767" s="98" t="s">
        <v>188</v>
      </c>
      <c r="B767" s="98" t="s">
        <v>1988</v>
      </c>
      <c r="C767" s="98" t="s">
        <v>1063</v>
      </c>
      <c r="D767" s="98" t="s">
        <v>2034</v>
      </c>
      <c r="E767" s="101">
        <v>62369</v>
      </c>
      <c r="F767" s="101">
        <v>219512</v>
      </c>
      <c r="G767" s="98">
        <v>0</v>
      </c>
      <c r="H767" s="101">
        <v>45766</v>
      </c>
      <c r="I767" s="98" t="s">
        <v>2035</v>
      </c>
      <c r="J767" s="98">
        <v>62369</v>
      </c>
      <c r="K767" s="101" t="s">
        <v>2035</v>
      </c>
      <c r="L767" s="98">
        <v>68606</v>
      </c>
      <c r="M767" s="98">
        <v>-6237</v>
      </c>
      <c r="N767" s="98">
        <v>-9.09</v>
      </c>
      <c r="O767" s="98" t="s">
        <v>2036</v>
      </c>
      <c r="P767" s="98" t="s">
        <v>2037</v>
      </c>
      <c r="Q767" s="98" t="s">
        <v>2050</v>
      </c>
      <c r="R767" s="98" t="s">
        <v>2045</v>
      </c>
      <c r="S767" t="s">
        <v>2040</v>
      </c>
      <c r="T767" t="s">
        <v>2043</v>
      </c>
    </row>
    <row r="768" spans="1:20" x14ac:dyDescent="0.25">
      <c r="A768" s="98" t="s">
        <v>189</v>
      </c>
      <c r="B768" s="98" t="s">
        <v>1989</v>
      </c>
      <c r="C768" s="98" t="s">
        <v>1063</v>
      </c>
      <c r="D768" s="98" t="s">
        <v>2034</v>
      </c>
      <c r="E768" s="101">
        <v>62491</v>
      </c>
      <c r="F768" s="101">
        <v>219512</v>
      </c>
      <c r="G768" s="98">
        <v>0</v>
      </c>
      <c r="H768" s="101">
        <v>45766</v>
      </c>
      <c r="I768" s="98" t="s">
        <v>2035</v>
      </c>
      <c r="J768" s="98">
        <v>62491</v>
      </c>
      <c r="K768" s="101" t="s">
        <v>2035</v>
      </c>
      <c r="L768" s="98">
        <v>68740</v>
      </c>
      <c r="M768" s="98">
        <v>-6249</v>
      </c>
      <c r="N768" s="98">
        <v>-9.09</v>
      </c>
      <c r="O768" s="98" t="s">
        <v>2036</v>
      </c>
      <c r="P768" s="98" t="s">
        <v>2037</v>
      </c>
      <c r="Q768" s="98" t="s">
        <v>2050</v>
      </c>
      <c r="R768" s="98" t="s">
        <v>2045</v>
      </c>
      <c r="S768" t="s">
        <v>2040</v>
      </c>
      <c r="T768" t="s">
        <v>2043</v>
      </c>
    </row>
    <row r="769" spans="1:20" x14ac:dyDescent="0.25">
      <c r="A769" s="98" t="s">
        <v>190</v>
      </c>
      <c r="B769" s="98" t="s">
        <v>1990</v>
      </c>
      <c r="C769" s="98" t="s">
        <v>1063</v>
      </c>
      <c r="D769" s="98" t="s">
        <v>2034</v>
      </c>
      <c r="E769" s="101">
        <v>62210</v>
      </c>
      <c r="F769" s="101">
        <v>219512</v>
      </c>
      <c r="G769" s="98">
        <v>0</v>
      </c>
      <c r="H769" s="101">
        <v>45766</v>
      </c>
      <c r="I769" s="98" t="s">
        <v>2035</v>
      </c>
      <c r="J769" s="98">
        <v>62210</v>
      </c>
      <c r="K769" s="101" t="s">
        <v>2035</v>
      </c>
      <c r="L769" s="98">
        <v>68431</v>
      </c>
      <c r="M769" s="98">
        <v>-6221</v>
      </c>
      <c r="N769" s="98">
        <v>-9.09</v>
      </c>
      <c r="O769" s="98" t="s">
        <v>2036</v>
      </c>
      <c r="P769" s="98" t="s">
        <v>2037</v>
      </c>
      <c r="Q769" s="98" t="s">
        <v>2050</v>
      </c>
      <c r="R769" s="98" t="s">
        <v>2045</v>
      </c>
      <c r="S769" t="s">
        <v>2040</v>
      </c>
      <c r="T769" t="s">
        <v>2043</v>
      </c>
    </row>
    <row r="770" spans="1:20" x14ac:dyDescent="0.25">
      <c r="A770" s="98" t="s">
        <v>1991</v>
      </c>
      <c r="B770" s="98" t="s">
        <v>1992</v>
      </c>
      <c r="C770" s="98" t="s">
        <v>1179</v>
      </c>
      <c r="D770" s="98" t="s">
        <v>2034</v>
      </c>
      <c r="E770" s="101">
        <v>37803</v>
      </c>
      <c r="F770" s="101">
        <v>219512</v>
      </c>
      <c r="G770" s="98">
        <v>0</v>
      </c>
      <c r="H770" s="101">
        <v>45766</v>
      </c>
      <c r="I770" s="98" t="s">
        <v>2035</v>
      </c>
      <c r="J770" s="98">
        <v>37803</v>
      </c>
      <c r="K770" s="101" t="s">
        <v>2035</v>
      </c>
      <c r="L770" s="98">
        <v>41583</v>
      </c>
      <c r="M770" s="98">
        <v>-3780</v>
      </c>
      <c r="N770" s="98">
        <v>-9.09</v>
      </c>
      <c r="O770" s="98" t="s">
        <v>2087</v>
      </c>
      <c r="P770" s="98" t="s">
        <v>2144</v>
      </c>
      <c r="Q770" s="98" t="s">
        <v>2050</v>
      </c>
      <c r="R770" s="98" t="s">
        <v>2195</v>
      </c>
      <c r="S770" t="s">
        <v>2212</v>
      </c>
      <c r="T770" t="s">
        <v>2184</v>
      </c>
    </row>
    <row r="771" spans="1:20" x14ac:dyDescent="0.25">
      <c r="A771" s="98" t="s">
        <v>1993</v>
      </c>
      <c r="B771" s="98" t="s">
        <v>777</v>
      </c>
      <c r="C771" s="98" t="s">
        <v>1179</v>
      </c>
      <c r="D771" s="98" t="s">
        <v>2034</v>
      </c>
      <c r="E771" s="101">
        <v>1</v>
      </c>
      <c r="F771" s="101">
        <v>219512</v>
      </c>
      <c r="G771" s="98">
        <v>0</v>
      </c>
      <c r="H771" s="101">
        <v>45766</v>
      </c>
      <c r="I771" s="98" t="s">
        <v>2035</v>
      </c>
      <c r="J771" s="98">
        <v>1</v>
      </c>
      <c r="K771" s="101" t="s">
        <v>2035</v>
      </c>
      <c r="L771" s="98">
        <v>132255</v>
      </c>
      <c r="M771" s="98">
        <v>-132254</v>
      </c>
      <c r="N771" s="98">
        <v>-100</v>
      </c>
      <c r="O771" s="98" t="s">
        <v>2176</v>
      </c>
      <c r="P771" s="98" t="s">
        <v>2183</v>
      </c>
      <c r="Q771" s="98" t="s">
        <v>2076</v>
      </c>
      <c r="R771" s="98" t="s">
        <v>2228</v>
      </c>
      <c r="S771" t="s">
        <v>2056</v>
      </c>
      <c r="T771" t="s">
        <v>2184</v>
      </c>
    </row>
    <row r="772" spans="1:20" x14ac:dyDescent="0.25">
      <c r="A772" s="98"/>
      <c r="B772" s="98"/>
      <c r="C772" s="98"/>
      <c r="D772" s="98"/>
      <c r="E772" s="101"/>
      <c r="F772" s="101"/>
      <c r="G772" s="98"/>
      <c r="H772" s="101"/>
      <c r="I772" s="98"/>
      <c r="J772" s="98"/>
      <c r="K772" s="101"/>
      <c r="L772" s="98"/>
      <c r="M772" s="98"/>
      <c r="N772" s="98"/>
      <c r="O772" s="98"/>
      <c r="P772" s="98"/>
      <c r="Q772" s="98"/>
      <c r="R772" s="98"/>
    </row>
    <row r="773" spans="1:20" x14ac:dyDescent="0.25">
      <c r="A773" s="98"/>
      <c r="B773" s="98"/>
      <c r="C773" s="98"/>
      <c r="D773" s="98"/>
      <c r="E773" s="101"/>
      <c r="F773" s="101"/>
      <c r="G773" s="98"/>
      <c r="H773" s="101"/>
      <c r="I773" s="98"/>
      <c r="J773" s="98"/>
      <c r="K773" s="101"/>
      <c r="L773" s="98"/>
      <c r="M773" s="98"/>
      <c r="N773" s="98"/>
      <c r="O773" s="98"/>
      <c r="P773" s="98"/>
      <c r="Q773" s="98"/>
      <c r="R773" s="98"/>
    </row>
    <row r="774" spans="1:20" x14ac:dyDescent="0.25">
      <c r="A774" s="98"/>
      <c r="B774" s="98"/>
      <c r="C774" s="98"/>
      <c r="D774" s="98"/>
      <c r="E774" s="101"/>
      <c r="F774" s="101"/>
      <c r="G774" s="98"/>
      <c r="H774" s="101"/>
      <c r="I774" s="98"/>
      <c r="J774" s="98"/>
      <c r="K774" s="101"/>
      <c r="L774" s="98"/>
      <c r="M774" s="98"/>
      <c r="N774" s="98"/>
      <c r="O774" s="98"/>
      <c r="P774" s="98"/>
      <c r="Q774" s="98"/>
      <c r="R774" s="98"/>
    </row>
    <row r="775" spans="1:20" x14ac:dyDescent="0.25">
      <c r="A775" s="98"/>
      <c r="B775" s="98"/>
      <c r="C775" s="98"/>
      <c r="D775" s="98"/>
      <c r="E775" s="101"/>
      <c r="F775" s="101"/>
      <c r="G775" s="98"/>
      <c r="H775" s="101"/>
      <c r="I775" s="98"/>
      <c r="J775" s="98"/>
      <c r="K775" s="101"/>
      <c r="L775" s="98"/>
      <c r="M775" s="98"/>
      <c r="N775" s="98"/>
      <c r="O775" s="98"/>
      <c r="P775" s="98"/>
      <c r="Q775" s="98"/>
      <c r="R775" s="98"/>
    </row>
    <row r="776" spans="1:20" x14ac:dyDescent="0.25">
      <c r="A776" s="98"/>
      <c r="B776" s="98"/>
      <c r="C776" s="98"/>
      <c r="D776" s="98"/>
      <c r="E776" s="101"/>
      <c r="F776" s="101"/>
      <c r="G776" s="98"/>
      <c r="H776" s="101"/>
      <c r="I776" s="98"/>
      <c r="J776" s="98"/>
      <c r="K776" s="101"/>
      <c r="L776" s="98"/>
      <c r="M776" s="98"/>
      <c r="N776" s="98"/>
      <c r="O776" s="98"/>
      <c r="P776" s="98"/>
      <c r="Q776" s="98"/>
      <c r="R776" s="98"/>
    </row>
    <row r="777" spans="1:20" x14ac:dyDescent="0.25">
      <c r="A777" s="98"/>
      <c r="B777" s="98"/>
      <c r="C777" s="98"/>
      <c r="D777" s="98"/>
      <c r="E777" s="101"/>
      <c r="F777" s="101"/>
      <c r="G777" s="98"/>
      <c r="H777" s="101"/>
      <c r="I777" s="98"/>
      <c r="J777" s="98"/>
      <c r="K777" s="101"/>
      <c r="L777" s="98"/>
      <c r="M777" s="98"/>
      <c r="N777" s="98"/>
      <c r="O777" s="98"/>
      <c r="P777" s="98"/>
      <c r="Q777" s="98"/>
      <c r="R777" s="98"/>
    </row>
    <row r="778" spans="1:20" x14ac:dyDescent="0.25">
      <c r="A778" s="98"/>
      <c r="B778" s="98"/>
      <c r="C778" s="98"/>
      <c r="D778" s="98"/>
      <c r="E778" s="101"/>
      <c r="F778" s="101"/>
      <c r="G778" s="98"/>
      <c r="H778" s="101"/>
      <c r="I778" s="98"/>
      <c r="J778" s="98"/>
      <c r="K778" s="101"/>
      <c r="L778" s="98"/>
      <c r="M778" s="98"/>
      <c r="N778" s="98"/>
      <c r="O778" s="98"/>
      <c r="P778" s="98"/>
      <c r="Q778" s="98"/>
      <c r="R778" s="98"/>
    </row>
    <row r="779" spans="1:20" x14ac:dyDescent="0.25">
      <c r="A779" s="98"/>
      <c r="B779" s="98"/>
      <c r="C779" s="98"/>
      <c r="D779" s="98"/>
      <c r="E779" s="101"/>
      <c r="F779" s="101"/>
      <c r="G779" s="98"/>
      <c r="H779" s="101"/>
      <c r="I779" s="98"/>
      <c r="J779" s="98"/>
      <c r="K779" s="101"/>
      <c r="L779" s="98"/>
      <c r="M779" s="98"/>
      <c r="N779" s="98"/>
      <c r="O779" s="98"/>
      <c r="P779" s="98"/>
      <c r="Q779" s="98"/>
      <c r="R779" s="98"/>
    </row>
    <row r="780" spans="1:20" x14ac:dyDescent="0.25">
      <c r="A780" s="98"/>
      <c r="B780" s="98"/>
      <c r="C780" s="98"/>
      <c r="D780" s="98"/>
      <c r="E780" s="101"/>
      <c r="F780" s="101"/>
      <c r="G780" s="98"/>
      <c r="H780" s="101"/>
      <c r="I780" s="98"/>
      <c r="J780" s="98"/>
      <c r="K780" s="101"/>
      <c r="L780" s="98"/>
      <c r="M780" s="98"/>
      <c r="N780" s="98"/>
      <c r="O780" s="98"/>
      <c r="P780" s="98"/>
      <c r="Q780" s="98"/>
      <c r="R780" s="98"/>
    </row>
    <row r="781" spans="1:20" x14ac:dyDescent="0.25">
      <c r="A781" s="98"/>
      <c r="B781" s="98"/>
      <c r="C781" s="98"/>
      <c r="D781" s="98"/>
      <c r="E781" s="101"/>
      <c r="F781" s="101"/>
      <c r="G781" s="98"/>
      <c r="H781" s="101"/>
      <c r="I781" s="98"/>
      <c r="J781" s="98"/>
      <c r="K781" s="101"/>
      <c r="L781" s="98"/>
      <c r="M781" s="98"/>
      <c r="N781" s="98"/>
      <c r="O781" s="98"/>
      <c r="P781" s="98"/>
      <c r="Q781" s="98"/>
      <c r="R781" s="98"/>
    </row>
    <row r="782" spans="1:20" x14ac:dyDescent="0.25">
      <c r="A782" s="98"/>
      <c r="B782" s="98"/>
      <c r="C782" s="98"/>
      <c r="D782" s="98"/>
      <c r="E782" s="101"/>
      <c r="F782" s="101"/>
      <c r="G782" s="98"/>
      <c r="H782" s="101"/>
      <c r="I782" s="98"/>
      <c r="J782" s="98"/>
      <c r="K782" s="101"/>
      <c r="L782" s="98"/>
      <c r="M782" s="98"/>
      <c r="N782" s="98"/>
      <c r="O782" s="98"/>
      <c r="P782" s="98"/>
      <c r="Q782" s="98"/>
      <c r="R782" s="98"/>
    </row>
    <row r="783" spans="1:20" x14ac:dyDescent="0.25">
      <c r="A783" s="98"/>
      <c r="B783" s="98"/>
      <c r="C783" s="98"/>
      <c r="D783" s="98"/>
      <c r="E783" s="101"/>
      <c r="F783" s="101"/>
      <c r="G783" s="98"/>
      <c r="H783" s="101"/>
      <c r="I783" s="98"/>
      <c r="J783" s="98"/>
      <c r="K783" s="101"/>
      <c r="L783" s="98"/>
      <c r="M783" s="98"/>
      <c r="N783" s="98"/>
      <c r="O783" s="98"/>
      <c r="P783" s="98"/>
      <c r="Q783" s="98"/>
      <c r="R783" s="98"/>
    </row>
    <row r="784" spans="1:20" x14ac:dyDescent="0.25">
      <c r="A784" s="98"/>
      <c r="B784" s="98"/>
      <c r="C784" s="98"/>
      <c r="D784" s="98"/>
      <c r="E784" s="101"/>
      <c r="F784" s="101"/>
      <c r="G784" s="98"/>
      <c r="H784" s="101"/>
      <c r="I784" s="98"/>
      <c r="J784" s="98"/>
      <c r="K784" s="101"/>
      <c r="L784" s="98"/>
      <c r="M784" s="98"/>
      <c r="N784" s="98"/>
      <c r="O784" s="98"/>
      <c r="P784" s="98"/>
      <c r="Q784" s="98"/>
      <c r="R784" s="98"/>
    </row>
    <row r="785" spans="1:18" x14ac:dyDescent="0.25">
      <c r="A785" s="98"/>
      <c r="B785" s="98"/>
      <c r="C785" s="98"/>
      <c r="D785" s="98"/>
      <c r="E785" s="101"/>
      <c r="F785" s="101"/>
      <c r="G785" s="98"/>
      <c r="H785" s="101"/>
      <c r="I785" s="98"/>
      <c r="J785" s="98"/>
      <c r="K785" s="101"/>
      <c r="L785" s="98"/>
      <c r="M785" s="98"/>
      <c r="N785" s="98"/>
      <c r="O785" s="98"/>
      <c r="P785" s="98"/>
      <c r="Q785" s="98"/>
      <c r="R785" s="98"/>
    </row>
    <row r="786" spans="1:18" x14ac:dyDescent="0.25">
      <c r="A786" s="98"/>
      <c r="B786" s="98"/>
      <c r="C786" s="98"/>
      <c r="D786" s="98"/>
      <c r="E786" s="101"/>
      <c r="F786" s="101"/>
      <c r="G786" s="98"/>
      <c r="H786" s="101"/>
      <c r="I786" s="98"/>
      <c r="J786" s="98"/>
      <c r="K786" s="101"/>
      <c r="L786" s="98"/>
      <c r="M786" s="98"/>
      <c r="N786" s="98"/>
      <c r="O786" s="98"/>
      <c r="P786" s="98"/>
      <c r="Q786" s="98"/>
      <c r="R786" s="98"/>
    </row>
    <row r="787" spans="1:18" x14ac:dyDescent="0.25">
      <c r="A787" s="98"/>
      <c r="B787" s="98"/>
      <c r="C787" s="98"/>
      <c r="D787" s="98"/>
      <c r="E787" s="101"/>
      <c r="F787" s="101"/>
      <c r="G787" s="98"/>
      <c r="H787" s="101"/>
      <c r="I787" s="98"/>
      <c r="J787" s="98"/>
      <c r="K787" s="101"/>
      <c r="L787" s="98"/>
      <c r="M787" s="98"/>
      <c r="N787" s="98"/>
      <c r="O787" s="98"/>
      <c r="P787" s="98"/>
      <c r="Q787" s="98"/>
      <c r="R787" s="98"/>
    </row>
    <row r="788" spans="1:18" x14ac:dyDescent="0.25">
      <c r="A788" s="98"/>
      <c r="B788" s="98"/>
      <c r="C788" s="98"/>
      <c r="D788" s="98"/>
      <c r="E788" s="101"/>
      <c r="F788" s="101"/>
      <c r="G788" s="98"/>
      <c r="H788" s="101"/>
      <c r="I788" s="98"/>
      <c r="J788" s="98"/>
      <c r="K788" s="101"/>
      <c r="L788" s="98"/>
      <c r="M788" s="98"/>
      <c r="N788" s="98"/>
      <c r="O788" s="98"/>
      <c r="P788" s="98"/>
      <c r="Q788" s="98"/>
      <c r="R788" s="98"/>
    </row>
    <row r="789" spans="1:18" x14ac:dyDescent="0.25">
      <c r="A789" s="98"/>
      <c r="B789" s="98"/>
      <c r="C789" s="98"/>
      <c r="D789" s="98"/>
      <c r="E789" s="101"/>
      <c r="F789" s="101"/>
      <c r="G789" s="98"/>
      <c r="H789" s="101"/>
      <c r="I789" s="98"/>
      <c r="J789" s="98"/>
      <c r="K789" s="101"/>
      <c r="L789" s="98"/>
      <c r="M789" s="98"/>
      <c r="N789" s="98"/>
      <c r="O789" s="98"/>
      <c r="P789" s="98"/>
      <c r="Q789" s="98"/>
      <c r="R789" s="98"/>
    </row>
    <row r="790" spans="1:18" x14ac:dyDescent="0.25">
      <c r="A790" s="98"/>
      <c r="B790" s="98"/>
      <c r="C790" s="98"/>
      <c r="D790" s="98"/>
      <c r="E790" s="101"/>
      <c r="F790" s="101"/>
      <c r="G790" s="98"/>
      <c r="H790" s="101"/>
      <c r="I790" s="98"/>
      <c r="J790" s="98"/>
      <c r="K790" s="101"/>
      <c r="L790" s="98"/>
      <c r="M790" s="98"/>
      <c r="N790" s="98"/>
      <c r="O790" s="98"/>
      <c r="P790" s="98"/>
      <c r="Q790" s="98"/>
      <c r="R790" s="98"/>
    </row>
    <row r="791" spans="1:18" x14ac:dyDescent="0.25">
      <c r="A791" s="98"/>
      <c r="B791" s="98"/>
      <c r="C791" s="98"/>
      <c r="D791" s="98"/>
      <c r="E791" s="101"/>
      <c r="F791" s="101"/>
      <c r="G791" s="98"/>
      <c r="H791" s="101"/>
      <c r="I791" s="98"/>
      <c r="J791" s="98"/>
      <c r="K791" s="101"/>
      <c r="L791" s="98"/>
      <c r="M791" s="98"/>
      <c r="N791" s="98"/>
      <c r="O791" s="98"/>
      <c r="P791" s="98"/>
      <c r="Q791" s="98"/>
      <c r="R791" s="98"/>
    </row>
    <row r="792" spans="1:18" x14ac:dyDescent="0.25">
      <c r="A792" s="98"/>
      <c r="B792" s="98"/>
      <c r="C792" s="98"/>
      <c r="D792" s="98"/>
      <c r="E792" s="101"/>
      <c r="F792" s="101"/>
      <c r="G792" s="98"/>
      <c r="H792" s="101"/>
      <c r="I792" s="98"/>
      <c r="J792" s="98"/>
      <c r="K792" s="101"/>
      <c r="L792" s="98"/>
      <c r="M792" s="98"/>
      <c r="N792" s="98"/>
      <c r="O792" s="98"/>
      <c r="P792" s="98"/>
      <c r="Q792" s="98"/>
      <c r="R792" s="98"/>
    </row>
    <row r="793" spans="1:18" x14ac:dyDescent="0.25">
      <c r="A793" s="98"/>
      <c r="B793" s="98"/>
      <c r="C793" s="98"/>
      <c r="D793" s="98"/>
      <c r="E793" s="101"/>
      <c r="F793" s="101"/>
      <c r="G793" s="98"/>
      <c r="H793" s="101"/>
      <c r="I793" s="98"/>
      <c r="J793" s="98"/>
      <c r="K793" s="101"/>
      <c r="L793" s="98"/>
      <c r="M793" s="98"/>
      <c r="N793" s="98"/>
      <c r="O793" s="98"/>
      <c r="P793" s="98"/>
      <c r="Q793" s="98"/>
      <c r="R793" s="98"/>
    </row>
    <row r="794" spans="1:18" x14ac:dyDescent="0.25">
      <c r="A794" s="98"/>
      <c r="B794" s="98"/>
      <c r="C794" s="98"/>
      <c r="D794" s="98"/>
      <c r="E794" s="101"/>
      <c r="F794" s="101"/>
      <c r="G794" s="98"/>
      <c r="H794" s="101"/>
      <c r="I794" s="98"/>
      <c r="J794" s="98"/>
      <c r="K794" s="101"/>
      <c r="L794" s="98"/>
      <c r="M794" s="98"/>
      <c r="N794" s="98"/>
      <c r="O794" s="98"/>
      <c r="P794" s="98"/>
      <c r="Q794" s="98"/>
      <c r="R794" s="98"/>
    </row>
    <row r="795" spans="1:18" x14ac:dyDescent="0.25">
      <c r="A795" s="98"/>
      <c r="B795" s="98"/>
      <c r="C795" s="98"/>
      <c r="D795" s="98"/>
      <c r="E795" s="101"/>
      <c r="F795" s="101"/>
      <c r="G795" s="98"/>
      <c r="H795" s="101"/>
      <c r="I795" s="98"/>
      <c r="J795" s="98"/>
      <c r="K795" s="101"/>
      <c r="L795" s="98"/>
      <c r="M795" s="98"/>
      <c r="N795" s="98"/>
      <c r="O795" s="98"/>
      <c r="P795" s="98"/>
      <c r="Q795" s="98"/>
      <c r="R795" s="98"/>
    </row>
    <row r="796" spans="1:18" x14ac:dyDescent="0.25">
      <c r="A796" s="98"/>
      <c r="B796" s="98"/>
      <c r="C796" s="98"/>
      <c r="D796" s="98"/>
      <c r="E796" s="101"/>
      <c r="F796" s="101"/>
      <c r="G796" s="98"/>
      <c r="H796" s="101"/>
      <c r="I796" s="98"/>
      <c r="J796" s="98"/>
      <c r="K796" s="101"/>
      <c r="L796" s="98"/>
      <c r="M796" s="98"/>
      <c r="N796" s="98"/>
      <c r="O796" s="98"/>
      <c r="P796" s="98"/>
      <c r="Q796" s="98"/>
      <c r="R796" s="98"/>
    </row>
    <row r="797" spans="1:18" x14ac:dyDescent="0.25">
      <c r="A797" s="98"/>
      <c r="B797" s="98"/>
      <c r="C797" s="98"/>
      <c r="D797" s="98"/>
      <c r="E797" s="101"/>
      <c r="F797" s="101"/>
      <c r="G797" s="98"/>
      <c r="H797" s="101"/>
      <c r="I797" s="98"/>
      <c r="J797" s="98"/>
      <c r="K797" s="101"/>
      <c r="L797" s="98"/>
      <c r="M797" s="98"/>
      <c r="N797" s="98"/>
      <c r="O797" s="98"/>
      <c r="P797" s="98"/>
      <c r="Q797" s="98"/>
      <c r="R797" s="98"/>
    </row>
    <row r="798" spans="1:18" x14ac:dyDescent="0.25">
      <c r="A798" s="98"/>
      <c r="B798" s="98"/>
      <c r="C798" s="98"/>
      <c r="D798" s="98"/>
      <c r="E798" s="101"/>
      <c r="F798" s="101"/>
      <c r="G798" s="98"/>
      <c r="H798" s="101"/>
      <c r="I798" s="98"/>
      <c r="J798" s="98"/>
      <c r="K798" s="101"/>
      <c r="L798" s="98"/>
      <c r="M798" s="98"/>
      <c r="N798" s="98"/>
      <c r="O798" s="98"/>
      <c r="P798" s="98"/>
      <c r="Q798" s="98"/>
      <c r="R798" s="98"/>
    </row>
    <row r="799" spans="1:18" x14ac:dyDescent="0.25">
      <c r="A799" s="98"/>
      <c r="B799" s="98"/>
      <c r="C799" s="98"/>
      <c r="D799" s="98"/>
      <c r="E799" s="101"/>
      <c r="F799" s="101"/>
      <c r="G799" s="98"/>
      <c r="H799" s="101"/>
      <c r="I799" s="98"/>
      <c r="J799" s="98"/>
      <c r="K799" s="101"/>
      <c r="L799" s="98"/>
      <c r="M799" s="98"/>
      <c r="N799" s="98"/>
      <c r="O799" s="98"/>
      <c r="P799" s="98"/>
      <c r="Q799" s="98"/>
      <c r="R799" s="98"/>
    </row>
    <row r="800" spans="1:18" x14ac:dyDescent="0.25">
      <c r="A800" s="98"/>
      <c r="B800" s="98"/>
      <c r="C800" s="98"/>
      <c r="D800" s="98"/>
      <c r="E800" s="101"/>
      <c r="F800" s="101"/>
      <c r="G800" s="98"/>
      <c r="H800" s="101"/>
      <c r="I800" s="98"/>
      <c r="J800" s="98"/>
      <c r="K800" s="101"/>
      <c r="L800" s="98"/>
      <c r="M800" s="98"/>
      <c r="N800" s="98"/>
      <c r="O800" s="98"/>
      <c r="P800" s="98"/>
      <c r="Q800" s="98"/>
      <c r="R800" s="98"/>
    </row>
    <row r="801" spans="1:18" x14ac:dyDescent="0.25">
      <c r="A801" s="98"/>
      <c r="B801" s="98"/>
      <c r="C801" s="98"/>
      <c r="D801" s="98"/>
      <c r="E801" s="101"/>
      <c r="F801" s="101"/>
      <c r="G801" s="98"/>
      <c r="H801" s="101"/>
      <c r="I801" s="98"/>
      <c r="J801" s="98"/>
      <c r="K801" s="101"/>
      <c r="L801" s="98"/>
      <c r="M801" s="98"/>
      <c r="N801" s="98"/>
      <c r="O801" s="98"/>
      <c r="P801" s="98"/>
      <c r="Q801" s="98"/>
      <c r="R801" s="98"/>
    </row>
    <row r="802" spans="1:18" x14ac:dyDescent="0.25">
      <c r="A802" s="98"/>
      <c r="B802" s="98"/>
      <c r="C802" s="98"/>
      <c r="D802" s="98"/>
      <c r="E802" s="101"/>
      <c r="F802" s="101"/>
      <c r="G802" s="98"/>
      <c r="H802" s="101"/>
      <c r="I802" s="98"/>
      <c r="J802" s="98"/>
      <c r="K802" s="101"/>
      <c r="L802" s="98"/>
      <c r="M802" s="98"/>
      <c r="N802" s="98"/>
      <c r="O802" s="98"/>
      <c r="P802" s="98"/>
      <c r="Q802" s="98"/>
      <c r="R802" s="98"/>
    </row>
    <row r="803" spans="1:18" x14ac:dyDescent="0.25">
      <c r="A803" s="98"/>
      <c r="B803" s="98"/>
      <c r="C803" s="98"/>
      <c r="D803" s="98"/>
      <c r="E803" s="101"/>
      <c r="F803" s="101"/>
      <c r="G803" s="98"/>
      <c r="H803" s="101"/>
      <c r="I803" s="98"/>
      <c r="J803" s="98"/>
      <c r="K803" s="101"/>
      <c r="L803" s="98"/>
      <c r="M803" s="98"/>
      <c r="N803" s="98"/>
      <c r="O803" s="98"/>
      <c r="P803" s="98"/>
      <c r="Q803" s="98"/>
      <c r="R803" s="98"/>
    </row>
    <row r="804" spans="1:18" x14ac:dyDescent="0.25">
      <c r="A804" s="98"/>
      <c r="B804" s="98"/>
      <c r="C804" s="98"/>
      <c r="D804" s="98"/>
      <c r="E804" s="101"/>
      <c r="F804" s="101"/>
      <c r="G804" s="98"/>
      <c r="H804" s="101"/>
      <c r="I804" s="98"/>
      <c r="J804" s="98"/>
      <c r="K804" s="101"/>
      <c r="L804" s="98"/>
      <c r="M804" s="98"/>
      <c r="N804" s="98"/>
      <c r="O804" s="98"/>
      <c r="P804" s="98"/>
      <c r="Q804" s="98"/>
      <c r="R804" s="98"/>
    </row>
    <row r="805" spans="1:18" x14ac:dyDescent="0.25">
      <c r="A805" s="98"/>
      <c r="B805" s="98"/>
      <c r="C805" s="98"/>
      <c r="D805" s="98"/>
      <c r="E805" s="101"/>
      <c r="F805" s="101"/>
      <c r="G805" s="98"/>
      <c r="H805" s="101"/>
      <c r="I805" s="98"/>
      <c r="J805" s="98"/>
      <c r="K805" s="101"/>
      <c r="L805" s="98"/>
      <c r="M805" s="98"/>
      <c r="N805" s="98"/>
      <c r="O805" s="98"/>
      <c r="P805" s="98"/>
      <c r="Q805" s="98"/>
      <c r="R805" s="98"/>
    </row>
    <row r="806" spans="1:18" x14ac:dyDescent="0.25">
      <c r="A806" s="98"/>
      <c r="B806" s="98"/>
      <c r="C806" s="98"/>
      <c r="D806" s="98"/>
      <c r="E806" s="101"/>
      <c r="F806" s="101"/>
      <c r="G806" s="98"/>
      <c r="H806" s="101"/>
      <c r="I806" s="98"/>
      <c r="J806" s="98"/>
      <c r="K806" s="101"/>
      <c r="L806" s="98"/>
      <c r="M806" s="98"/>
      <c r="N806" s="98"/>
      <c r="O806" s="98"/>
      <c r="P806" s="98"/>
      <c r="Q806" s="98"/>
      <c r="R806" s="98"/>
    </row>
    <row r="807" spans="1:18" x14ac:dyDescent="0.25">
      <c r="A807" s="98"/>
      <c r="B807" s="98"/>
      <c r="C807" s="98"/>
      <c r="D807" s="98"/>
      <c r="E807" s="101"/>
      <c r="F807" s="101"/>
      <c r="G807" s="98"/>
      <c r="H807" s="101"/>
      <c r="I807" s="98"/>
      <c r="J807" s="98"/>
      <c r="K807" s="101"/>
      <c r="L807" s="98"/>
      <c r="M807" s="98"/>
      <c r="N807" s="98"/>
      <c r="O807" s="98"/>
      <c r="P807" s="98"/>
      <c r="Q807" s="98"/>
      <c r="R807" s="98"/>
    </row>
    <row r="808" spans="1:18" x14ac:dyDescent="0.25">
      <c r="A808" s="98"/>
      <c r="B808" s="98"/>
      <c r="C808" s="98"/>
      <c r="D808" s="98"/>
      <c r="E808" s="101"/>
      <c r="F808" s="101"/>
      <c r="G808" s="98"/>
      <c r="H808" s="101"/>
      <c r="I808" s="98"/>
      <c r="J808" s="98"/>
      <c r="K808" s="101"/>
      <c r="L808" s="98"/>
      <c r="M808" s="98"/>
      <c r="N808" s="98"/>
      <c r="O808" s="98"/>
      <c r="P808" s="98"/>
      <c r="Q808" s="98"/>
      <c r="R808" s="98"/>
    </row>
    <row r="809" spans="1:18" x14ac:dyDescent="0.25">
      <c r="A809" s="98"/>
      <c r="B809" s="98"/>
      <c r="C809" s="98"/>
      <c r="D809" s="98"/>
      <c r="E809" s="101"/>
      <c r="F809" s="101"/>
      <c r="G809" s="98"/>
      <c r="H809" s="101"/>
      <c r="I809" s="98"/>
      <c r="J809" s="98"/>
      <c r="K809" s="101"/>
      <c r="L809" s="98"/>
      <c r="M809" s="98"/>
      <c r="N809" s="98"/>
      <c r="O809" s="98"/>
      <c r="P809" s="98"/>
      <c r="Q809" s="98"/>
      <c r="R809" s="98"/>
    </row>
    <row r="810" spans="1:18" x14ac:dyDescent="0.25">
      <c r="A810" s="98"/>
      <c r="B810" s="98"/>
      <c r="C810" s="98"/>
      <c r="D810" s="98"/>
      <c r="E810" s="101"/>
      <c r="F810" s="101"/>
      <c r="G810" s="98"/>
      <c r="H810" s="101"/>
      <c r="I810" s="98"/>
      <c r="J810" s="98"/>
      <c r="K810" s="101"/>
      <c r="L810" s="98"/>
      <c r="M810" s="98"/>
      <c r="N810" s="98"/>
      <c r="O810" s="98"/>
      <c r="P810" s="98"/>
      <c r="Q810" s="98"/>
      <c r="R810" s="98"/>
    </row>
    <row r="811" spans="1:18" x14ac:dyDescent="0.25">
      <c r="A811" s="98"/>
      <c r="B811" s="98"/>
      <c r="C811" s="98"/>
      <c r="D811" s="98"/>
      <c r="E811" s="101"/>
      <c r="F811" s="101"/>
      <c r="G811" s="98"/>
      <c r="H811" s="101"/>
      <c r="I811" s="98"/>
      <c r="J811" s="98"/>
      <c r="K811" s="101"/>
      <c r="L811" s="98"/>
      <c r="M811" s="98"/>
      <c r="N811" s="98"/>
      <c r="O811" s="98"/>
      <c r="P811" s="98"/>
      <c r="Q811" s="98"/>
      <c r="R811" s="98"/>
    </row>
    <row r="812" spans="1:18" x14ac:dyDescent="0.25">
      <c r="A812" s="98"/>
      <c r="B812" s="98"/>
      <c r="C812" s="98"/>
      <c r="D812" s="98"/>
      <c r="E812" s="101"/>
      <c r="F812" s="101"/>
      <c r="G812" s="98"/>
      <c r="H812" s="101"/>
      <c r="I812" s="98"/>
      <c r="J812" s="98"/>
      <c r="K812" s="101"/>
      <c r="L812" s="98"/>
      <c r="M812" s="98"/>
      <c r="N812" s="98"/>
      <c r="O812" s="98"/>
      <c r="P812" s="98"/>
      <c r="Q812" s="98"/>
      <c r="R812" s="98"/>
    </row>
    <row r="813" spans="1:18" x14ac:dyDescent="0.25">
      <c r="A813" s="98"/>
      <c r="B813" s="98"/>
      <c r="C813" s="98"/>
      <c r="D813" s="98"/>
      <c r="E813" s="101"/>
      <c r="F813" s="101"/>
      <c r="G813" s="98"/>
      <c r="H813" s="101"/>
      <c r="I813" s="98"/>
      <c r="J813" s="98"/>
      <c r="K813" s="101"/>
      <c r="L813" s="98"/>
      <c r="M813" s="98"/>
      <c r="N813" s="98"/>
      <c r="O813" s="98"/>
      <c r="P813" s="98"/>
      <c r="Q813" s="98"/>
      <c r="R813" s="98"/>
    </row>
    <row r="814" spans="1:18" x14ac:dyDescent="0.25">
      <c r="A814" s="98"/>
      <c r="B814" s="98"/>
      <c r="C814" s="98"/>
      <c r="D814" s="98"/>
      <c r="E814" s="101"/>
      <c r="F814" s="101"/>
      <c r="G814" s="98"/>
      <c r="H814" s="101"/>
      <c r="I814" s="98"/>
      <c r="J814" s="98"/>
      <c r="K814" s="101"/>
      <c r="L814" s="98"/>
      <c r="M814" s="98"/>
      <c r="N814" s="98"/>
      <c r="O814" s="98"/>
      <c r="P814" s="98"/>
      <c r="Q814" s="98"/>
      <c r="R814" s="98"/>
    </row>
    <row r="815" spans="1:18" x14ac:dyDescent="0.25">
      <c r="A815" s="98"/>
      <c r="B815" s="98"/>
      <c r="C815" s="98"/>
      <c r="D815" s="98"/>
      <c r="E815" s="101"/>
      <c r="F815" s="101"/>
      <c r="G815" s="98"/>
      <c r="H815" s="101"/>
      <c r="I815" s="98"/>
      <c r="J815" s="98"/>
      <c r="K815" s="101"/>
      <c r="L815" s="98"/>
      <c r="M815" s="98"/>
      <c r="N815" s="98"/>
      <c r="O815" s="98"/>
      <c r="P815" s="98"/>
      <c r="Q815" s="98"/>
      <c r="R815" s="98"/>
    </row>
    <row r="816" spans="1:18" x14ac:dyDescent="0.25">
      <c r="A816" s="98"/>
      <c r="B816" s="98"/>
      <c r="C816" s="98"/>
      <c r="D816" s="98"/>
      <c r="E816" s="101"/>
      <c r="F816" s="101"/>
      <c r="G816" s="98"/>
      <c r="H816" s="101"/>
      <c r="I816" s="98"/>
      <c r="J816" s="98"/>
      <c r="K816" s="101"/>
      <c r="L816" s="98"/>
      <c r="M816" s="98"/>
      <c r="N816" s="98"/>
      <c r="O816" s="98"/>
      <c r="P816" s="98"/>
      <c r="Q816" s="98"/>
      <c r="R816" s="98"/>
    </row>
    <row r="817" spans="1:18" x14ac:dyDescent="0.25">
      <c r="A817" s="98"/>
      <c r="B817" s="98"/>
      <c r="C817" s="98"/>
      <c r="D817" s="98"/>
      <c r="E817" s="101"/>
      <c r="F817" s="101"/>
      <c r="G817" s="98"/>
      <c r="H817" s="101"/>
      <c r="I817" s="98"/>
      <c r="J817" s="98"/>
      <c r="K817" s="101"/>
      <c r="L817" s="98"/>
      <c r="M817" s="98"/>
      <c r="N817" s="98"/>
      <c r="O817" s="98"/>
      <c r="P817" s="98"/>
      <c r="Q817" s="98"/>
      <c r="R817" s="98"/>
    </row>
    <row r="818" spans="1:18" x14ac:dyDescent="0.25">
      <c r="A818" s="98"/>
      <c r="B818" s="98"/>
      <c r="C818" s="98"/>
      <c r="D818" s="98"/>
      <c r="E818" s="101"/>
      <c r="F818" s="101"/>
      <c r="G818" s="98"/>
      <c r="H818" s="101"/>
      <c r="I818" s="98"/>
      <c r="J818" s="98"/>
      <c r="K818" s="101"/>
      <c r="L818" s="98"/>
      <c r="M818" s="98"/>
      <c r="N818" s="98"/>
      <c r="O818" s="98"/>
      <c r="P818" s="98"/>
      <c r="Q818" s="98"/>
      <c r="R818" s="98"/>
    </row>
    <row r="819" spans="1:18" x14ac:dyDescent="0.25">
      <c r="A819" s="98"/>
      <c r="B819" s="98"/>
      <c r="C819" s="98"/>
      <c r="D819" s="98"/>
      <c r="E819" s="101"/>
      <c r="F819" s="101"/>
      <c r="G819" s="98"/>
      <c r="H819" s="101"/>
      <c r="I819" s="98"/>
      <c r="J819" s="98"/>
      <c r="K819" s="101"/>
      <c r="L819" s="98"/>
      <c r="M819" s="98"/>
      <c r="N819" s="98"/>
      <c r="O819" s="98"/>
      <c r="P819" s="98"/>
      <c r="Q819" s="98"/>
      <c r="R819" s="98"/>
    </row>
    <row r="820" spans="1:18" x14ac:dyDescent="0.25">
      <c r="A820" s="98"/>
      <c r="B820" s="98"/>
      <c r="C820" s="98"/>
      <c r="D820" s="98"/>
      <c r="E820" s="101"/>
      <c r="F820" s="101"/>
      <c r="G820" s="98"/>
      <c r="H820" s="101"/>
      <c r="I820" s="98"/>
      <c r="J820" s="98"/>
      <c r="K820" s="101"/>
      <c r="L820" s="98"/>
      <c r="M820" s="98"/>
      <c r="N820" s="98"/>
      <c r="O820" s="98"/>
      <c r="P820" s="98"/>
      <c r="Q820" s="98"/>
      <c r="R820" s="98"/>
    </row>
    <row r="821" spans="1:18" x14ac:dyDescent="0.25">
      <c r="A821" s="98"/>
      <c r="B821" s="98"/>
      <c r="C821" s="98"/>
      <c r="D821" s="98"/>
      <c r="E821" s="101"/>
      <c r="F821" s="101"/>
      <c r="G821" s="98"/>
      <c r="H821" s="101"/>
      <c r="I821" s="98"/>
      <c r="J821" s="98"/>
      <c r="K821" s="101"/>
      <c r="L821" s="98"/>
      <c r="M821" s="98"/>
      <c r="N821" s="98"/>
      <c r="O821" s="98"/>
      <c r="P821" s="98"/>
      <c r="Q821" s="98"/>
      <c r="R821" s="98"/>
    </row>
    <row r="822" spans="1:18" x14ac:dyDescent="0.25">
      <c r="A822" s="98"/>
      <c r="B822" s="98"/>
      <c r="C822" s="98"/>
      <c r="D822" s="98"/>
      <c r="E822" s="101"/>
      <c r="F822" s="101"/>
      <c r="G822" s="98"/>
      <c r="H822" s="101"/>
      <c r="I822" s="98"/>
      <c r="J822" s="98"/>
      <c r="K822" s="101"/>
      <c r="L822" s="98"/>
      <c r="M822" s="98"/>
      <c r="N822" s="98"/>
      <c r="O822" s="98"/>
      <c r="P822" s="98"/>
      <c r="Q822" s="98"/>
      <c r="R822" s="98"/>
    </row>
    <row r="823" spans="1:18" x14ac:dyDescent="0.25">
      <c r="A823" s="98"/>
      <c r="B823" s="98"/>
      <c r="C823" s="98"/>
      <c r="D823" s="98"/>
      <c r="E823" s="101"/>
      <c r="F823" s="101"/>
      <c r="G823" s="98"/>
      <c r="H823" s="101"/>
      <c r="I823" s="98"/>
      <c r="J823" s="98"/>
      <c r="K823" s="101"/>
      <c r="L823" s="98"/>
      <c r="M823" s="98"/>
      <c r="N823" s="98"/>
      <c r="O823" s="98"/>
      <c r="P823" s="98"/>
      <c r="Q823" s="98"/>
      <c r="R823" s="98"/>
    </row>
    <row r="824" spans="1:18" x14ac:dyDescent="0.25">
      <c r="A824" s="98"/>
      <c r="B824" s="98"/>
      <c r="C824" s="98"/>
      <c r="D824" s="98"/>
      <c r="E824" s="101"/>
      <c r="F824" s="101"/>
      <c r="G824" s="98"/>
      <c r="H824" s="101"/>
      <c r="I824" s="98"/>
      <c r="J824" s="98"/>
      <c r="K824" s="101"/>
      <c r="L824" s="98"/>
      <c r="M824" s="98"/>
      <c r="N824" s="98"/>
      <c r="O824" s="98"/>
      <c r="P824" s="98"/>
      <c r="Q824" s="98"/>
      <c r="R824" s="98"/>
    </row>
    <row r="825" spans="1:18" x14ac:dyDescent="0.25">
      <c r="A825" s="98"/>
      <c r="B825" s="98"/>
      <c r="C825" s="98"/>
      <c r="D825" s="98"/>
      <c r="E825" s="101"/>
      <c r="F825" s="101"/>
      <c r="G825" s="98"/>
      <c r="H825" s="101"/>
      <c r="I825" s="98"/>
      <c r="J825" s="98"/>
      <c r="K825" s="101"/>
      <c r="L825" s="98"/>
      <c r="M825" s="98"/>
      <c r="N825" s="98"/>
      <c r="O825" s="98"/>
      <c r="P825" s="98"/>
      <c r="Q825" s="98"/>
      <c r="R825" s="98"/>
    </row>
    <row r="826" spans="1:18" x14ac:dyDescent="0.25">
      <c r="A826" s="98"/>
      <c r="B826" s="98"/>
      <c r="C826" s="98"/>
      <c r="D826" s="98"/>
      <c r="E826" s="101"/>
      <c r="F826" s="101"/>
      <c r="G826" s="98"/>
      <c r="H826" s="101"/>
      <c r="I826" s="98"/>
      <c r="J826" s="98"/>
      <c r="K826" s="101"/>
      <c r="L826" s="98"/>
      <c r="M826" s="98"/>
      <c r="N826" s="98"/>
      <c r="O826" s="98"/>
      <c r="P826" s="98"/>
      <c r="Q826" s="98"/>
      <c r="R826" s="98"/>
    </row>
    <row r="827" spans="1:18" x14ac:dyDescent="0.25">
      <c r="A827" s="98"/>
      <c r="B827" s="98"/>
      <c r="C827" s="98"/>
      <c r="D827" s="98"/>
      <c r="E827" s="101"/>
      <c r="F827" s="101"/>
      <c r="G827" s="98"/>
      <c r="H827" s="101"/>
      <c r="I827" s="98"/>
      <c r="J827" s="98"/>
      <c r="K827" s="101"/>
      <c r="L827" s="98"/>
      <c r="M827" s="98"/>
      <c r="N827" s="98"/>
      <c r="O827" s="98"/>
      <c r="P827" s="98"/>
      <c r="Q827" s="98"/>
      <c r="R827" s="98"/>
    </row>
    <row r="828" spans="1:18" x14ac:dyDescent="0.25">
      <c r="A828" s="98"/>
      <c r="B828" s="98"/>
      <c r="C828" s="98"/>
      <c r="D828" s="98"/>
      <c r="E828" s="101"/>
      <c r="F828" s="101"/>
      <c r="G828" s="98"/>
      <c r="H828" s="101"/>
      <c r="I828" s="98"/>
      <c r="J828" s="98"/>
      <c r="K828" s="101"/>
      <c r="L828" s="98"/>
      <c r="M828" s="98"/>
      <c r="N828" s="98"/>
      <c r="O828" s="98"/>
      <c r="P828" s="98"/>
      <c r="Q828" s="98"/>
      <c r="R828" s="98"/>
    </row>
    <row r="829" spans="1:18" x14ac:dyDescent="0.25">
      <c r="A829" s="98"/>
      <c r="B829" s="98"/>
      <c r="C829" s="98"/>
      <c r="D829" s="98"/>
      <c r="E829" s="101"/>
      <c r="F829" s="101"/>
      <c r="G829" s="98"/>
      <c r="H829" s="101"/>
      <c r="I829" s="98"/>
      <c r="J829" s="98"/>
      <c r="K829" s="101"/>
      <c r="L829" s="98"/>
      <c r="M829" s="98"/>
      <c r="N829" s="98"/>
      <c r="O829" s="98"/>
      <c r="P829" s="98"/>
      <c r="Q829" s="98"/>
      <c r="R829" s="98"/>
    </row>
    <row r="830" spans="1:18" x14ac:dyDescent="0.25">
      <c r="A830" s="98"/>
      <c r="B830" s="98"/>
      <c r="C830" s="98"/>
      <c r="D830" s="98"/>
      <c r="E830" s="101"/>
      <c r="F830" s="101"/>
      <c r="G830" s="98"/>
      <c r="H830" s="101"/>
      <c r="I830" s="98"/>
      <c r="J830" s="98"/>
      <c r="K830" s="101"/>
      <c r="L830" s="98"/>
      <c r="M830" s="98"/>
      <c r="N830" s="98"/>
      <c r="O830" s="98"/>
      <c r="P830" s="98"/>
      <c r="Q830" s="98"/>
      <c r="R830" s="98"/>
    </row>
    <row r="831" spans="1:18" x14ac:dyDescent="0.25">
      <c r="A831" s="98"/>
      <c r="B831" s="98"/>
      <c r="C831" s="98"/>
      <c r="D831" s="98"/>
      <c r="E831" s="101"/>
      <c r="F831" s="101"/>
      <c r="G831" s="98"/>
      <c r="H831" s="101"/>
      <c r="I831" s="98"/>
      <c r="J831" s="98"/>
      <c r="K831" s="101"/>
      <c r="L831" s="98"/>
      <c r="M831" s="98"/>
      <c r="N831" s="98"/>
      <c r="O831" s="98"/>
      <c r="P831" s="98"/>
      <c r="Q831" s="98"/>
      <c r="R831" s="98"/>
    </row>
    <row r="832" spans="1:18" x14ac:dyDescent="0.25">
      <c r="A832" s="98"/>
      <c r="B832" s="98"/>
      <c r="C832" s="98"/>
      <c r="D832" s="98"/>
      <c r="E832" s="101"/>
      <c r="F832" s="101"/>
      <c r="G832" s="98"/>
      <c r="H832" s="101"/>
      <c r="I832" s="98"/>
      <c r="J832" s="98"/>
      <c r="K832" s="101"/>
      <c r="L832" s="98"/>
      <c r="M832" s="98"/>
      <c r="N832" s="98"/>
      <c r="O832" s="98"/>
      <c r="P832" s="98"/>
      <c r="Q832" s="98"/>
      <c r="R832" s="98"/>
    </row>
    <row r="833" spans="1:18" x14ac:dyDescent="0.25">
      <c r="A833" s="98"/>
      <c r="B833" s="98"/>
      <c r="C833" s="98"/>
      <c r="D833" s="98"/>
      <c r="E833" s="101"/>
      <c r="F833" s="101"/>
      <c r="G833" s="98"/>
      <c r="H833" s="101"/>
      <c r="I833" s="98"/>
      <c r="J833" s="98"/>
      <c r="K833" s="101"/>
      <c r="L833" s="98"/>
      <c r="M833" s="98"/>
      <c r="N833" s="98"/>
      <c r="O833" s="98"/>
      <c r="P833" s="98"/>
      <c r="Q833" s="98"/>
      <c r="R833" s="98"/>
    </row>
    <row r="834" spans="1:18" x14ac:dyDescent="0.25">
      <c r="A834" s="98"/>
      <c r="B834" s="98"/>
      <c r="C834" s="98"/>
      <c r="D834" s="98"/>
      <c r="E834" s="101"/>
      <c r="F834" s="101"/>
      <c r="G834" s="98"/>
      <c r="H834" s="101"/>
      <c r="I834" s="98"/>
      <c r="J834" s="98"/>
      <c r="K834" s="101"/>
      <c r="L834" s="98"/>
      <c r="M834" s="98"/>
      <c r="N834" s="98"/>
      <c r="O834" s="98"/>
      <c r="P834" s="98"/>
      <c r="Q834" s="98"/>
      <c r="R834" s="98"/>
    </row>
    <row r="835" spans="1:18" x14ac:dyDescent="0.25">
      <c r="A835" s="98"/>
      <c r="B835" s="98"/>
      <c r="C835" s="98"/>
      <c r="D835" s="98"/>
      <c r="E835" s="101"/>
      <c r="F835" s="101"/>
      <c r="G835" s="98"/>
      <c r="H835" s="101"/>
      <c r="I835" s="98"/>
      <c r="J835" s="98"/>
      <c r="K835" s="101"/>
      <c r="L835" s="98"/>
      <c r="M835" s="98"/>
      <c r="N835" s="98"/>
      <c r="O835" s="98"/>
      <c r="P835" s="98"/>
      <c r="Q835" s="98"/>
      <c r="R835" s="98"/>
    </row>
    <row r="836" spans="1:18" x14ac:dyDescent="0.25">
      <c r="A836" s="98"/>
      <c r="B836" s="98"/>
      <c r="C836" s="98"/>
      <c r="D836" s="98"/>
      <c r="E836" s="101"/>
      <c r="F836" s="101"/>
      <c r="G836" s="98"/>
      <c r="H836" s="101"/>
      <c r="I836" s="98"/>
      <c r="J836" s="98"/>
      <c r="K836" s="101"/>
      <c r="L836" s="98"/>
      <c r="M836" s="98"/>
      <c r="N836" s="98"/>
      <c r="O836" s="98"/>
      <c r="P836" s="98"/>
      <c r="Q836" s="98"/>
      <c r="R836" s="98"/>
    </row>
    <row r="837" spans="1:18" x14ac:dyDescent="0.25">
      <c r="A837" s="98"/>
      <c r="B837" s="98"/>
      <c r="C837" s="98"/>
      <c r="D837" s="98"/>
      <c r="E837" s="101"/>
      <c r="F837" s="101"/>
      <c r="G837" s="98"/>
      <c r="H837" s="101"/>
      <c r="I837" s="98"/>
      <c r="J837" s="98"/>
      <c r="K837" s="101"/>
      <c r="L837" s="98"/>
      <c r="M837" s="98"/>
      <c r="N837" s="98"/>
      <c r="O837" s="98"/>
      <c r="P837" s="98"/>
      <c r="Q837" s="98"/>
      <c r="R837" s="98"/>
    </row>
    <row r="838" spans="1:18" x14ac:dyDescent="0.25">
      <c r="A838" s="98"/>
      <c r="B838" s="98"/>
      <c r="C838" s="98"/>
      <c r="D838" s="98"/>
      <c r="E838" s="101"/>
      <c r="F838" s="101"/>
      <c r="G838" s="98"/>
      <c r="H838" s="101"/>
      <c r="I838" s="98"/>
      <c r="J838" s="98"/>
      <c r="K838" s="101"/>
      <c r="L838" s="98"/>
      <c r="M838" s="98"/>
      <c r="N838" s="98"/>
      <c r="O838" s="98"/>
      <c r="P838" s="98"/>
      <c r="Q838" s="98"/>
      <c r="R838" s="98"/>
    </row>
    <row r="839" spans="1:18" x14ac:dyDescent="0.25">
      <c r="A839" s="98"/>
      <c r="B839" s="98"/>
      <c r="C839" s="98"/>
      <c r="D839" s="98"/>
      <c r="E839" s="101"/>
      <c r="F839" s="101"/>
      <c r="G839" s="98"/>
      <c r="H839" s="101"/>
      <c r="I839" s="98"/>
      <c r="J839" s="98"/>
      <c r="K839" s="101"/>
      <c r="L839" s="98"/>
      <c r="M839" s="98"/>
      <c r="N839" s="98"/>
      <c r="O839" s="98"/>
      <c r="P839" s="98"/>
      <c r="Q839" s="98"/>
      <c r="R839" s="98"/>
    </row>
    <row r="840" spans="1:18" x14ac:dyDescent="0.25">
      <c r="A840" s="98"/>
      <c r="B840" s="98"/>
      <c r="C840" s="98"/>
      <c r="D840" s="98"/>
      <c r="E840" s="101"/>
      <c r="F840" s="101"/>
      <c r="G840" s="98"/>
      <c r="H840" s="101"/>
      <c r="I840" s="98"/>
      <c r="J840" s="98"/>
      <c r="K840" s="101"/>
      <c r="L840" s="98"/>
      <c r="M840" s="98"/>
      <c r="N840" s="98"/>
      <c r="O840" s="98"/>
      <c r="P840" s="98"/>
      <c r="Q840" s="98"/>
      <c r="R840" s="98"/>
    </row>
    <row r="841" spans="1:18" x14ac:dyDescent="0.25">
      <c r="A841" s="98"/>
      <c r="B841" s="98"/>
      <c r="C841" s="98"/>
      <c r="D841" s="98"/>
      <c r="E841" s="101"/>
      <c r="F841" s="101"/>
      <c r="G841" s="98"/>
      <c r="H841" s="101"/>
      <c r="I841" s="98"/>
      <c r="J841" s="98"/>
      <c r="K841" s="101"/>
      <c r="L841" s="98"/>
      <c r="M841" s="98"/>
      <c r="N841" s="98"/>
      <c r="O841" s="98"/>
      <c r="P841" s="98"/>
      <c r="Q841" s="98"/>
      <c r="R841" s="98"/>
    </row>
    <row r="842" spans="1:18" x14ac:dyDescent="0.25">
      <c r="A842" s="98"/>
      <c r="B842" s="98"/>
      <c r="C842" s="98"/>
      <c r="D842" s="98"/>
      <c r="E842" s="101"/>
      <c r="F842" s="101"/>
      <c r="G842" s="98"/>
      <c r="H842" s="101"/>
      <c r="I842" s="98"/>
      <c r="J842" s="98"/>
      <c r="K842" s="101"/>
      <c r="L842" s="98"/>
      <c r="M842" s="98"/>
      <c r="N842" s="98"/>
      <c r="O842" s="98"/>
      <c r="P842" s="98"/>
      <c r="Q842" s="98"/>
      <c r="R842" s="98"/>
    </row>
    <row r="843" spans="1:18" x14ac:dyDescent="0.25">
      <c r="A843" s="98"/>
      <c r="B843" s="98"/>
      <c r="C843" s="98"/>
      <c r="D843" s="98"/>
      <c r="E843" s="101"/>
      <c r="F843" s="101"/>
      <c r="G843" s="98"/>
      <c r="H843" s="101"/>
      <c r="I843" s="98"/>
      <c r="J843" s="98"/>
      <c r="K843" s="101"/>
      <c r="L843" s="98"/>
      <c r="M843" s="98"/>
      <c r="N843" s="98"/>
      <c r="O843" s="98"/>
      <c r="P843" s="98"/>
      <c r="Q843" s="98"/>
      <c r="R843" s="98"/>
    </row>
    <row r="844" spans="1:18" x14ac:dyDescent="0.25">
      <c r="A844" s="98"/>
      <c r="B844" s="98"/>
      <c r="C844" s="98"/>
      <c r="D844" s="98"/>
      <c r="E844" s="101"/>
      <c r="F844" s="101"/>
      <c r="G844" s="98"/>
      <c r="H844" s="101"/>
      <c r="I844" s="98"/>
      <c r="J844" s="98"/>
      <c r="K844" s="101"/>
      <c r="L844" s="98"/>
      <c r="M844" s="98"/>
      <c r="N844" s="98"/>
      <c r="O844" s="98"/>
      <c r="P844" s="98"/>
      <c r="Q844" s="98"/>
      <c r="R844" s="98"/>
    </row>
    <row r="845" spans="1:18" x14ac:dyDescent="0.25">
      <c r="A845" s="98"/>
      <c r="B845" s="98"/>
      <c r="C845" s="98"/>
      <c r="D845" s="98"/>
      <c r="E845" s="101"/>
      <c r="F845" s="101"/>
      <c r="G845" s="98"/>
      <c r="H845" s="101"/>
      <c r="I845" s="98"/>
      <c r="J845" s="98"/>
      <c r="K845" s="101"/>
      <c r="L845" s="98"/>
      <c r="M845" s="98"/>
      <c r="N845" s="98"/>
      <c r="O845" s="98"/>
      <c r="P845" s="98"/>
      <c r="Q845" s="98"/>
      <c r="R845" s="98"/>
    </row>
    <row r="846" spans="1:18" x14ac:dyDescent="0.25">
      <c r="A846" s="98"/>
      <c r="B846" s="98"/>
      <c r="C846" s="98"/>
      <c r="D846" s="98"/>
      <c r="E846" s="101"/>
      <c r="F846" s="101"/>
      <c r="G846" s="98"/>
      <c r="H846" s="101"/>
      <c r="I846" s="98"/>
      <c r="J846" s="98"/>
      <c r="K846" s="101"/>
      <c r="L846" s="98"/>
      <c r="M846" s="98"/>
      <c r="N846" s="98"/>
      <c r="O846" s="98"/>
      <c r="P846" s="98"/>
      <c r="Q846" s="98"/>
      <c r="R846" s="98"/>
    </row>
    <row r="847" spans="1:18" x14ac:dyDescent="0.25">
      <c r="A847" s="98"/>
      <c r="B847" s="98"/>
      <c r="C847" s="98"/>
      <c r="D847" s="98"/>
      <c r="E847" s="101"/>
      <c r="F847" s="101"/>
      <c r="G847" s="98"/>
      <c r="H847" s="101"/>
      <c r="I847" s="98"/>
      <c r="J847" s="98"/>
      <c r="K847" s="101"/>
      <c r="L847" s="98"/>
      <c r="M847" s="98"/>
      <c r="N847" s="98"/>
      <c r="O847" s="98"/>
      <c r="P847" s="98"/>
      <c r="Q847" s="98"/>
      <c r="R847" s="98"/>
    </row>
    <row r="848" spans="1:18" x14ac:dyDescent="0.25">
      <c r="A848" s="98"/>
      <c r="B848" s="98"/>
      <c r="C848" s="98"/>
      <c r="D848" s="98"/>
      <c r="E848" s="101"/>
      <c r="F848" s="101"/>
      <c r="G848" s="98"/>
      <c r="H848" s="101"/>
      <c r="I848" s="98"/>
      <c r="J848" s="98"/>
      <c r="K848" s="101"/>
      <c r="L848" s="98"/>
      <c r="M848" s="98"/>
      <c r="N848" s="98"/>
      <c r="O848" s="98"/>
      <c r="P848" s="98"/>
      <c r="Q848" s="98"/>
      <c r="R848" s="98"/>
    </row>
    <row r="849" spans="1:18" x14ac:dyDescent="0.25">
      <c r="A849" s="98"/>
      <c r="B849" s="98"/>
      <c r="C849" s="98"/>
      <c r="D849" s="98"/>
      <c r="E849" s="101"/>
      <c r="F849" s="101"/>
      <c r="G849" s="98"/>
      <c r="H849" s="101"/>
      <c r="I849" s="98"/>
      <c r="J849" s="98"/>
      <c r="K849" s="101"/>
      <c r="L849" s="98"/>
      <c r="M849" s="98"/>
      <c r="N849" s="98"/>
      <c r="O849" s="98"/>
      <c r="P849" s="98"/>
      <c r="Q849" s="98"/>
      <c r="R849" s="98"/>
    </row>
    <row r="850" spans="1:18" x14ac:dyDescent="0.25">
      <c r="A850" s="98"/>
      <c r="B850" s="98"/>
      <c r="C850" s="98"/>
      <c r="D850" s="98"/>
      <c r="E850" s="101"/>
      <c r="F850" s="101"/>
      <c r="G850" s="98"/>
      <c r="H850" s="101"/>
      <c r="I850" s="98"/>
      <c r="J850" s="98"/>
      <c r="K850" s="101"/>
      <c r="L850" s="98"/>
      <c r="M850" s="98"/>
      <c r="N850" s="98"/>
      <c r="O850" s="98"/>
      <c r="P850" s="98"/>
      <c r="Q850" s="98"/>
      <c r="R850" s="98"/>
    </row>
    <row r="851" spans="1:18" x14ac:dyDescent="0.25">
      <c r="A851" s="98"/>
      <c r="B851" s="98"/>
      <c r="C851" s="98"/>
      <c r="D851" s="98"/>
      <c r="E851" s="101"/>
      <c r="F851" s="101"/>
      <c r="G851" s="98"/>
      <c r="H851" s="101"/>
      <c r="I851" s="98"/>
      <c r="J851" s="98"/>
      <c r="K851" s="101"/>
      <c r="L851" s="98"/>
      <c r="M851" s="98"/>
      <c r="N851" s="98"/>
      <c r="O851" s="98"/>
      <c r="P851" s="98"/>
      <c r="Q851" s="98"/>
      <c r="R851" s="98"/>
    </row>
    <row r="852" spans="1:18" x14ac:dyDescent="0.25">
      <c r="A852" s="98"/>
      <c r="B852" s="98"/>
      <c r="C852" s="98"/>
      <c r="D852" s="98"/>
      <c r="E852" s="101"/>
      <c r="F852" s="101"/>
      <c r="G852" s="98"/>
      <c r="H852" s="101"/>
      <c r="I852" s="98"/>
      <c r="J852" s="98"/>
      <c r="K852" s="101"/>
      <c r="L852" s="98"/>
      <c r="M852" s="98"/>
      <c r="N852" s="98"/>
      <c r="O852" s="98"/>
      <c r="P852" s="98"/>
      <c r="Q852" s="98"/>
      <c r="R852" s="98"/>
    </row>
    <row r="853" spans="1:18" x14ac:dyDescent="0.25">
      <c r="A853" s="98"/>
      <c r="B853" s="98"/>
      <c r="C853" s="98"/>
      <c r="D853" s="98"/>
      <c r="E853" s="101"/>
      <c r="F853" s="101"/>
      <c r="G853" s="98"/>
      <c r="H853" s="101"/>
      <c r="I853" s="98"/>
      <c r="J853" s="98"/>
      <c r="K853" s="101"/>
      <c r="L853" s="98"/>
      <c r="M853" s="98"/>
      <c r="N853" s="98"/>
      <c r="O853" s="98"/>
      <c r="P853" s="98"/>
      <c r="Q853" s="98"/>
      <c r="R853" s="98"/>
    </row>
    <row r="854" spans="1:18" x14ac:dyDescent="0.25">
      <c r="A854" s="98"/>
      <c r="B854" s="98"/>
      <c r="C854" s="98"/>
      <c r="D854" s="98"/>
      <c r="E854" s="101"/>
      <c r="F854" s="101"/>
      <c r="G854" s="98"/>
      <c r="H854" s="101"/>
      <c r="I854" s="98"/>
      <c r="J854" s="98"/>
      <c r="K854" s="101"/>
      <c r="L854" s="98"/>
      <c r="M854" s="98"/>
      <c r="N854" s="98"/>
      <c r="O854" s="98"/>
      <c r="P854" s="98"/>
      <c r="Q854" s="98"/>
      <c r="R854" s="98"/>
    </row>
    <row r="855" spans="1:18" x14ac:dyDescent="0.25">
      <c r="A855" s="98"/>
      <c r="B855" s="98"/>
      <c r="C855" s="98"/>
      <c r="D855" s="98"/>
      <c r="E855" s="101"/>
      <c r="F855" s="101"/>
      <c r="G855" s="98"/>
      <c r="H855" s="101"/>
      <c r="I855" s="98"/>
      <c r="J855" s="98"/>
      <c r="K855" s="101"/>
      <c r="L855" s="98"/>
      <c r="M855" s="98"/>
      <c r="N855" s="98"/>
      <c r="O855" s="98"/>
      <c r="P855" s="98"/>
      <c r="Q855" s="98"/>
      <c r="R855" s="98"/>
    </row>
    <row r="856" spans="1:18" x14ac:dyDescent="0.25">
      <c r="A856" s="98"/>
      <c r="B856" s="98"/>
      <c r="C856" s="98"/>
      <c r="D856" s="98"/>
      <c r="E856" s="101"/>
      <c r="F856" s="101"/>
      <c r="G856" s="98"/>
      <c r="H856" s="101"/>
      <c r="I856" s="98"/>
      <c r="J856" s="98"/>
      <c r="K856" s="101"/>
      <c r="L856" s="98"/>
      <c r="M856" s="98"/>
      <c r="N856" s="98"/>
      <c r="O856" s="98"/>
      <c r="P856" s="98"/>
      <c r="Q856" s="98"/>
      <c r="R856" s="98"/>
    </row>
    <row r="857" spans="1:18" x14ac:dyDescent="0.25">
      <c r="A857" s="98"/>
      <c r="B857" s="98"/>
      <c r="C857" s="98"/>
      <c r="D857" s="98"/>
      <c r="E857" s="101"/>
      <c r="F857" s="101"/>
      <c r="G857" s="98"/>
      <c r="H857" s="101"/>
      <c r="I857" s="98"/>
      <c r="J857" s="98"/>
      <c r="K857" s="101"/>
      <c r="L857" s="98"/>
      <c r="M857" s="98"/>
      <c r="N857" s="98"/>
      <c r="O857" s="98"/>
      <c r="P857" s="98"/>
      <c r="Q857" s="98"/>
      <c r="R857" s="98"/>
    </row>
    <row r="858" spans="1:18" x14ac:dyDescent="0.25">
      <c r="A858" s="98"/>
      <c r="B858" s="98"/>
      <c r="C858" s="98"/>
      <c r="D858" s="98"/>
      <c r="E858" s="101"/>
      <c r="F858" s="101"/>
      <c r="G858" s="98"/>
      <c r="H858" s="101"/>
      <c r="I858" s="98"/>
      <c r="J858" s="98"/>
      <c r="K858" s="101"/>
      <c r="L858" s="98"/>
      <c r="M858" s="98"/>
      <c r="N858" s="98"/>
      <c r="O858" s="98"/>
      <c r="P858" s="98"/>
      <c r="Q858" s="98"/>
      <c r="R858" s="98"/>
    </row>
    <row r="859" spans="1:18" x14ac:dyDescent="0.25">
      <c r="A859" s="98"/>
      <c r="B859" s="98"/>
      <c r="C859" s="98"/>
      <c r="D859" s="98"/>
      <c r="E859" s="101"/>
      <c r="F859" s="101"/>
      <c r="G859" s="98"/>
      <c r="H859" s="101"/>
      <c r="I859" s="98"/>
      <c r="J859" s="98"/>
      <c r="K859" s="101"/>
      <c r="L859" s="98"/>
      <c r="M859" s="98"/>
      <c r="N859" s="98"/>
      <c r="O859" s="98"/>
      <c r="P859" s="98"/>
      <c r="Q859" s="98"/>
      <c r="R859" s="98"/>
    </row>
    <row r="860" spans="1:18" x14ac:dyDescent="0.25">
      <c r="A860" s="98"/>
      <c r="B860" s="98"/>
      <c r="C860" s="98"/>
      <c r="D860" s="98"/>
      <c r="E860" s="101"/>
      <c r="F860" s="101"/>
      <c r="G860" s="98"/>
      <c r="H860" s="101"/>
      <c r="I860" s="98"/>
      <c r="J860" s="98"/>
      <c r="K860" s="101"/>
      <c r="L860" s="98"/>
      <c r="M860" s="98"/>
      <c r="N860" s="98"/>
      <c r="O860" s="98"/>
      <c r="P860" s="98"/>
      <c r="Q860" s="98"/>
      <c r="R860" s="98"/>
    </row>
    <row r="861" spans="1:18" x14ac:dyDescent="0.25">
      <c r="A861" s="98"/>
      <c r="B861" s="98"/>
      <c r="C861" s="98"/>
      <c r="D861" s="98"/>
      <c r="E861" s="101"/>
      <c r="F861" s="101"/>
      <c r="G861" s="98"/>
      <c r="H861" s="101"/>
      <c r="I861" s="98"/>
      <c r="J861" s="98"/>
      <c r="K861" s="101"/>
      <c r="L861" s="98"/>
      <c r="M861" s="98"/>
      <c r="N861" s="98"/>
      <c r="O861" s="98"/>
      <c r="P861" s="98"/>
      <c r="Q861" s="98"/>
      <c r="R861" s="98"/>
    </row>
    <row r="862" spans="1:18" x14ac:dyDescent="0.25">
      <c r="A862" s="98"/>
      <c r="B862" s="98"/>
      <c r="C862" s="98"/>
      <c r="D862" s="98"/>
      <c r="E862" s="101"/>
      <c r="F862" s="101"/>
      <c r="G862" s="98"/>
      <c r="H862" s="101"/>
      <c r="I862" s="98"/>
      <c r="J862" s="98"/>
      <c r="K862" s="101"/>
      <c r="L862" s="98"/>
      <c r="M862" s="98"/>
      <c r="N862" s="98"/>
      <c r="O862" s="98"/>
      <c r="P862" s="98"/>
      <c r="Q862" s="98"/>
      <c r="R862" s="98"/>
    </row>
    <row r="863" spans="1:18" x14ac:dyDescent="0.25">
      <c r="A863" s="98"/>
      <c r="B863" s="98"/>
      <c r="C863" s="98"/>
      <c r="D863" s="98"/>
      <c r="E863" s="101"/>
      <c r="F863" s="101"/>
      <c r="G863" s="98"/>
      <c r="H863" s="101"/>
      <c r="I863" s="98"/>
      <c r="J863" s="98"/>
      <c r="K863" s="101"/>
      <c r="L863" s="98"/>
      <c r="M863" s="98"/>
      <c r="N863" s="98"/>
      <c r="O863" s="98"/>
      <c r="P863" s="98"/>
      <c r="Q863" s="98"/>
      <c r="R863" s="98"/>
    </row>
    <row r="864" spans="1:18" x14ac:dyDescent="0.25">
      <c r="A864" s="98"/>
      <c r="B864" s="98"/>
      <c r="C864" s="98"/>
      <c r="D864" s="98"/>
      <c r="E864" s="101"/>
      <c r="F864" s="101"/>
      <c r="G864" s="98"/>
      <c r="H864" s="101"/>
      <c r="I864" s="98"/>
      <c r="J864" s="98"/>
      <c r="K864" s="101"/>
      <c r="L864" s="98"/>
      <c r="M864" s="98"/>
      <c r="N864" s="98"/>
      <c r="O864" s="98"/>
      <c r="P864" s="98"/>
      <c r="Q864" s="98"/>
      <c r="R864" s="98"/>
    </row>
    <row r="865" spans="1:18" x14ac:dyDescent="0.25">
      <c r="A865" s="98"/>
      <c r="B865" s="98"/>
      <c r="C865" s="98"/>
      <c r="D865" s="98"/>
      <c r="E865" s="101"/>
      <c r="F865" s="101"/>
      <c r="G865" s="98"/>
      <c r="H865" s="101"/>
      <c r="I865" s="98"/>
      <c r="J865" s="98"/>
      <c r="K865" s="101"/>
      <c r="L865" s="98"/>
      <c r="M865" s="98"/>
      <c r="N865" s="98"/>
      <c r="O865" s="98"/>
      <c r="P865" s="98"/>
      <c r="Q865" s="98"/>
      <c r="R865" s="98"/>
    </row>
    <row r="866" spans="1:18" x14ac:dyDescent="0.25">
      <c r="A866" s="98"/>
      <c r="B866" s="98"/>
      <c r="C866" s="98"/>
      <c r="D866" s="98"/>
      <c r="E866" s="101"/>
      <c r="F866" s="101"/>
      <c r="G866" s="98"/>
      <c r="H866" s="101"/>
      <c r="I866" s="98"/>
      <c r="J866" s="98"/>
      <c r="K866" s="101"/>
      <c r="L866" s="98"/>
      <c r="M866" s="98"/>
      <c r="N866" s="98"/>
      <c r="O866" s="98"/>
      <c r="P866" s="98"/>
      <c r="Q866" s="98"/>
      <c r="R866" s="98"/>
    </row>
    <row r="867" spans="1:18" x14ac:dyDescent="0.25">
      <c r="A867" s="98"/>
      <c r="B867" s="98"/>
      <c r="C867" s="98"/>
      <c r="D867" s="98"/>
      <c r="E867" s="101"/>
      <c r="F867" s="101"/>
      <c r="G867" s="98"/>
      <c r="H867" s="101"/>
      <c r="I867" s="98"/>
      <c r="J867" s="98"/>
      <c r="K867" s="101"/>
      <c r="L867" s="98"/>
      <c r="M867" s="98"/>
      <c r="N867" s="98"/>
      <c r="O867" s="98"/>
      <c r="P867" s="98"/>
      <c r="Q867" s="98"/>
      <c r="R867" s="98"/>
    </row>
    <row r="868" spans="1:18" x14ac:dyDescent="0.25">
      <c r="A868" s="98"/>
      <c r="B868" s="98"/>
      <c r="C868" s="98"/>
      <c r="D868" s="98"/>
      <c r="E868" s="101"/>
      <c r="F868" s="101"/>
      <c r="G868" s="98"/>
      <c r="H868" s="101"/>
      <c r="I868" s="98"/>
      <c r="J868" s="98"/>
      <c r="K868" s="101"/>
      <c r="L868" s="98"/>
      <c r="M868" s="98"/>
      <c r="N868" s="98"/>
      <c r="O868" s="98"/>
      <c r="P868" s="98"/>
      <c r="Q868" s="98"/>
      <c r="R868" s="98"/>
    </row>
    <row r="869" spans="1:18" x14ac:dyDescent="0.25">
      <c r="A869" s="98"/>
      <c r="B869" s="98"/>
      <c r="C869" s="98"/>
      <c r="D869" s="98"/>
      <c r="E869" s="101"/>
      <c r="F869" s="101"/>
      <c r="G869" s="98"/>
      <c r="H869" s="101"/>
      <c r="I869" s="98"/>
      <c r="J869" s="98"/>
      <c r="K869" s="101"/>
      <c r="L869" s="98"/>
      <c r="M869" s="98"/>
      <c r="N869" s="98"/>
      <c r="O869" s="98"/>
      <c r="P869" s="98"/>
      <c r="Q869" s="98"/>
      <c r="R869" s="98"/>
    </row>
    <row r="870" spans="1:18" x14ac:dyDescent="0.25">
      <c r="A870" s="98"/>
      <c r="B870" s="98"/>
      <c r="C870" s="98"/>
      <c r="D870" s="98"/>
      <c r="E870" s="101"/>
      <c r="F870" s="101"/>
      <c r="G870" s="98"/>
      <c r="H870" s="101"/>
      <c r="I870" s="98"/>
      <c r="J870" s="98"/>
      <c r="K870" s="101"/>
      <c r="L870" s="98"/>
      <c r="M870" s="98"/>
      <c r="N870" s="98"/>
      <c r="O870" s="98"/>
      <c r="P870" s="98"/>
      <c r="Q870" s="98"/>
      <c r="R870" s="98"/>
    </row>
    <row r="871" spans="1:18" x14ac:dyDescent="0.25">
      <c r="A871" s="98"/>
      <c r="B871" s="98"/>
      <c r="C871" s="98"/>
      <c r="D871" s="98"/>
      <c r="E871" s="101"/>
      <c r="F871" s="101"/>
      <c r="G871" s="98"/>
      <c r="H871" s="101"/>
      <c r="I871" s="98"/>
      <c r="J871" s="98"/>
      <c r="K871" s="101"/>
      <c r="L871" s="98"/>
      <c r="M871" s="98"/>
      <c r="N871" s="98"/>
      <c r="O871" s="98"/>
      <c r="P871" s="98"/>
      <c r="Q871" s="98"/>
      <c r="R871" s="98"/>
    </row>
    <row r="872" spans="1:18" x14ac:dyDescent="0.25">
      <c r="A872" s="98"/>
      <c r="B872" s="98"/>
      <c r="C872" s="98"/>
      <c r="D872" s="98"/>
      <c r="E872" s="101"/>
      <c r="F872" s="101"/>
      <c r="G872" s="98"/>
      <c r="H872" s="101"/>
      <c r="I872" s="98"/>
      <c r="J872" s="98"/>
      <c r="K872" s="101"/>
      <c r="L872" s="98"/>
      <c r="M872" s="98"/>
      <c r="N872" s="98"/>
      <c r="O872" s="98"/>
      <c r="P872" s="98"/>
      <c r="Q872" s="98"/>
      <c r="R872" s="98"/>
    </row>
    <row r="873" spans="1:18" x14ac:dyDescent="0.25">
      <c r="A873" s="98"/>
      <c r="B873" s="98"/>
      <c r="C873" s="98"/>
      <c r="D873" s="98"/>
      <c r="E873" s="101"/>
      <c r="F873" s="101"/>
      <c r="G873" s="98"/>
      <c r="H873" s="101"/>
      <c r="I873" s="98"/>
      <c r="J873" s="98"/>
      <c r="K873" s="101"/>
      <c r="L873" s="98"/>
      <c r="M873" s="98"/>
      <c r="N873" s="98"/>
      <c r="O873" s="98"/>
      <c r="P873" s="98"/>
      <c r="Q873" s="98"/>
      <c r="R873" s="98"/>
    </row>
    <row r="874" spans="1:18" x14ac:dyDescent="0.25">
      <c r="A874" s="98"/>
      <c r="B874" s="98"/>
      <c r="C874" s="98"/>
      <c r="D874" s="98"/>
      <c r="E874" s="101"/>
      <c r="F874" s="101"/>
      <c r="G874" s="98"/>
      <c r="H874" s="101"/>
      <c r="I874" s="98"/>
      <c r="J874" s="98"/>
      <c r="K874" s="101"/>
      <c r="L874" s="98"/>
      <c r="M874" s="98"/>
      <c r="N874" s="98"/>
      <c r="O874" s="98"/>
      <c r="P874" s="98"/>
      <c r="Q874" s="98"/>
      <c r="R874" s="98"/>
    </row>
    <row r="875" spans="1:18" x14ac:dyDescent="0.25">
      <c r="A875" s="98"/>
      <c r="B875" s="98"/>
      <c r="C875" s="98"/>
      <c r="D875" s="98"/>
      <c r="E875" s="101"/>
      <c r="F875" s="101"/>
      <c r="G875" s="98"/>
      <c r="H875" s="101"/>
      <c r="I875" s="98"/>
      <c r="J875" s="98"/>
      <c r="K875" s="101"/>
      <c r="L875" s="98"/>
      <c r="M875" s="98"/>
      <c r="N875" s="98"/>
      <c r="O875" s="98"/>
      <c r="P875" s="98"/>
      <c r="Q875" s="98"/>
      <c r="R875" s="98"/>
    </row>
    <row r="876" spans="1:18" x14ac:dyDescent="0.25">
      <c r="A876" s="98"/>
      <c r="B876" s="98"/>
      <c r="C876" s="98"/>
      <c r="D876" s="98"/>
      <c r="E876" s="101"/>
      <c r="F876" s="101"/>
      <c r="G876" s="98"/>
      <c r="H876" s="101"/>
      <c r="I876" s="98"/>
      <c r="J876" s="98"/>
      <c r="K876" s="101"/>
      <c r="L876" s="98"/>
      <c r="M876" s="98"/>
      <c r="N876" s="98"/>
      <c r="O876" s="98"/>
      <c r="P876" s="98"/>
      <c r="Q876" s="98"/>
      <c r="R876" s="98"/>
    </row>
    <row r="877" spans="1:18" x14ac:dyDescent="0.25">
      <c r="A877" s="98"/>
      <c r="B877" s="98"/>
      <c r="C877" s="98"/>
      <c r="D877" s="98"/>
      <c r="E877" s="101"/>
      <c r="F877" s="101"/>
      <c r="G877" s="98"/>
      <c r="H877" s="101"/>
      <c r="I877" s="98"/>
      <c r="J877" s="98"/>
      <c r="K877" s="101"/>
      <c r="L877" s="98"/>
      <c r="M877" s="98"/>
      <c r="N877" s="98"/>
      <c r="O877" s="98"/>
      <c r="P877" s="98"/>
      <c r="Q877" s="98"/>
      <c r="R877" s="98"/>
    </row>
    <row r="878" spans="1:18" x14ac:dyDescent="0.25">
      <c r="A878" s="98"/>
      <c r="B878" s="98"/>
      <c r="C878" s="98"/>
      <c r="D878" s="98"/>
      <c r="E878" s="101"/>
      <c r="F878" s="101"/>
      <c r="G878" s="98"/>
      <c r="H878" s="101"/>
      <c r="I878" s="98"/>
      <c r="J878" s="98"/>
      <c r="K878" s="101"/>
      <c r="L878" s="98"/>
      <c r="M878" s="98"/>
      <c r="N878" s="98"/>
      <c r="O878" s="98"/>
      <c r="P878" s="98"/>
      <c r="Q878" s="98"/>
      <c r="R878" s="98"/>
    </row>
    <row r="879" spans="1:18" x14ac:dyDescent="0.25">
      <c r="A879" s="98"/>
      <c r="B879" s="98"/>
      <c r="C879" s="98"/>
      <c r="D879" s="98"/>
      <c r="E879" s="101"/>
      <c r="F879" s="101"/>
      <c r="G879" s="98"/>
      <c r="H879" s="101"/>
      <c r="I879" s="98"/>
      <c r="J879" s="98"/>
      <c r="K879" s="101"/>
      <c r="L879" s="98"/>
      <c r="M879" s="98"/>
      <c r="N879" s="98"/>
      <c r="O879" s="98"/>
      <c r="P879" s="98"/>
      <c r="Q879" s="98"/>
      <c r="R879" s="98"/>
    </row>
    <row r="880" spans="1:18" x14ac:dyDescent="0.25">
      <c r="A880" s="98"/>
      <c r="B880" s="98"/>
      <c r="C880" s="98"/>
      <c r="D880" s="98"/>
      <c r="E880" s="101"/>
      <c r="F880" s="101"/>
      <c r="G880" s="98"/>
      <c r="H880" s="101"/>
      <c r="I880" s="98"/>
      <c r="J880" s="98"/>
      <c r="K880" s="101"/>
      <c r="L880" s="98"/>
      <c r="M880" s="98"/>
      <c r="N880" s="98"/>
      <c r="O880" s="98"/>
      <c r="P880" s="98"/>
      <c r="Q880" s="98"/>
      <c r="R880" s="98"/>
    </row>
    <row r="881" spans="1:18" x14ac:dyDescent="0.25">
      <c r="A881" s="98"/>
      <c r="B881" s="98"/>
      <c r="C881" s="98"/>
      <c r="D881" s="98"/>
      <c r="E881" s="101"/>
      <c r="F881" s="101"/>
      <c r="G881" s="98"/>
      <c r="H881" s="101"/>
      <c r="I881" s="98"/>
      <c r="J881" s="98"/>
      <c r="K881" s="101"/>
      <c r="L881" s="98"/>
      <c r="M881" s="98"/>
      <c r="N881" s="98"/>
      <c r="O881" s="98"/>
      <c r="P881" s="98"/>
      <c r="Q881" s="98"/>
      <c r="R881" s="98"/>
    </row>
    <row r="882" spans="1:18" x14ac:dyDescent="0.25">
      <c r="A882" s="98"/>
      <c r="B882" s="98"/>
      <c r="C882" s="98"/>
      <c r="D882" s="98"/>
      <c r="E882" s="101"/>
      <c r="F882" s="101"/>
      <c r="G882" s="98"/>
      <c r="H882" s="101"/>
      <c r="I882" s="98"/>
      <c r="J882" s="98"/>
      <c r="K882" s="101"/>
      <c r="L882" s="98"/>
      <c r="M882" s="98"/>
      <c r="N882" s="98"/>
      <c r="O882" s="98"/>
      <c r="P882" s="98"/>
      <c r="Q882" s="98"/>
      <c r="R882" s="98"/>
    </row>
    <row r="883" spans="1:18" x14ac:dyDescent="0.25">
      <c r="A883" s="98"/>
      <c r="B883" s="98"/>
      <c r="C883" s="98"/>
      <c r="D883" s="98"/>
      <c r="E883" s="101"/>
      <c r="F883" s="101"/>
      <c r="G883" s="98"/>
      <c r="H883" s="101"/>
      <c r="I883" s="98"/>
      <c r="J883" s="98"/>
      <c r="K883" s="101"/>
      <c r="L883" s="98"/>
      <c r="M883" s="98"/>
      <c r="N883" s="98"/>
      <c r="O883" s="98"/>
      <c r="P883" s="98"/>
      <c r="Q883" s="98"/>
      <c r="R883" s="98"/>
    </row>
    <row r="884" spans="1:18" x14ac:dyDescent="0.25">
      <c r="A884" s="98"/>
      <c r="B884" s="98"/>
      <c r="C884" s="98"/>
      <c r="D884" s="98"/>
      <c r="E884" s="101"/>
      <c r="F884" s="101"/>
      <c r="G884" s="98"/>
      <c r="H884" s="101"/>
      <c r="I884" s="98"/>
      <c r="J884" s="98"/>
      <c r="K884" s="101"/>
      <c r="L884" s="98"/>
      <c r="M884" s="98"/>
      <c r="N884" s="98"/>
      <c r="O884" s="98"/>
      <c r="P884" s="98"/>
      <c r="Q884" s="98"/>
      <c r="R884" s="98"/>
    </row>
    <row r="885" spans="1:18" x14ac:dyDescent="0.25">
      <c r="A885" s="98"/>
      <c r="B885" s="98"/>
      <c r="C885" s="98"/>
      <c r="D885" s="98"/>
      <c r="E885" s="101"/>
      <c r="F885" s="101"/>
      <c r="G885" s="98"/>
      <c r="H885" s="101"/>
      <c r="I885" s="98"/>
      <c r="J885" s="98"/>
      <c r="K885" s="101"/>
      <c r="L885" s="98"/>
      <c r="M885" s="98"/>
      <c r="N885" s="98"/>
      <c r="O885" s="98"/>
      <c r="P885" s="98"/>
      <c r="Q885" s="98"/>
      <c r="R885" s="98"/>
    </row>
    <row r="886" spans="1:18" x14ac:dyDescent="0.25">
      <c r="A886" s="98"/>
      <c r="B886" s="98"/>
      <c r="C886" s="98"/>
      <c r="D886" s="98"/>
      <c r="E886" s="101"/>
      <c r="F886" s="101"/>
      <c r="G886" s="98"/>
      <c r="H886" s="101"/>
      <c r="I886" s="98"/>
      <c r="J886" s="98"/>
      <c r="K886" s="101"/>
      <c r="L886" s="98"/>
      <c r="M886" s="98"/>
      <c r="N886" s="98"/>
      <c r="O886" s="98"/>
      <c r="P886" s="98"/>
      <c r="Q886" s="98"/>
      <c r="R886" s="98"/>
    </row>
    <row r="887" spans="1:18" x14ac:dyDescent="0.25">
      <c r="A887" s="98"/>
      <c r="B887" s="98"/>
      <c r="C887" s="98"/>
      <c r="D887" s="98"/>
      <c r="E887" s="101"/>
      <c r="F887" s="101"/>
      <c r="G887" s="98"/>
      <c r="H887" s="101"/>
      <c r="I887" s="98"/>
      <c r="J887" s="98"/>
      <c r="K887" s="101"/>
      <c r="L887" s="98"/>
      <c r="M887" s="98"/>
      <c r="N887" s="98"/>
      <c r="O887" s="98"/>
      <c r="P887" s="98"/>
      <c r="Q887" s="98"/>
      <c r="R887" s="98"/>
    </row>
    <row r="888" spans="1:18" x14ac:dyDescent="0.25">
      <c r="A888" s="98"/>
      <c r="B888" s="98"/>
      <c r="C888" s="98"/>
      <c r="D888" s="98"/>
      <c r="E888" s="101"/>
      <c r="F888" s="101"/>
      <c r="G888" s="98"/>
      <c r="H888" s="101"/>
      <c r="I888" s="98"/>
      <c r="J888" s="98"/>
      <c r="K888" s="101"/>
      <c r="L888" s="98"/>
      <c r="M888" s="98"/>
      <c r="N888" s="98"/>
      <c r="O888" s="98"/>
      <c r="P888" s="98"/>
      <c r="Q888" s="98"/>
      <c r="R888" s="98"/>
    </row>
    <row r="889" spans="1:18" x14ac:dyDescent="0.25">
      <c r="A889" s="98"/>
      <c r="B889" s="98"/>
      <c r="C889" s="98"/>
      <c r="D889" s="98"/>
      <c r="E889" s="101"/>
      <c r="F889" s="101"/>
      <c r="G889" s="98"/>
      <c r="H889" s="101"/>
      <c r="I889" s="98"/>
      <c r="J889" s="98"/>
      <c r="K889" s="101"/>
      <c r="L889" s="98"/>
      <c r="M889" s="98"/>
      <c r="N889" s="98"/>
      <c r="O889" s="98"/>
      <c r="P889" s="98"/>
      <c r="Q889" s="98"/>
      <c r="R889" s="98"/>
    </row>
    <row r="890" spans="1:18" x14ac:dyDescent="0.25">
      <c r="A890" s="98"/>
      <c r="B890" s="98"/>
      <c r="C890" s="98"/>
      <c r="D890" s="98"/>
      <c r="E890" s="101"/>
      <c r="F890" s="101"/>
      <c r="G890" s="98"/>
      <c r="H890" s="101"/>
      <c r="I890" s="98"/>
      <c r="J890" s="98"/>
      <c r="K890" s="101"/>
      <c r="L890" s="98"/>
      <c r="M890" s="98"/>
      <c r="N890" s="98"/>
      <c r="O890" s="98"/>
      <c r="P890" s="98"/>
      <c r="Q890" s="98"/>
      <c r="R890" s="98"/>
    </row>
    <row r="891" spans="1:18" x14ac:dyDescent="0.25">
      <c r="A891" s="98"/>
      <c r="B891" s="98"/>
      <c r="C891" s="98"/>
      <c r="D891" s="98"/>
      <c r="E891" s="101"/>
      <c r="F891" s="101"/>
      <c r="G891" s="98"/>
      <c r="H891" s="101"/>
      <c r="I891" s="98"/>
      <c r="J891" s="98"/>
      <c r="K891" s="101"/>
      <c r="L891" s="98"/>
      <c r="M891" s="98"/>
      <c r="N891" s="98"/>
      <c r="O891" s="98"/>
      <c r="P891" s="98"/>
      <c r="Q891" s="98"/>
      <c r="R891" s="98"/>
    </row>
    <row r="892" spans="1:18" x14ac:dyDescent="0.25">
      <c r="A892" s="98"/>
      <c r="B892" s="98"/>
      <c r="C892" s="98"/>
      <c r="D892" s="98"/>
      <c r="E892" s="101"/>
      <c r="F892" s="101"/>
      <c r="G892" s="98"/>
      <c r="H892" s="101"/>
      <c r="I892" s="98"/>
      <c r="J892" s="98"/>
      <c r="K892" s="101"/>
      <c r="L892" s="98"/>
      <c r="M892" s="98"/>
      <c r="N892" s="98"/>
      <c r="O892" s="98"/>
      <c r="P892" s="98"/>
      <c r="Q892" s="98"/>
      <c r="R892" s="98"/>
    </row>
    <row r="893" spans="1:18" x14ac:dyDescent="0.25">
      <c r="A893" s="98"/>
      <c r="B893" s="98"/>
      <c r="C893" s="98"/>
      <c r="D893" s="98"/>
      <c r="E893" s="101"/>
      <c r="F893" s="101"/>
      <c r="G893" s="98"/>
      <c r="H893" s="101"/>
      <c r="I893" s="98"/>
      <c r="J893" s="98"/>
      <c r="K893" s="101"/>
      <c r="L893" s="98"/>
      <c r="M893" s="98"/>
      <c r="N893" s="98"/>
      <c r="O893" s="98"/>
      <c r="P893" s="98"/>
      <c r="Q893" s="98"/>
      <c r="R893" s="98"/>
    </row>
    <row r="894" spans="1:18" x14ac:dyDescent="0.25">
      <c r="A894" s="98"/>
      <c r="B894" s="98"/>
      <c r="C894" s="98"/>
      <c r="D894" s="98"/>
      <c r="E894" s="101"/>
      <c r="F894" s="101"/>
      <c r="G894" s="98"/>
      <c r="H894" s="101"/>
      <c r="I894" s="98"/>
      <c r="J894" s="98"/>
      <c r="K894" s="101"/>
      <c r="L894" s="98"/>
      <c r="M894" s="98"/>
      <c r="N894" s="98"/>
      <c r="O894" s="98"/>
      <c r="P894" s="98"/>
      <c r="Q894" s="98"/>
      <c r="R894" s="98"/>
    </row>
    <row r="895" spans="1:18" x14ac:dyDescent="0.25">
      <c r="A895" s="98"/>
      <c r="B895" s="98"/>
      <c r="C895" s="98"/>
      <c r="D895" s="98"/>
      <c r="E895" s="101"/>
      <c r="F895" s="101"/>
      <c r="G895" s="98"/>
      <c r="H895" s="101"/>
      <c r="I895" s="98"/>
      <c r="J895" s="98"/>
      <c r="K895" s="101"/>
      <c r="L895" s="98"/>
      <c r="M895" s="98"/>
      <c r="N895" s="98"/>
      <c r="O895" s="98"/>
      <c r="P895" s="98"/>
      <c r="Q895" s="98"/>
      <c r="R895" s="98"/>
    </row>
    <row r="896" spans="1:18" x14ac:dyDescent="0.25">
      <c r="A896" s="98"/>
      <c r="B896" s="98"/>
      <c r="C896" s="98"/>
      <c r="D896" s="98"/>
      <c r="E896" s="101"/>
      <c r="F896" s="101"/>
      <c r="G896" s="98"/>
      <c r="H896" s="101"/>
      <c r="I896" s="98"/>
      <c r="J896" s="98"/>
      <c r="K896" s="101"/>
      <c r="L896" s="98"/>
      <c r="M896" s="98"/>
      <c r="N896" s="98"/>
      <c r="O896" s="98"/>
      <c r="P896" s="98"/>
      <c r="Q896" s="98"/>
      <c r="R896" s="98"/>
    </row>
    <row r="897" spans="1:18" x14ac:dyDescent="0.25">
      <c r="A897" s="98"/>
      <c r="B897" s="98"/>
      <c r="C897" s="98"/>
      <c r="D897" s="98"/>
      <c r="E897" s="101"/>
      <c r="F897" s="101"/>
      <c r="G897" s="98"/>
      <c r="H897" s="101"/>
      <c r="I897" s="98"/>
      <c r="J897" s="98"/>
      <c r="K897" s="101"/>
      <c r="L897" s="98"/>
      <c r="M897" s="98"/>
      <c r="N897" s="98"/>
      <c r="O897" s="98"/>
      <c r="P897" s="98"/>
      <c r="Q897" s="98"/>
      <c r="R897" s="98"/>
    </row>
    <row r="898" spans="1:18" x14ac:dyDescent="0.25">
      <c r="A898" s="98"/>
      <c r="B898" s="98"/>
      <c r="C898" s="98"/>
      <c r="D898" s="98"/>
      <c r="E898" s="101"/>
      <c r="F898" s="101"/>
      <c r="G898" s="98"/>
      <c r="H898" s="101"/>
      <c r="I898" s="98"/>
      <c r="J898" s="98"/>
      <c r="K898" s="101"/>
      <c r="L898" s="98"/>
      <c r="M898" s="98"/>
      <c r="N898" s="98"/>
      <c r="O898" s="98"/>
      <c r="P898" s="98"/>
      <c r="Q898" s="98"/>
      <c r="R898" s="98"/>
    </row>
    <row r="899" spans="1:18" x14ac:dyDescent="0.25">
      <c r="A899" s="98"/>
      <c r="B899" s="98"/>
      <c r="C899" s="98"/>
      <c r="D899" s="98"/>
      <c r="E899" s="101"/>
      <c r="F899" s="101"/>
      <c r="G899" s="98"/>
      <c r="H899" s="101"/>
      <c r="I899" s="98"/>
      <c r="J899" s="98"/>
      <c r="K899" s="101"/>
      <c r="L899" s="98"/>
      <c r="M899" s="98"/>
      <c r="N899" s="98"/>
      <c r="O899" s="98"/>
      <c r="P899" s="98"/>
      <c r="Q899" s="98"/>
      <c r="R899" s="98"/>
    </row>
    <row r="900" spans="1:18" x14ac:dyDescent="0.25">
      <c r="A900" s="98"/>
      <c r="B900" s="98"/>
      <c r="C900" s="98"/>
      <c r="D900" s="98"/>
      <c r="E900" s="101"/>
      <c r="F900" s="101"/>
      <c r="G900" s="98"/>
      <c r="H900" s="101"/>
      <c r="I900" s="98"/>
      <c r="J900" s="98"/>
      <c r="K900" s="101"/>
      <c r="L900" s="98"/>
      <c r="M900" s="98"/>
      <c r="N900" s="98"/>
      <c r="O900" s="98"/>
      <c r="P900" s="98"/>
      <c r="Q900" s="98"/>
      <c r="R900" s="98"/>
    </row>
    <row r="901" spans="1:18" x14ac:dyDescent="0.25">
      <c r="A901" s="98"/>
      <c r="B901" s="98"/>
      <c r="C901" s="98"/>
      <c r="D901" s="98"/>
      <c r="E901" s="101"/>
      <c r="F901" s="101"/>
      <c r="G901" s="98"/>
      <c r="H901" s="101"/>
      <c r="I901" s="98"/>
      <c r="J901" s="98"/>
      <c r="K901" s="101"/>
      <c r="L901" s="98"/>
      <c r="M901" s="98"/>
      <c r="N901" s="98"/>
      <c r="O901" s="98"/>
      <c r="P901" s="98"/>
      <c r="Q901" s="98"/>
      <c r="R901" s="98"/>
    </row>
    <row r="902" spans="1:18" x14ac:dyDescent="0.25">
      <c r="A902" s="98"/>
      <c r="B902" s="98"/>
      <c r="C902" s="98"/>
      <c r="D902" s="98"/>
      <c r="E902" s="101"/>
      <c r="F902" s="101"/>
      <c r="G902" s="98"/>
      <c r="H902" s="101"/>
      <c r="I902" s="98"/>
      <c r="J902" s="98"/>
      <c r="K902" s="101"/>
      <c r="L902" s="98"/>
      <c r="M902" s="98"/>
      <c r="N902" s="98"/>
      <c r="O902" s="98"/>
      <c r="P902" s="98"/>
      <c r="Q902" s="98"/>
      <c r="R902" s="98"/>
    </row>
    <row r="903" spans="1:18" x14ac:dyDescent="0.25">
      <c r="A903" s="98"/>
      <c r="B903" s="98"/>
      <c r="C903" s="98"/>
      <c r="D903" s="98"/>
      <c r="E903" s="101"/>
      <c r="F903" s="101"/>
      <c r="G903" s="98"/>
      <c r="H903" s="101"/>
      <c r="I903" s="98"/>
      <c r="J903" s="98"/>
      <c r="K903" s="101"/>
      <c r="L903" s="98"/>
      <c r="M903" s="98"/>
      <c r="N903" s="98"/>
      <c r="O903" s="98"/>
      <c r="P903" s="98"/>
      <c r="Q903" s="98"/>
      <c r="R903" s="98"/>
    </row>
    <row r="904" spans="1:18" x14ac:dyDescent="0.25">
      <c r="A904" s="98"/>
      <c r="B904" s="98"/>
      <c r="C904" s="98"/>
      <c r="D904" s="98"/>
      <c r="E904" s="101"/>
      <c r="F904" s="101"/>
      <c r="G904" s="98"/>
      <c r="H904" s="101"/>
      <c r="I904" s="98"/>
      <c r="J904" s="98"/>
      <c r="K904" s="101"/>
      <c r="L904" s="98"/>
      <c r="M904" s="98"/>
      <c r="N904" s="98"/>
      <c r="O904" s="98"/>
      <c r="P904" s="98"/>
      <c r="Q904" s="98"/>
      <c r="R904" s="98"/>
    </row>
    <row r="905" spans="1:18" x14ac:dyDescent="0.25">
      <c r="A905" s="98"/>
      <c r="B905" s="98"/>
      <c r="C905" s="98"/>
      <c r="D905" s="98"/>
      <c r="E905" s="101"/>
      <c r="F905" s="101"/>
      <c r="G905" s="98"/>
      <c r="H905" s="101"/>
      <c r="I905" s="98"/>
      <c r="J905" s="98"/>
      <c r="K905" s="101"/>
      <c r="L905" s="98"/>
      <c r="M905" s="98"/>
      <c r="N905" s="98"/>
      <c r="O905" s="98"/>
      <c r="P905" s="98"/>
      <c r="Q905" s="98"/>
      <c r="R905" s="98"/>
    </row>
    <row r="906" spans="1:18" x14ac:dyDescent="0.25">
      <c r="A906" s="98"/>
      <c r="B906" s="98"/>
      <c r="C906" s="98"/>
      <c r="D906" s="98"/>
      <c r="E906" s="101"/>
      <c r="F906" s="101"/>
      <c r="G906" s="98"/>
      <c r="H906" s="101"/>
      <c r="I906" s="98"/>
      <c r="J906" s="98"/>
      <c r="K906" s="101"/>
      <c r="L906" s="98"/>
      <c r="M906" s="98"/>
      <c r="N906" s="98"/>
      <c r="O906" s="98"/>
      <c r="P906" s="98"/>
      <c r="Q906" s="98"/>
      <c r="R906" s="98"/>
    </row>
    <row r="907" spans="1:18" x14ac:dyDescent="0.25">
      <c r="A907" s="98"/>
      <c r="B907" s="98"/>
      <c r="C907" s="98"/>
      <c r="D907" s="98"/>
      <c r="E907" s="101"/>
      <c r="F907" s="101"/>
      <c r="G907" s="98"/>
      <c r="H907" s="101"/>
      <c r="I907" s="98"/>
      <c r="J907" s="98"/>
      <c r="K907" s="101"/>
      <c r="L907" s="98"/>
      <c r="M907" s="98"/>
      <c r="N907" s="98"/>
      <c r="O907" s="98"/>
      <c r="P907" s="98"/>
      <c r="Q907" s="98"/>
      <c r="R907" s="98"/>
    </row>
    <row r="908" spans="1:18" x14ac:dyDescent="0.25">
      <c r="A908" s="98"/>
      <c r="B908" s="98"/>
      <c r="C908" s="98"/>
      <c r="D908" s="98"/>
      <c r="E908" s="101"/>
      <c r="F908" s="101"/>
      <c r="G908" s="98"/>
      <c r="H908" s="101"/>
      <c r="I908" s="98"/>
      <c r="J908" s="98"/>
      <c r="K908" s="101"/>
      <c r="L908" s="98"/>
      <c r="M908" s="98"/>
      <c r="N908" s="98"/>
      <c r="O908" s="98"/>
      <c r="P908" s="98"/>
      <c r="Q908" s="98"/>
      <c r="R908" s="98"/>
    </row>
    <row r="909" spans="1:18" x14ac:dyDescent="0.25">
      <c r="A909" s="98"/>
      <c r="B909" s="98"/>
      <c r="C909" s="98"/>
      <c r="D909" s="98"/>
      <c r="E909" s="101"/>
      <c r="F909" s="101"/>
      <c r="G909" s="98"/>
      <c r="H909" s="101"/>
      <c r="I909" s="98"/>
      <c r="J909" s="98"/>
      <c r="K909" s="101"/>
      <c r="L909" s="98"/>
      <c r="M909" s="98"/>
      <c r="N909" s="98"/>
      <c r="O909" s="98"/>
      <c r="P909" s="98"/>
      <c r="Q909" s="98"/>
      <c r="R909" s="98"/>
    </row>
    <row r="910" spans="1:18" x14ac:dyDescent="0.25">
      <c r="A910" s="98"/>
      <c r="B910" s="98"/>
      <c r="C910" s="98"/>
      <c r="D910" s="98"/>
      <c r="E910" s="101"/>
      <c r="F910" s="101"/>
      <c r="G910" s="98"/>
      <c r="H910" s="101"/>
      <c r="I910" s="98"/>
      <c r="J910" s="98"/>
      <c r="K910" s="101"/>
      <c r="L910" s="98"/>
      <c r="M910" s="98"/>
      <c r="N910" s="98"/>
      <c r="O910" s="98"/>
      <c r="P910" s="98"/>
      <c r="Q910" s="98"/>
      <c r="R910" s="98"/>
    </row>
    <row r="911" spans="1:18" x14ac:dyDescent="0.25">
      <c r="A911" s="98"/>
      <c r="B911" s="98"/>
      <c r="C911" s="98"/>
      <c r="D911" s="98"/>
      <c r="E911" s="101"/>
      <c r="F911" s="101"/>
      <c r="G911" s="98"/>
      <c r="H911" s="101"/>
      <c r="I911" s="98"/>
      <c r="J911" s="98"/>
      <c r="K911" s="101"/>
      <c r="L911" s="98"/>
      <c r="M911" s="98"/>
      <c r="N911" s="98"/>
      <c r="O911" s="98"/>
      <c r="P911" s="98"/>
      <c r="Q911" s="98"/>
      <c r="R911" s="98"/>
    </row>
    <row r="912" spans="1:18" x14ac:dyDescent="0.25">
      <c r="A912" s="98"/>
      <c r="B912" s="98"/>
      <c r="C912" s="98"/>
      <c r="D912" s="98"/>
      <c r="E912" s="101"/>
      <c r="F912" s="101"/>
      <c r="G912" s="98"/>
      <c r="H912" s="101"/>
      <c r="I912" s="98"/>
      <c r="J912" s="98"/>
      <c r="K912" s="101"/>
      <c r="L912" s="98"/>
      <c r="M912" s="98"/>
      <c r="N912" s="98"/>
      <c r="O912" s="98"/>
      <c r="P912" s="98"/>
      <c r="Q912" s="98"/>
      <c r="R912" s="98"/>
    </row>
    <row r="913" spans="1:18" x14ac:dyDescent="0.25">
      <c r="A913" s="98"/>
      <c r="B913" s="98"/>
      <c r="C913" s="98"/>
      <c r="D913" s="98"/>
      <c r="E913" s="101"/>
      <c r="F913" s="101"/>
      <c r="G913" s="98"/>
      <c r="H913" s="101"/>
      <c r="I913" s="98"/>
      <c r="J913" s="98"/>
      <c r="K913" s="101"/>
      <c r="L913" s="98"/>
      <c r="M913" s="98"/>
      <c r="N913" s="98"/>
      <c r="O913" s="98"/>
      <c r="P913" s="98"/>
      <c r="Q913" s="98"/>
      <c r="R913" s="98"/>
    </row>
    <row r="914" spans="1:18" x14ac:dyDescent="0.25">
      <c r="A914" s="98"/>
      <c r="B914" s="98"/>
      <c r="C914" s="98"/>
      <c r="D914" s="98"/>
      <c r="E914" s="101"/>
      <c r="F914" s="101"/>
      <c r="G914" s="98"/>
      <c r="H914" s="101"/>
      <c r="I914" s="98"/>
      <c r="J914" s="98"/>
      <c r="K914" s="101"/>
      <c r="L914" s="98"/>
      <c r="M914" s="98"/>
      <c r="N914" s="98"/>
      <c r="O914" s="98"/>
      <c r="P914" s="98"/>
      <c r="Q914" s="98"/>
      <c r="R914" s="98"/>
    </row>
    <row r="915" spans="1:18" x14ac:dyDescent="0.25">
      <c r="A915" s="98"/>
      <c r="B915" s="98"/>
      <c r="C915" s="98"/>
      <c r="D915" s="98"/>
      <c r="E915" s="101"/>
      <c r="F915" s="101"/>
      <c r="G915" s="98"/>
      <c r="H915" s="101"/>
      <c r="I915" s="98"/>
      <c r="J915" s="98"/>
      <c r="K915" s="101"/>
      <c r="L915" s="98"/>
      <c r="M915" s="98"/>
      <c r="N915" s="98"/>
      <c r="O915" s="98"/>
      <c r="P915" s="98"/>
      <c r="Q915" s="98"/>
      <c r="R915" s="98"/>
    </row>
    <row r="916" spans="1:18" x14ac:dyDescent="0.25">
      <c r="A916" s="98"/>
      <c r="B916" s="98"/>
      <c r="C916" s="98"/>
      <c r="D916" s="98"/>
      <c r="E916" s="101"/>
      <c r="F916" s="101"/>
      <c r="G916" s="98"/>
      <c r="H916" s="101"/>
      <c r="I916" s="98"/>
      <c r="J916" s="98"/>
      <c r="K916" s="101"/>
      <c r="L916" s="98"/>
      <c r="M916" s="98"/>
      <c r="N916" s="98"/>
      <c r="O916" s="98"/>
      <c r="P916" s="98"/>
      <c r="Q916" s="98"/>
      <c r="R916" s="98"/>
    </row>
    <row r="917" spans="1:18" x14ac:dyDescent="0.25">
      <c r="A917" s="98"/>
      <c r="B917" s="98"/>
      <c r="C917" s="98"/>
      <c r="D917" s="98"/>
      <c r="E917" s="101"/>
      <c r="F917" s="101"/>
      <c r="G917" s="98"/>
      <c r="H917" s="101"/>
      <c r="I917" s="98"/>
      <c r="J917" s="98"/>
      <c r="K917" s="101"/>
      <c r="L917" s="98"/>
      <c r="M917" s="98"/>
      <c r="N917" s="98"/>
      <c r="O917" s="98"/>
      <c r="P917" s="98"/>
      <c r="Q917" s="98"/>
      <c r="R917" s="98"/>
    </row>
    <row r="918" spans="1:18" x14ac:dyDescent="0.25">
      <c r="A918" s="98"/>
      <c r="B918" s="98"/>
      <c r="C918" s="98"/>
      <c r="D918" s="98"/>
      <c r="E918" s="101"/>
      <c r="F918" s="101"/>
      <c r="G918" s="98"/>
      <c r="H918" s="101"/>
      <c r="I918" s="98"/>
      <c r="J918" s="98"/>
      <c r="K918" s="101"/>
      <c r="L918" s="98"/>
      <c r="M918" s="98"/>
      <c r="N918" s="98"/>
      <c r="O918" s="98"/>
      <c r="P918" s="98"/>
      <c r="Q918" s="98"/>
      <c r="R918" s="98"/>
    </row>
    <row r="919" spans="1:18" x14ac:dyDescent="0.25">
      <c r="A919" s="98"/>
      <c r="B919" s="98"/>
      <c r="C919" s="98"/>
      <c r="D919" s="98"/>
      <c r="E919" s="101"/>
      <c r="F919" s="101"/>
      <c r="G919" s="98"/>
      <c r="H919" s="101"/>
      <c r="I919" s="98"/>
      <c r="J919" s="98"/>
      <c r="K919" s="101"/>
      <c r="L919" s="98"/>
      <c r="M919" s="98"/>
      <c r="N919" s="98"/>
      <c r="O919" s="98"/>
      <c r="P919" s="98"/>
      <c r="Q919" s="98"/>
      <c r="R919" s="98"/>
    </row>
    <row r="920" spans="1:18" x14ac:dyDescent="0.25">
      <c r="A920" s="98"/>
      <c r="B920" s="98"/>
      <c r="C920" s="98"/>
      <c r="D920" s="98"/>
      <c r="E920" s="101"/>
      <c r="F920" s="101"/>
      <c r="G920" s="98"/>
      <c r="H920" s="101"/>
      <c r="I920" s="98"/>
      <c r="J920" s="98"/>
      <c r="K920" s="101"/>
      <c r="L920" s="98"/>
      <c r="M920" s="98"/>
      <c r="N920" s="98"/>
      <c r="O920" s="98"/>
      <c r="P920" s="98"/>
      <c r="Q920" s="98"/>
      <c r="R920" s="98"/>
    </row>
    <row r="921" spans="1:18" x14ac:dyDescent="0.25">
      <c r="A921" s="98"/>
      <c r="B921" s="98"/>
      <c r="C921" s="98"/>
      <c r="D921" s="98"/>
      <c r="E921" s="101"/>
      <c r="F921" s="101"/>
      <c r="G921" s="98"/>
      <c r="H921" s="101"/>
      <c r="I921" s="98"/>
      <c r="J921" s="98"/>
      <c r="K921" s="101"/>
      <c r="L921" s="98"/>
      <c r="M921" s="98"/>
      <c r="N921" s="98"/>
      <c r="O921" s="98"/>
      <c r="P921" s="98"/>
      <c r="Q921" s="98"/>
      <c r="R921" s="98"/>
    </row>
    <row r="922" spans="1:18" x14ac:dyDescent="0.25">
      <c r="A922" s="98"/>
      <c r="B922" s="98"/>
      <c r="C922" s="98"/>
      <c r="D922" s="98"/>
      <c r="E922" s="101"/>
      <c r="F922" s="101"/>
      <c r="G922" s="98"/>
      <c r="H922" s="101"/>
      <c r="I922" s="98"/>
      <c r="J922" s="98"/>
      <c r="K922" s="101"/>
      <c r="L922" s="98"/>
      <c r="M922" s="98"/>
      <c r="N922" s="98"/>
      <c r="O922" s="98"/>
      <c r="P922" s="98"/>
      <c r="Q922" s="98"/>
      <c r="R922" s="98"/>
    </row>
    <row r="923" spans="1:18" x14ac:dyDescent="0.25">
      <c r="A923" s="98"/>
      <c r="B923" s="98"/>
      <c r="C923" s="98"/>
      <c r="D923" s="98"/>
      <c r="E923" s="101"/>
      <c r="F923" s="101"/>
      <c r="G923" s="98"/>
      <c r="H923" s="101"/>
      <c r="I923" s="98"/>
      <c r="J923" s="98"/>
      <c r="K923" s="101"/>
      <c r="L923" s="98"/>
      <c r="M923" s="98"/>
      <c r="N923" s="98"/>
      <c r="O923" s="98"/>
      <c r="P923" s="98"/>
      <c r="Q923" s="98"/>
      <c r="R923" s="98"/>
    </row>
    <row r="924" spans="1:18" x14ac:dyDescent="0.25">
      <c r="A924" s="98"/>
      <c r="B924" s="98"/>
      <c r="C924" s="98"/>
      <c r="D924" s="98"/>
      <c r="E924" s="101"/>
      <c r="F924" s="101"/>
      <c r="G924" s="98"/>
      <c r="H924" s="101"/>
      <c r="I924" s="98"/>
      <c r="J924" s="98"/>
      <c r="K924" s="101"/>
      <c r="L924" s="98"/>
      <c r="M924" s="98"/>
      <c r="N924" s="98"/>
      <c r="O924" s="98"/>
      <c r="P924" s="98"/>
      <c r="Q924" s="98"/>
      <c r="R924" s="98"/>
    </row>
    <row r="925" spans="1:18" x14ac:dyDescent="0.25">
      <c r="A925" s="98"/>
      <c r="B925" s="98"/>
      <c r="C925" s="98"/>
      <c r="D925" s="98"/>
      <c r="E925" s="101"/>
      <c r="F925" s="101"/>
      <c r="G925" s="98"/>
      <c r="H925" s="101"/>
      <c r="I925" s="98"/>
      <c r="J925" s="98"/>
      <c r="K925" s="101"/>
      <c r="L925" s="98"/>
      <c r="M925" s="98"/>
      <c r="N925" s="98"/>
      <c r="O925" s="98"/>
      <c r="P925" s="98"/>
      <c r="Q925" s="98"/>
      <c r="R925" s="98"/>
    </row>
    <row r="926" spans="1:18" x14ac:dyDescent="0.25">
      <c r="A926" s="98"/>
      <c r="B926" s="98"/>
      <c r="C926" s="98"/>
      <c r="D926" s="98"/>
      <c r="E926" s="101"/>
      <c r="F926" s="101"/>
      <c r="G926" s="98"/>
      <c r="H926" s="101"/>
      <c r="I926" s="98"/>
      <c r="J926" s="98"/>
      <c r="K926" s="101"/>
      <c r="L926" s="98"/>
      <c r="M926" s="98"/>
      <c r="N926" s="98"/>
      <c r="O926" s="98"/>
      <c r="P926" s="98"/>
      <c r="Q926" s="98"/>
      <c r="R926" s="98"/>
    </row>
    <row r="927" spans="1:18" x14ac:dyDescent="0.25">
      <c r="A927" s="98"/>
      <c r="B927" s="98"/>
      <c r="C927" s="98"/>
      <c r="D927" s="98"/>
      <c r="E927" s="101"/>
      <c r="F927" s="101"/>
      <c r="G927" s="98"/>
      <c r="H927" s="101"/>
      <c r="I927" s="98"/>
      <c r="J927" s="98"/>
      <c r="K927" s="101"/>
      <c r="L927" s="98"/>
      <c r="M927" s="98"/>
      <c r="N927" s="98"/>
      <c r="O927" s="98"/>
      <c r="P927" s="98"/>
      <c r="Q927" s="98"/>
      <c r="R927" s="98"/>
    </row>
    <row r="928" spans="1:18" x14ac:dyDescent="0.25">
      <c r="A928" s="98"/>
      <c r="B928" s="98"/>
      <c r="C928" s="98"/>
      <c r="D928" s="98"/>
      <c r="E928" s="101"/>
      <c r="F928" s="101"/>
      <c r="G928" s="98"/>
      <c r="H928" s="101"/>
      <c r="I928" s="98"/>
      <c r="J928" s="98"/>
      <c r="K928" s="101"/>
      <c r="L928" s="98"/>
      <c r="M928" s="98"/>
      <c r="N928" s="98"/>
      <c r="O928" s="98"/>
      <c r="P928" s="98"/>
      <c r="Q928" s="98"/>
      <c r="R928" s="98"/>
    </row>
    <row r="929" spans="1:18" x14ac:dyDescent="0.25">
      <c r="A929" s="98"/>
      <c r="B929" s="98"/>
      <c r="C929" s="98"/>
      <c r="D929" s="98"/>
      <c r="E929" s="101"/>
      <c r="F929" s="101"/>
      <c r="G929" s="98"/>
      <c r="H929" s="101"/>
      <c r="I929" s="98"/>
      <c r="J929" s="98"/>
      <c r="K929" s="101"/>
      <c r="L929" s="98"/>
      <c r="M929" s="98"/>
      <c r="N929" s="98"/>
      <c r="O929" s="98"/>
      <c r="P929" s="98"/>
      <c r="Q929" s="98"/>
      <c r="R929" s="98"/>
    </row>
    <row r="930" spans="1:18" x14ac:dyDescent="0.25">
      <c r="A930" s="98"/>
      <c r="B930" s="98"/>
      <c r="C930" s="98"/>
      <c r="D930" s="98"/>
      <c r="E930" s="101"/>
      <c r="F930" s="101"/>
      <c r="G930" s="98"/>
      <c r="H930" s="101"/>
      <c r="I930" s="98"/>
      <c r="J930" s="98"/>
      <c r="K930" s="101"/>
      <c r="L930" s="98"/>
      <c r="M930" s="98"/>
      <c r="N930" s="98"/>
      <c r="O930" s="98"/>
      <c r="P930" s="98"/>
      <c r="Q930" s="98"/>
      <c r="R930" s="98"/>
    </row>
    <row r="931" spans="1:18" x14ac:dyDescent="0.25">
      <c r="A931" s="98"/>
      <c r="B931" s="98"/>
      <c r="C931" s="98"/>
      <c r="D931" s="98"/>
      <c r="E931" s="101"/>
      <c r="F931" s="101"/>
      <c r="G931" s="98"/>
      <c r="H931" s="101"/>
      <c r="I931" s="98"/>
      <c r="J931" s="98"/>
      <c r="K931" s="101"/>
      <c r="L931" s="98"/>
      <c r="M931" s="98"/>
      <c r="N931" s="98"/>
      <c r="O931" s="98"/>
      <c r="P931" s="98"/>
      <c r="Q931" s="98"/>
      <c r="R931" s="98"/>
    </row>
    <row r="932" spans="1:18" x14ac:dyDescent="0.25">
      <c r="A932" s="98"/>
      <c r="B932" s="98"/>
      <c r="C932" s="98"/>
      <c r="D932" s="98"/>
      <c r="E932" s="101"/>
      <c r="F932" s="101"/>
      <c r="G932" s="98"/>
      <c r="H932" s="101"/>
      <c r="I932" s="98"/>
      <c r="J932" s="98"/>
      <c r="K932" s="101"/>
      <c r="L932" s="98"/>
      <c r="M932" s="98"/>
      <c r="N932" s="98"/>
      <c r="O932" s="98"/>
      <c r="P932" s="98"/>
      <c r="Q932" s="98"/>
      <c r="R932" s="98"/>
    </row>
    <row r="933" spans="1:18" x14ac:dyDescent="0.25">
      <c r="A933" s="98"/>
      <c r="B933" s="98"/>
      <c r="C933" s="98"/>
      <c r="D933" s="98"/>
      <c r="E933" s="101"/>
      <c r="F933" s="101"/>
      <c r="G933" s="98"/>
      <c r="H933" s="101"/>
      <c r="I933" s="98"/>
      <c r="J933" s="98"/>
      <c r="K933" s="101"/>
      <c r="L933" s="98"/>
      <c r="M933" s="98"/>
      <c r="N933" s="98"/>
      <c r="O933" s="98"/>
      <c r="P933" s="98"/>
      <c r="Q933" s="98"/>
      <c r="R933" s="98"/>
    </row>
    <row r="934" spans="1:18" x14ac:dyDescent="0.25">
      <c r="A934" s="98"/>
      <c r="B934" s="98"/>
      <c r="C934" s="98"/>
      <c r="D934" s="98"/>
      <c r="E934" s="101"/>
      <c r="F934" s="101"/>
      <c r="G934" s="98"/>
      <c r="H934" s="101"/>
      <c r="I934" s="98"/>
      <c r="J934" s="98"/>
      <c r="K934" s="101"/>
      <c r="L934" s="98"/>
      <c r="M934" s="98"/>
      <c r="N934" s="98"/>
      <c r="O934" s="98"/>
      <c r="P934" s="98"/>
      <c r="Q934" s="98"/>
      <c r="R934" s="98"/>
    </row>
    <row r="935" spans="1:18" x14ac:dyDescent="0.25">
      <c r="A935" s="98"/>
      <c r="B935" s="98"/>
      <c r="C935" s="98"/>
      <c r="D935" s="98"/>
      <c r="E935" s="101"/>
      <c r="F935" s="101"/>
      <c r="G935" s="98"/>
      <c r="H935" s="101"/>
      <c r="I935" s="98"/>
      <c r="J935" s="98"/>
      <c r="K935" s="101"/>
      <c r="L935" s="98"/>
      <c r="M935" s="98"/>
      <c r="N935" s="98"/>
      <c r="O935" s="98"/>
      <c r="P935" s="98"/>
      <c r="Q935" s="98"/>
      <c r="R935" s="98"/>
    </row>
    <row r="936" spans="1:18" x14ac:dyDescent="0.25">
      <c r="A936" s="98"/>
      <c r="B936" s="98"/>
      <c r="C936" s="98"/>
      <c r="D936" s="98"/>
      <c r="E936" s="101"/>
      <c r="F936" s="101"/>
      <c r="G936" s="98"/>
      <c r="H936" s="101"/>
      <c r="I936" s="98"/>
      <c r="J936" s="98"/>
      <c r="K936" s="101"/>
      <c r="L936" s="98"/>
      <c r="M936" s="98"/>
      <c r="N936" s="98"/>
      <c r="O936" s="98"/>
      <c r="P936" s="98"/>
      <c r="Q936" s="98"/>
      <c r="R936" s="98"/>
    </row>
    <row r="937" spans="1:18" x14ac:dyDescent="0.25">
      <c r="A937" s="98"/>
      <c r="B937" s="98"/>
      <c r="C937" s="98"/>
      <c r="D937" s="98"/>
      <c r="E937" s="101"/>
      <c r="F937" s="101"/>
      <c r="G937" s="98"/>
      <c r="H937" s="101"/>
      <c r="I937" s="98"/>
      <c r="J937" s="98"/>
      <c r="K937" s="101"/>
      <c r="L937" s="98"/>
      <c r="M937" s="98"/>
      <c r="N937" s="98"/>
      <c r="O937" s="98"/>
      <c r="P937" s="98"/>
      <c r="Q937" s="98"/>
      <c r="R937" s="98"/>
    </row>
    <row r="938" spans="1:18" x14ac:dyDescent="0.25">
      <c r="A938" s="98"/>
      <c r="B938" s="98"/>
      <c r="C938" s="98"/>
      <c r="D938" s="98"/>
      <c r="E938" s="101"/>
      <c r="F938" s="101"/>
      <c r="G938" s="98"/>
      <c r="H938" s="101"/>
      <c r="I938" s="98"/>
      <c r="J938" s="98"/>
      <c r="K938" s="101"/>
      <c r="L938" s="98"/>
      <c r="M938" s="98"/>
      <c r="N938" s="98"/>
      <c r="O938" s="98"/>
      <c r="P938" s="98"/>
      <c r="Q938" s="98"/>
      <c r="R938" s="98"/>
    </row>
    <row r="939" spans="1:18" x14ac:dyDescent="0.25">
      <c r="A939" s="98"/>
      <c r="B939" s="98"/>
      <c r="C939" s="98"/>
      <c r="D939" s="98"/>
      <c r="E939" s="101"/>
      <c r="F939" s="101"/>
      <c r="G939" s="98"/>
      <c r="H939" s="101"/>
      <c r="I939" s="98"/>
      <c r="J939" s="98"/>
      <c r="K939" s="101"/>
      <c r="L939" s="98"/>
      <c r="M939" s="98"/>
      <c r="N939" s="98"/>
      <c r="O939" s="98"/>
      <c r="P939" s="98"/>
      <c r="Q939" s="98"/>
      <c r="R939" s="98"/>
    </row>
    <row r="940" spans="1:18" x14ac:dyDescent="0.25">
      <c r="A940" s="98"/>
      <c r="B940" s="98"/>
      <c r="C940" s="98"/>
      <c r="D940" s="98"/>
      <c r="E940" s="101"/>
      <c r="F940" s="101"/>
      <c r="G940" s="98"/>
      <c r="H940" s="101"/>
      <c r="I940" s="98"/>
      <c r="J940" s="98"/>
      <c r="K940" s="101"/>
      <c r="L940" s="98"/>
      <c r="M940" s="98"/>
      <c r="N940" s="98"/>
      <c r="O940" s="98"/>
      <c r="P940" s="98"/>
      <c r="Q940" s="98"/>
      <c r="R940" s="98"/>
    </row>
    <row r="941" spans="1:18" x14ac:dyDescent="0.25">
      <c r="A941" s="98"/>
      <c r="B941" s="98"/>
      <c r="C941" s="98"/>
      <c r="D941" s="98"/>
      <c r="E941" s="101"/>
      <c r="F941" s="101"/>
      <c r="G941" s="98"/>
      <c r="H941" s="101"/>
      <c r="I941" s="98"/>
      <c r="J941" s="98"/>
      <c r="K941" s="101"/>
      <c r="L941" s="98"/>
      <c r="M941" s="98"/>
      <c r="N941" s="98"/>
      <c r="O941" s="98"/>
      <c r="P941" s="98"/>
      <c r="Q941" s="98"/>
      <c r="R941" s="98"/>
    </row>
    <row r="942" spans="1:18" x14ac:dyDescent="0.25">
      <c r="A942" s="98"/>
      <c r="B942" s="98"/>
      <c r="C942" s="98"/>
      <c r="D942" s="98"/>
      <c r="E942" s="101"/>
      <c r="F942" s="101"/>
      <c r="G942" s="98"/>
      <c r="H942" s="101"/>
      <c r="I942" s="98"/>
      <c r="J942" s="98"/>
      <c r="K942" s="101"/>
      <c r="L942" s="98"/>
      <c r="M942" s="98"/>
      <c r="N942" s="98"/>
      <c r="O942" s="98"/>
      <c r="P942" s="98"/>
      <c r="Q942" s="98"/>
      <c r="R942" s="98"/>
    </row>
    <row r="943" spans="1:18" x14ac:dyDescent="0.25">
      <c r="A943" s="98"/>
      <c r="B943" s="98"/>
      <c r="C943" s="98"/>
      <c r="D943" s="98"/>
      <c r="E943" s="101"/>
      <c r="F943" s="101"/>
      <c r="G943" s="98"/>
      <c r="H943" s="101"/>
      <c r="I943" s="98"/>
      <c r="J943" s="98"/>
      <c r="K943" s="101"/>
      <c r="L943" s="98"/>
      <c r="M943" s="98"/>
      <c r="N943" s="98"/>
      <c r="O943" s="98"/>
      <c r="P943" s="98"/>
      <c r="Q943" s="98"/>
      <c r="R943" s="98"/>
    </row>
    <row r="944" spans="1:18" x14ac:dyDescent="0.25">
      <c r="A944" s="98"/>
      <c r="B944" s="98"/>
      <c r="C944" s="98"/>
      <c r="D944" s="98"/>
      <c r="E944" s="101"/>
      <c r="F944" s="101"/>
      <c r="G944" s="98"/>
      <c r="H944" s="101"/>
      <c r="I944" s="98"/>
      <c r="J944" s="98"/>
      <c r="K944" s="101"/>
      <c r="L944" s="98"/>
      <c r="M944" s="98"/>
      <c r="N944" s="98"/>
      <c r="O944" s="98"/>
      <c r="P944" s="98"/>
      <c r="Q944" s="98"/>
      <c r="R944" s="98"/>
    </row>
    <row r="945" spans="1:18" x14ac:dyDescent="0.25">
      <c r="A945" s="98"/>
      <c r="B945" s="98"/>
      <c r="C945" s="98"/>
      <c r="D945" s="98"/>
      <c r="E945" s="101"/>
      <c r="F945" s="101"/>
      <c r="G945" s="98"/>
      <c r="H945" s="101"/>
      <c r="I945" s="98"/>
      <c r="J945" s="98"/>
      <c r="K945" s="101"/>
      <c r="L945" s="98"/>
      <c r="M945" s="98"/>
      <c r="N945" s="98"/>
      <c r="O945" s="98"/>
      <c r="P945" s="98"/>
      <c r="Q945" s="98"/>
      <c r="R945" s="98"/>
    </row>
    <row r="946" spans="1:18" x14ac:dyDescent="0.25">
      <c r="A946" s="98"/>
      <c r="B946" s="98"/>
      <c r="C946" s="98"/>
      <c r="D946" s="98"/>
      <c r="E946" s="101"/>
      <c r="F946" s="101"/>
      <c r="G946" s="98"/>
      <c r="H946" s="101"/>
      <c r="I946" s="98"/>
      <c r="J946" s="98"/>
      <c r="K946" s="101"/>
      <c r="L946" s="98"/>
      <c r="M946" s="98"/>
      <c r="N946" s="98"/>
      <c r="O946" s="98"/>
      <c r="P946" s="98"/>
      <c r="Q946" s="98"/>
      <c r="R946" s="98"/>
    </row>
    <row r="947" spans="1:18" x14ac:dyDescent="0.25">
      <c r="A947" s="98"/>
      <c r="B947" s="98"/>
      <c r="C947" s="98"/>
      <c r="D947" s="98"/>
      <c r="E947" s="101"/>
      <c r="F947" s="101"/>
      <c r="G947" s="98"/>
      <c r="H947" s="101"/>
      <c r="I947" s="98"/>
      <c r="J947" s="98"/>
      <c r="K947" s="101"/>
      <c r="L947" s="98"/>
      <c r="M947" s="98"/>
      <c r="N947" s="98"/>
      <c r="O947" s="98"/>
      <c r="P947" s="98"/>
      <c r="Q947" s="98"/>
      <c r="R947" s="98"/>
    </row>
    <row r="948" spans="1:18" x14ac:dyDescent="0.25">
      <c r="A948" s="98"/>
      <c r="B948" s="98"/>
      <c r="C948" s="98"/>
      <c r="D948" s="98"/>
      <c r="E948" s="101"/>
      <c r="F948" s="101"/>
      <c r="G948" s="98"/>
      <c r="H948" s="101"/>
      <c r="I948" s="98"/>
      <c r="J948" s="98"/>
      <c r="K948" s="101"/>
      <c r="L948" s="98"/>
      <c r="M948" s="98"/>
      <c r="N948" s="98"/>
      <c r="O948" s="98"/>
      <c r="P948" s="98"/>
      <c r="Q948" s="98"/>
      <c r="R948" s="98"/>
    </row>
    <row r="949" spans="1:18" x14ac:dyDescent="0.25">
      <c r="A949" s="98"/>
      <c r="B949" s="98"/>
      <c r="C949" s="98"/>
      <c r="D949" s="98"/>
      <c r="E949" s="101"/>
      <c r="F949" s="101"/>
      <c r="G949" s="98"/>
      <c r="H949" s="101"/>
      <c r="I949" s="98"/>
      <c r="J949" s="98"/>
      <c r="K949" s="101"/>
      <c r="L949" s="98"/>
      <c r="M949" s="98"/>
      <c r="N949" s="98"/>
      <c r="O949" s="98"/>
      <c r="P949" s="98"/>
      <c r="Q949" s="98"/>
      <c r="R949" s="98"/>
    </row>
    <row r="950" spans="1:18" x14ac:dyDescent="0.25">
      <c r="A950" s="98"/>
      <c r="B950" s="98"/>
      <c r="C950" s="98"/>
      <c r="D950" s="98"/>
      <c r="E950" s="101"/>
      <c r="F950" s="101"/>
      <c r="G950" s="98"/>
      <c r="H950" s="101"/>
      <c r="I950" s="98"/>
      <c r="J950" s="98"/>
      <c r="K950" s="101"/>
      <c r="L950" s="98"/>
      <c r="M950" s="98"/>
      <c r="N950" s="98"/>
      <c r="O950" s="98"/>
      <c r="P950" s="98"/>
      <c r="Q950" s="98"/>
      <c r="R950" s="98"/>
    </row>
    <row r="951" spans="1:18" x14ac:dyDescent="0.25">
      <c r="A951" s="98"/>
      <c r="B951" s="98"/>
      <c r="C951" s="98"/>
      <c r="D951" s="98"/>
      <c r="E951" s="101"/>
      <c r="F951" s="101"/>
      <c r="G951" s="98"/>
      <c r="H951" s="101"/>
      <c r="I951" s="98"/>
      <c r="J951" s="98"/>
      <c r="K951" s="101"/>
      <c r="L951" s="98"/>
      <c r="M951" s="98"/>
      <c r="N951" s="98"/>
      <c r="O951" s="98"/>
      <c r="P951" s="98"/>
      <c r="Q951" s="98"/>
      <c r="R951" s="98"/>
    </row>
    <row r="952" spans="1:18" x14ac:dyDescent="0.25">
      <c r="A952" s="98"/>
      <c r="B952" s="98"/>
      <c r="C952" s="98"/>
      <c r="D952" s="98"/>
      <c r="E952" s="101"/>
      <c r="F952" s="101"/>
      <c r="G952" s="98"/>
      <c r="H952" s="101"/>
      <c r="I952" s="98"/>
      <c r="J952" s="98"/>
      <c r="K952" s="101"/>
      <c r="L952" s="98"/>
      <c r="M952" s="98"/>
      <c r="N952" s="98"/>
      <c r="O952" s="98"/>
      <c r="P952" s="98"/>
      <c r="Q952" s="98"/>
      <c r="R952" s="98"/>
    </row>
    <row r="953" spans="1:18" x14ac:dyDescent="0.25">
      <c r="A953" s="98"/>
      <c r="B953" s="98"/>
      <c r="C953" s="98"/>
      <c r="D953" s="98"/>
      <c r="E953" s="101"/>
      <c r="F953" s="101"/>
      <c r="G953" s="98"/>
      <c r="H953" s="101"/>
      <c r="I953" s="98"/>
      <c r="J953" s="98"/>
      <c r="K953" s="101"/>
      <c r="L953" s="98"/>
      <c r="M953" s="98"/>
      <c r="N953" s="98"/>
      <c r="O953" s="98"/>
      <c r="P953" s="98"/>
      <c r="Q953" s="98"/>
      <c r="R953" s="98"/>
    </row>
    <row r="954" spans="1:18" x14ac:dyDescent="0.25">
      <c r="A954" s="98"/>
      <c r="B954" s="98"/>
      <c r="C954" s="98"/>
      <c r="D954" s="98"/>
      <c r="E954" s="101"/>
      <c r="F954" s="101"/>
      <c r="G954" s="98"/>
      <c r="H954" s="101"/>
      <c r="I954" s="98"/>
      <c r="J954" s="98"/>
      <c r="K954" s="101"/>
      <c r="L954" s="98"/>
      <c r="M954" s="98"/>
      <c r="N954" s="98"/>
      <c r="O954" s="98"/>
      <c r="P954" s="98"/>
      <c r="Q954" s="98"/>
      <c r="R954" s="98"/>
    </row>
    <row r="955" spans="1:18" x14ac:dyDescent="0.25">
      <c r="A955" s="98"/>
      <c r="B955" s="98"/>
      <c r="C955" s="98"/>
      <c r="D955" s="98"/>
      <c r="E955" s="101"/>
      <c r="F955" s="101"/>
      <c r="G955" s="98"/>
      <c r="H955" s="101"/>
      <c r="I955" s="98"/>
      <c r="J955" s="98"/>
      <c r="K955" s="101"/>
      <c r="L955" s="98"/>
      <c r="M955" s="98"/>
      <c r="N955" s="98"/>
      <c r="O955" s="98"/>
      <c r="P955" s="98"/>
      <c r="Q955" s="98"/>
      <c r="R955" s="98"/>
    </row>
    <row r="956" spans="1:18" x14ac:dyDescent="0.25">
      <c r="A956" s="98"/>
      <c r="B956" s="98"/>
      <c r="C956" s="98"/>
      <c r="D956" s="98"/>
      <c r="E956" s="101"/>
      <c r="F956" s="101"/>
      <c r="G956" s="98"/>
      <c r="H956" s="101"/>
      <c r="I956" s="98"/>
      <c r="J956" s="98"/>
      <c r="K956" s="101"/>
      <c r="L956" s="98"/>
      <c r="M956" s="98"/>
      <c r="N956" s="98"/>
      <c r="O956" s="98"/>
      <c r="P956" s="98"/>
      <c r="Q956" s="98"/>
      <c r="R956" s="98"/>
    </row>
    <row r="957" spans="1:18" x14ac:dyDescent="0.25">
      <c r="A957" s="98"/>
      <c r="B957" s="98"/>
      <c r="C957" s="98"/>
      <c r="D957" s="98"/>
      <c r="E957" s="101"/>
      <c r="F957" s="101"/>
      <c r="G957" s="98"/>
      <c r="H957" s="101"/>
      <c r="I957" s="98"/>
      <c r="J957" s="98"/>
      <c r="K957" s="101"/>
      <c r="L957" s="98"/>
      <c r="M957" s="98"/>
      <c r="N957" s="98"/>
      <c r="O957" s="98"/>
      <c r="P957" s="98"/>
      <c r="Q957" s="98"/>
      <c r="R957" s="98"/>
    </row>
    <row r="958" spans="1:18" x14ac:dyDescent="0.25">
      <c r="A958" s="98"/>
      <c r="B958" s="98"/>
      <c r="C958" s="98"/>
      <c r="D958" s="98"/>
      <c r="E958" s="101"/>
      <c r="F958" s="101"/>
      <c r="G958" s="98"/>
      <c r="H958" s="101"/>
      <c r="I958" s="98"/>
      <c r="J958" s="98"/>
      <c r="K958" s="101"/>
      <c r="L958" s="98"/>
      <c r="M958" s="98"/>
      <c r="N958" s="98"/>
      <c r="O958" s="98"/>
      <c r="P958" s="98"/>
      <c r="Q958" s="98"/>
      <c r="R958" s="98"/>
    </row>
    <row r="959" spans="1:18" x14ac:dyDescent="0.25">
      <c r="A959" s="98"/>
      <c r="B959" s="98"/>
      <c r="C959" s="98"/>
      <c r="D959" s="98"/>
      <c r="E959" s="101"/>
      <c r="F959" s="101"/>
      <c r="G959" s="98"/>
      <c r="H959" s="101"/>
      <c r="I959" s="98"/>
      <c r="J959" s="98"/>
      <c r="K959" s="101"/>
      <c r="L959" s="98"/>
      <c r="M959" s="98"/>
      <c r="N959" s="98"/>
      <c r="O959" s="98"/>
      <c r="P959" s="98"/>
      <c r="Q959" s="98"/>
      <c r="R959" s="98"/>
    </row>
    <row r="960" spans="1:18" x14ac:dyDescent="0.25">
      <c r="A960" s="98"/>
      <c r="B960" s="98"/>
      <c r="C960" s="98"/>
      <c r="D960" s="98"/>
      <c r="E960" s="101"/>
      <c r="F960" s="101"/>
      <c r="G960" s="98"/>
      <c r="H960" s="101"/>
      <c r="I960" s="98"/>
      <c r="J960" s="98"/>
      <c r="K960" s="101"/>
      <c r="L960" s="98"/>
      <c r="M960" s="98"/>
      <c r="N960" s="98"/>
      <c r="O960" s="98"/>
      <c r="P960" s="98"/>
      <c r="Q960" s="98"/>
      <c r="R960" s="98"/>
    </row>
    <row r="961" spans="1:18" x14ac:dyDescent="0.25">
      <c r="A961" s="98"/>
      <c r="B961" s="98"/>
      <c r="C961" s="98"/>
      <c r="D961" s="98"/>
      <c r="E961" s="101"/>
      <c r="F961" s="101"/>
      <c r="G961" s="98"/>
      <c r="H961" s="101"/>
      <c r="I961" s="98"/>
      <c r="J961" s="98"/>
      <c r="K961" s="101"/>
      <c r="L961" s="98"/>
      <c r="M961" s="98"/>
      <c r="N961" s="98"/>
      <c r="O961" s="98"/>
      <c r="P961" s="98"/>
      <c r="Q961" s="98"/>
      <c r="R961" s="98"/>
    </row>
    <row r="962" spans="1:18" x14ac:dyDescent="0.25">
      <c r="A962" s="98"/>
      <c r="B962" s="98"/>
      <c r="C962" s="98"/>
      <c r="D962" s="98"/>
      <c r="E962" s="101"/>
      <c r="F962" s="101"/>
      <c r="G962" s="98"/>
      <c r="H962" s="101"/>
      <c r="I962" s="98"/>
      <c r="J962" s="98"/>
      <c r="K962" s="101"/>
      <c r="L962" s="98"/>
      <c r="M962" s="98"/>
      <c r="N962" s="98"/>
      <c r="O962" s="98"/>
      <c r="P962" s="98"/>
      <c r="Q962" s="98"/>
      <c r="R962" s="98"/>
    </row>
    <row r="963" spans="1:18" x14ac:dyDescent="0.25">
      <c r="A963" s="98"/>
      <c r="B963" s="98"/>
      <c r="C963" s="98"/>
      <c r="D963" s="98"/>
      <c r="E963" s="101"/>
      <c r="F963" s="101"/>
      <c r="G963" s="98"/>
      <c r="H963" s="101"/>
      <c r="I963" s="98"/>
      <c r="J963" s="98"/>
      <c r="K963" s="101"/>
      <c r="L963" s="98"/>
      <c r="M963" s="98"/>
      <c r="N963" s="98"/>
      <c r="O963" s="98"/>
      <c r="P963" s="98"/>
      <c r="Q963" s="98"/>
      <c r="R963" s="98"/>
    </row>
    <row r="964" spans="1:18" x14ac:dyDescent="0.25">
      <c r="A964" s="98"/>
      <c r="B964" s="98"/>
      <c r="C964" s="98"/>
      <c r="D964" s="98"/>
      <c r="E964" s="101"/>
      <c r="F964" s="101"/>
      <c r="G964" s="98"/>
      <c r="H964" s="101"/>
      <c r="I964" s="98"/>
      <c r="J964" s="98"/>
      <c r="K964" s="101"/>
      <c r="L964" s="98"/>
      <c r="M964" s="98"/>
      <c r="N964" s="98"/>
      <c r="O964" s="98"/>
      <c r="P964" s="98"/>
      <c r="Q964" s="98"/>
      <c r="R964" s="98"/>
    </row>
    <row r="965" spans="1:18" x14ac:dyDescent="0.25">
      <c r="A965" s="98"/>
      <c r="B965" s="98"/>
      <c r="C965" s="98"/>
      <c r="D965" s="98"/>
      <c r="E965" s="101"/>
      <c r="F965" s="101"/>
      <c r="G965" s="98"/>
      <c r="H965" s="101"/>
      <c r="I965" s="98"/>
      <c r="J965" s="98"/>
      <c r="K965" s="101"/>
      <c r="L965" s="98"/>
      <c r="M965" s="98"/>
      <c r="N965" s="98"/>
      <c r="O965" s="98"/>
      <c r="P965" s="98"/>
      <c r="Q965" s="98"/>
      <c r="R965" s="98"/>
    </row>
    <row r="966" spans="1:18" x14ac:dyDescent="0.25">
      <c r="A966" s="98"/>
      <c r="B966" s="98"/>
      <c r="C966" s="98"/>
      <c r="D966" s="98"/>
      <c r="E966" s="101"/>
      <c r="F966" s="101"/>
      <c r="G966" s="98"/>
      <c r="H966" s="101"/>
      <c r="I966" s="98"/>
      <c r="J966" s="98"/>
      <c r="K966" s="101"/>
      <c r="L966" s="98"/>
      <c r="M966" s="98"/>
      <c r="N966" s="98"/>
      <c r="O966" s="98"/>
      <c r="P966" s="98"/>
      <c r="Q966" s="98"/>
      <c r="R966" s="98"/>
    </row>
    <row r="967" spans="1:18" x14ac:dyDescent="0.25">
      <c r="A967" s="98"/>
      <c r="B967" s="98"/>
      <c r="C967" s="98"/>
      <c r="D967" s="98"/>
      <c r="E967" s="101"/>
      <c r="F967" s="101"/>
      <c r="G967" s="98"/>
      <c r="H967" s="101"/>
      <c r="I967" s="98"/>
      <c r="J967" s="98"/>
      <c r="K967" s="101"/>
      <c r="L967" s="98"/>
      <c r="M967" s="98"/>
      <c r="N967" s="98"/>
      <c r="O967" s="98"/>
      <c r="P967" s="98"/>
      <c r="Q967" s="98"/>
      <c r="R967" s="98"/>
    </row>
    <row r="968" spans="1:18" x14ac:dyDescent="0.25">
      <c r="A968" s="98"/>
      <c r="B968" s="98"/>
      <c r="C968" s="98"/>
      <c r="D968" s="98"/>
      <c r="E968" s="101"/>
      <c r="F968" s="101"/>
      <c r="G968" s="98"/>
      <c r="H968" s="101"/>
      <c r="I968" s="98"/>
      <c r="J968" s="98"/>
      <c r="K968" s="101"/>
      <c r="L968" s="98"/>
      <c r="M968" s="98"/>
      <c r="N968" s="98"/>
      <c r="O968" s="98"/>
      <c r="P968" s="98"/>
      <c r="Q968" s="98"/>
      <c r="R968" s="98"/>
    </row>
    <row r="969" spans="1:18" x14ac:dyDescent="0.25">
      <c r="A969" s="98"/>
      <c r="B969" s="98"/>
      <c r="C969" s="98"/>
      <c r="D969" s="98"/>
      <c r="E969" s="101"/>
      <c r="F969" s="101"/>
      <c r="G969" s="98"/>
      <c r="H969" s="101"/>
      <c r="I969" s="98"/>
      <c r="J969" s="98"/>
      <c r="K969" s="101"/>
      <c r="L969" s="98"/>
      <c r="M969" s="98"/>
      <c r="N969" s="98"/>
      <c r="O969" s="98"/>
      <c r="P969" s="98"/>
      <c r="Q969" s="98"/>
      <c r="R969" s="98"/>
    </row>
    <row r="970" spans="1:18" x14ac:dyDescent="0.25">
      <c r="A970" s="98"/>
      <c r="B970" s="98"/>
      <c r="C970" s="98"/>
      <c r="D970" s="98"/>
      <c r="E970" s="101"/>
      <c r="F970" s="101"/>
      <c r="G970" s="98"/>
      <c r="H970" s="101"/>
      <c r="I970" s="98"/>
      <c r="J970" s="98"/>
      <c r="K970" s="101"/>
      <c r="L970" s="98"/>
      <c r="M970" s="98"/>
      <c r="N970" s="98"/>
      <c r="O970" s="98"/>
      <c r="P970" s="98"/>
      <c r="Q970" s="98"/>
      <c r="R970" s="98"/>
    </row>
    <row r="971" spans="1:18" x14ac:dyDescent="0.25">
      <c r="A971" s="98"/>
      <c r="B971" s="98"/>
      <c r="C971" s="98"/>
      <c r="D971" s="98"/>
      <c r="E971" s="101"/>
      <c r="F971" s="101"/>
      <c r="G971" s="98"/>
      <c r="H971" s="101"/>
      <c r="I971" s="98"/>
      <c r="J971" s="98"/>
      <c r="K971" s="101"/>
      <c r="L971" s="98"/>
      <c r="M971" s="98"/>
      <c r="N971" s="98"/>
      <c r="O971" s="98"/>
      <c r="P971" s="98"/>
      <c r="Q971" s="98"/>
      <c r="R971" s="98"/>
    </row>
    <row r="972" spans="1:18" x14ac:dyDescent="0.25">
      <c r="A972" s="98"/>
      <c r="B972" s="98"/>
      <c r="C972" s="98"/>
      <c r="D972" s="98"/>
      <c r="E972" s="101"/>
      <c r="F972" s="101"/>
      <c r="G972" s="98"/>
      <c r="H972" s="101"/>
      <c r="I972" s="98"/>
      <c r="J972" s="98"/>
      <c r="K972" s="101"/>
      <c r="L972" s="98"/>
      <c r="M972" s="98"/>
      <c r="N972" s="98"/>
      <c r="O972" s="98"/>
      <c r="P972" s="98"/>
      <c r="Q972" s="98"/>
      <c r="R972" s="98"/>
    </row>
    <row r="973" spans="1:18" x14ac:dyDescent="0.25">
      <c r="A973" s="98"/>
      <c r="B973" s="98"/>
      <c r="C973" s="98"/>
      <c r="D973" s="98"/>
      <c r="E973" s="101"/>
      <c r="F973" s="101"/>
      <c r="G973" s="98"/>
      <c r="H973" s="101"/>
      <c r="I973" s="98"/>
      <c r="J973" s="98"/>
      <c r="K973" s="101"/>
      <c r="L973" s="98"/>
      <c r="M973" s="98"/>
      <c r="N973" s="98"/>
      <c r="O973" s="98"/>
      <c r="P973" s="98"/>
      <c r="Q973" s="98"/>
      <c r="R973" s="98"/>
    </row>
    <row r="974" spans="1:18" x14ac:dyDescent="0.25">
      <c r="A974" s="98"/>
      <c r="B974" s="98"/>
      <c r="C974" s="98"/>
      <c r="D974" s="98"/>
      <c r="E974" s="101"/>
      <c r="F974" s="101"/>
      <c r="G974" s="98"/>
      <c r="H974" s="101"/>
      <c r="I974" s="98"/>
      <c r="J974" s="98"/>
      <c r="K974" s="101"/>
      <c r="L974" s="98"/>
      <c r="M974" s="98"/>
      <c r="N974" s="98"/>
      <c r="O974" s="98"/>
      <c r="P974" s="98"/>
      <c r="Q974" s="98"/>
      <c r="R974" s="98"/>
    </row>
    <row r="975" spans="1:18" x14ac:dyDescent="0.25">
      <c r="A975" s="98"/>
      <c r="B975" s="98"/>
      <c r="C975" s="98"/>
      <c r="D975" s="98"/>
      <c r="E975" s="101"/>
      <c r="F975" s="101"/>
      <c r="G975" s="98"/>
      <c r="H975" s="101"/>
      <c r="I975" s="98"/>
      <c r="J975" s="98"/>
      <c r="K975" s="101"/>
      <c r="L975" s="98"/>
      <c r="M975" s="98"/>
      <c r="N975" s="98"/>
      <c r="O975" s="98"/>
      <c r="P975" s="98"/>
      <c r="Q975" s="98"/>
      <c r="R975" s="98"/>
    </row>
    <row r="976" spans="1:18" x14ac:dyDescent="0.25">
      <c r="A976" s="98"/>
      <c r="B976" s="98"/>
      <c r="C976" s="98"/>
      <c r="D976" s="98"/>
      <c r="E976" s="101"/>
      <c r="F976" s="101"/>
      <c r="G976" s="98"/>
      <c r="H976" s="101"/>
      <c r="I976" s="98"/>
      <c r="J976" s="98"/>
      <c r="K976" s="101"/>
      <c r="L976" s="98"/>
      <c r="M976" s="98"/>
      <c r="N976" s="98"/>
      <c r="O976" s="98"/>
      <c r="P976" s="98"/>
      <c r="Q976" s="98"/>
      <c r="R976" s="98"/>
    </row>
    <row r="977" spans="1:18" x14ac:dyDescent="0.25">
      <c r="A977" s="98"/>
      <c r="B977" s="98"/>
      <c r="C977" s="98"/>
      <c r="D977" s="98"/>
      <c r="E977" s="101"/>
      <c r="F977" s="101"/>
      <c r="G977" s="98"/>
      <c r="H977" s="101"/>
      <c r="I977" s="98"/>
      <c r="J977" s="98"/>
      <c r="K977" s="101"/>
      <c r="L977" s="98"/>
      <c r="M977" s="98"/>
      <c r="N977" s="98"/>
      <c r="O977" s="98"/>
      <c r="P977" s="98"/>
      <c r="Q977" s="98"/>
      <c r="R977" s="98"/>
    </row>
    <row r="978" spans="1:18" x14ac:dyDescent="0.25">
      <c r="A978" s="98"/>
      <c r="B978" s="98"/>
      <c r="C978" s="98"/>
      <c r="D978" s="98"/>
      <c r="E978" s="101"/>
      <c r="F978" s="101"/>
      <c r="G978" s="98"/>
      <c r="H978" s="101"/>
      <c r="I978" s="98"/>
      <c r="J978" s="98"/>
      <c r="K978" s="101"/>
      <c r="L978" s="98"/>
      <c r="M978" s="98"/>
      <c r="N978" s="98"/>
      <c r="O978" s="98"/>
      <c r="P978" s="98"/>
      <c r="Q978" s="98"/>
      <c r="R978" s="98"/>
    </row>
    <row r="979" spans="1:18" x14ac:dyDescent="0.25">
      <c r="A979" s="98"/>
      <c r="B979" s="98"/>
      <c r="C979" s="98"/>
      <c r="D979" s="98"/>
      <c r="E979" s="101"/>
      <c r="F979" s="101"/>
      <c r="G979" s="98"/>
      <c r="H979" s="101"/>
      <c r="I979" s="98"/>
      <c r="J979" s="98"/>
      <c r="K979" s="101"/>
      <c r="L979" s="98"/>
      <c r="M979" s="98"/>
      <c r="N979" s="98"/>
      <c r="O979" s="98"/>
      <c r="P979" s="98"/>
      <c r="Q979" s="98"/>
      <c r="R979" s="98"/>
    </row>
    <row r="980" spans="1:18" x14ac:dyDescent="0.25">
      <c r="A980" s="98"/>
      <c r="B980" s="98"/>
      <c r="C980" s="98"/>
      <c r="D980" s="98"/>
      <c r="E980" s="101"/>
      <c r="F980" s="101"/>
      <c r="G980" s="98"/>
      <c r="H980" s="101"/>
      <c r="I980" s="98"/>
      <c r="J980" s="98"/>
      <c r="K980" s="101"/>
      <c r="L980" s="98"/>
      <c r="M980" s="98"/>
      <c r="N980" s="98"/>
      <c r="O980" s="98"/>
      <c r="P980" s="98"/>
      <c r="Q980" s="98"/>
      <c r="R980" s="98"/>
    </row>
    <row r="981" spans="1:18" x14ac:dyDescent="0.25">
      <c r="A981" s="98"/>
      <c r="B981" s="98"/>
      <c r="C981" s="98"/>
      <c r="D981" s="98"/>
      <c r="E981" s="101"/>
      <c r="F981" s="101"/>
      <c r="G981" s="98"/>
      <c r="H981" s="101"/>
      <c r="I981" s="98"/>
      <c r="J981" s="98"/>
      <c r="K981" s="101"/>
      <c r="L981" s="98"/>
      <c r="M981" s="98"/>
      <c r="N981" s="98"/>
      <c r="O981" s="98"/>
      <c r="P981" s="98"/>
      <c r="Q981" s="98"/>
      <c r="R981" s="98"/>
    </row>
    <row r="982" spans="1:18" x14ac:dyDescent="0.25">
      <c r="A982" s="98"/>
      <c r="B982" s="98"/>
      <c r="C982" s="98"/>
      <c r="D982" s="98"/>
      <c r="E982" s="101"/>
      <c r="F982" s="101"/>
      <c r="G982" s="98"/>
      <c r="H982" s="101"/>
      <c r="I982" s="98"/>
      <c r="J982" s="98"/>
      <c r="K982" s="101"/>
      <c r="L982" s="98"/>
      <c r="M982" s="98"/>
      <c r="N982" s="98"/>
      <c r="O982" s="98"/>
      <c r="P982" s="98"/>
      <c r="Q982" s="98"/>
      <c r="R982" s="98"/>
    </row>
    <row r="983" spans="1:18" x14ac:dyDescent="0.25">
      <c r="A983" s="98"/>
      <c r="B983" s="98"/>
      <c r="C983" s="98"/>
      <c r="D983" s="98"/>
      <c r="E983" s="101"/>
      <c r="F983" s="101"/>
      <c r="G983" s="98"/>
      <c r="H983" s="101"/>
      <c r="I983" s="98"/>
      <c r="J983" s="98"/>
      <c r="K983" s="101"/>
      <c r="L983" s="98"/>
      <c r="M983" s="98"/>
      <c r="N983" s="98"/>
      <c r="O983" s="98"/>
      <c r="P983" s="98"/>
      <c r="Q983" s="98"/>
      <c r="R983" s="98"/>
    </row>
    <row r="984" spans="1:18" x14ac:dyDescent="0.25">
      <c r="A984" s="98"/>
      <c r="B984" s="98"/>
      <c r="C984" s="98"/>
      <c r="D984" s="98"/>
      <c r="E984" s="101"/>
      <c r="F984" s="101"/>
      <c r="G984" s="98"/>
      <c r="H984" s="101"/>
      <c r="I984" s="98"/>
      <c r="J984" s="98"/>
      <c r="K984" s="101"/>
      <c r="L984" s="98"/>
      <c r="M984" s="98"/>
      <c r="N984" s="98"/>
      <c r="O984" s="98"/>
      <c r="P984" s="98"/>
      <c r="Q984" s="98"/>
      <c r="R984" s="98"/>
    </row>
    <row r="985" spans="1:18" x14ac:dyDescent="0.25">
      <c r="A985" s="98"/>
      <c r="B985" s="98"/>
      <c r="C985" s="98"/>
      <c r="D985" s="98"/>
      <c r="E985" s="101"/>
      <c r="F985" s="101"/>
      <c r="G985" s="98"/>
      <c r="H985" s="101"/>
      <c r="I985" s="98"/>
      <c r="J985" s="98"/>
      <c r="K985" s="101"/>
      <c r="L985" s="98"/>
      <c r="M985" s="98"/>
      <c r="N985" s="98"/>
      <c r="O985" s="98"/>
      <c r="P985" s="98"/>
      <c r="Q985" s="98"/>
      <c r="R985" s="98"/>
    </row>
    <row r="986" spans="1:18" x14ac:dyDescent="0.25">
      <c r="A986" s="98"/>
      <c r="B986" s="98"/>
      <c r="C986" s="98"/>
      <c r="D986" s="98"/>
      <c r="E986" s="101"/>
      <c r="F986" s="101"/>
      <c r="G986" s="98"/>
      <c r="H986" s="101"/>
      <c r="I986" s="98"/>
      <c r="J986" s="98"/>
      <c r="K986" s="101"/>
      <c r="L986" s="98"/>
      <c r="M986" s="98"/>
      <c r="N986" s="98"/>
      <c r="O986" s="98"/>
      <c r="P986" s="98"/>
      <c r="Q986" s="98"/>
      <c r="R986" s="98"/>
    </row>
    <row r="987" spans="1:18" x14ac:dyDescent="0.25">
      <c r="A987" s="98"/>
      <c r="B987" s="98"/>
      <c r="C987" s="98"/>
      <c r="D987" s="98"/>
      <c r="E987" s="101"/>
      <c r="F987" s="101"/>
      <c r="G987" s="98"/>
      <c r="H987" s="101"/>
      <c r="I987" s="98"/>
      <c r="J987" s="98"/>
      <c r="K987" s="101"/>
      <c r="L987" s="98"/>
      <c r="M987" s="98"/>
      <c r="N987" s="98"/>
      <c r="O987" s="98"/>
      <c r="P987" s="98"/>
      <c r="Q987" s="98"/>
      <c r="R987" s="98"/>
    </row>
    <row r="988" spans="1:18" x14ac:dyDescent="0.25">
      <c r="A988" s="98"/>
      <c r="B988" s="98"/>
      <c r="C988" s="98"/>
      <c r="D988" s="98"/>
      <c r="E988" s="101"/>
      <c r="F988" s="101"/>
      <c r="G988" s="98"/>
      <c r="H988" s="101"/>
      <c r="I988" s="98"/>
      <c r="J988" s="98"/>
      <c r="K988" s="101"/>
      <c r="L988" s="98"/>
      <c r="M988" s="98"/>
      <c r="N988" s="98"/>
      <c r="O988" s="98"/>
      <c r="P988" s="98"/>
      <c r="Q988" s="98"/>
      <c r="R988" s="98"/>
    </row>
    <row r="989" spans="1:18" x14ac:dyDescent="0.25">
      <c r="A989" s="98"/>
      <c r="B989" s="98"/>
      <c r="C989" s="98"/>
      <c r="D989" s="98"/>
      <c r="E989" s="101"/>
      <c r="F989" s="101"/>
      <c r="G989" s="98"/>
      <c r="H989" s="101"/>
      <c r="I989" s="98"/>
      <c r="J989" s="98"/>
      <c r="K989" s="101"/>
      <c r="L989" s="98"/>
      <c r="M989" s="98"/>
      <c r="N989" s="98"/>
      <c r="O989" s="98"/>
      <c r="P989" s="98"/>
      <c r="Q989" s="98"/>
      <c r="R989" s="98"/>
    </row>
    <row r="990" spans="1:18" x14ac:dyDescent="0.25">
      <c r="A990" s="98"/>
      <c r="B990" s="98"/>
      <c r="C990" s="98"/>
      <c r="D990" s="98"/>
      <c r="E990" s="101"/>
      <c r="F990" s="101"/>
      <c r="G990" s="98"/>
      <c r="H990" s="101"/>
      <c r="I990" s="98"/>
      <c r="J990" s="98"/>
      <c r="K990" s="101"/>
      <c r="L990" s="98"/>
      <c r="M990" s="98"/>
      <c r="N990" s="98"/>
      <c r="O990" s="98"/>
      <c r="P990" s="98"/>
      <c r="Q990" s="98"/>
      <c r="R990" s="98"/>
    </row>
    <row r="991" spans="1:18" x14ac:dyDescent="0.25">
      <c r="A991" s="98"/>
      <c r="B991" s="98"/>
      <c r="C991" s="98"/>
      <c r="D991" s="98"/>
      <c r="E991" s="101"/>
      <c r="F991" s="101"/>
      <c r="G991" s="98"/>
      <c r="H991" s="101"/>
      <c r="I991" s="98"/>
      <c r="J991" s="98"/>
      <c r="K991" s="101"/>
      <c r="L991" s="98"/>
      <c r="M991" s="98"/>
      <c r="N991" s="98"/>
      <c r="O991" s="98"/>
      <c r="P991" s="98"/>
      <c r="Q991" s="98"/>
      <c r="R991" s="98"/>
    </row>
    <row r="992" spans="1:18" x14ac:dyDescent="0.25">
      <c r="A992" s="98"/>
      <c r="B992" s="98"/>
      <c r="C992" s="98"/>
      <c r="D992" s="98"/>
      <c r="E992" s="101"/>
      <c r="F992" s="101"/>
      <c r="G992" s="98"/>
      <c r="H992" s="101"/>
      <c r="I992" s="98"/>
      <c r="J992" s="98"/>
      <c r="K992" s="101"/>
      <c r="L992" s="98"/>
      <c r="M992" s="98"/>
      <c r="N992" s="98"/>
      <c r="O992" s="98"/>
      <c r="P992" s="98"/>
      <c r="Q992" s="98"/>
      <c r="R992" s="98"/>
    </row>
    <row r="993" spans="1:18" x14ac:dyDescent="0.25">
      <c r="A993" s="98"/>
      <c r="B993" s="98"/>
      <c r="C993" s="98"/>
      <c r="D993" s="98"/>
      <c r="E993" s="101"/>
      <c r="F993" s="101"/>
      <c r="G993" s="98"/>
      <c r="H993" s="101"/>
      <c r="I993" s="98"/>
      <c r="J993" s="98"/>
      <c r="K993" s="101"/>
      <c r="L993" s="98"/>
      <c r="M993" s="98"/>
      <c r="N993" s="98"/>
      <c r="O993" s="98"/>
      <c r="P993" s="98"/>
      <c r="Q993" s="98"/>
      <c r="R993" s="98"/>
    </row>
    <row r="994" spans="1:18" x14ac:dyDescent="0.25">
      <c r="A994" s="98"/>
      <c r="B994" s="98"/>
      <c r="C994" s="98"/>
      <c r="D994" s="98"/>
      <c r="E994" s="101"/>
      <c r="F994" s="101"/>
      <c r="G994" s="98"/>
      <c r="H994" s="101"/>
      <c r="I994" s="98"/>
      <c r="J994" s="98"/>
      <c r="K994" s="101"/>
      <c r="L994" s="98"/>
      <c r="M994" s="98"/>
      <c r="N994" s="98"/>
      <c r="O994" s="98"/>
      <c r="P994" s="98"/>
      <c r="Q994" s="98"/>
      <c r="R994" s="98"/>
    </row>
    <row r="995" spans="1:18" x14ac:dyDescent="0.25">
      <c r="A995" s="98"/>
      <c r="B995" s="98"/>
      <c r="C995" s="98"/>
      <c r="D995" s="98"/>
      <c r="E995" s="101"/>
      <c r="F995" s="101"/>
      <c r="G995" s="98"/>
      <c r="H995" s="101"/>
      <c r="I995" s="98"/>
      <c r="J995" s="98"/>
      <c r="K995" s="101"/>
      <c r="L995" s="98"/>
      <c r="M995" s="98"/>
      <c r="N995" s="98"/>
      <c r="O995" s="98"/>
      <c r="P995" s="98"/>
      <c r="Q995" s="98"/>
      <c r="R995" s="98"/>
    </row>
    <row r="996" spans="1:18" x14ac:dyDescent="0.25">
      <c r="A996" s="98"/>
      <c r="B996" s="98"/>
      <c r="C996" s="98"/>
      <c r="D996" s="98"/>
      <c r="E996" s="101"/>
      <c r="F996" s="101"/>
      <c r="G996" s="98"/>
      <c r="H996" s="101"/>
      <c r="I996" s="98"/>
      <c r="J996" s="98"/>
      <c r="K996" s="101"/>
      <c r="L996" s="98"/>
      <c r="M996" s="98"/>
      <c r="N996" s="98"/>
      <c r="O996" s="98"/>
      <c r="P996" s="98"/>
      <c r="Q996" s="98"/>
      <c r="R996" s="98"/>
    </row>
    <row r="997" spans="1:18" x14ac:dyDescent="0.25">
      <c r="A997" s="98"/>
      <c r="B997" s="98"/>
      <c r="C997" s="98"/>
      <c r="D997" s="98"/>
      <c r="E997" s="101"/>
      <c r="F997" s="101"/>
      <c r="G997" s="98"/>
      <c r="H997" s="101"/>
      <c r="I997" s="98"/>
      <c r="J997" s="98"/>
      <c r="K997" s="101"/>
      <c r="L997" s="98"/>
      <c r="M997" s="98"/>
      <c r="N997" s="98"/>
      <c r="O997" s="98"/>
      <c r="P997" s="98"/>
      <c r="Q997" s="98"/>
      <c r="R997" s="98"/>
    </row>
    <row r="998" spans="1:18" x14ac:dyDescent="0.25">
      <c r="A998" s="98"/>
      <c r="B998" s="98"/>
      <c r="C998" s="98"/>
      <c r="D998" s="98"/>
      <c r="E998" s="101"/>
      <c r="F998" s="101"/>
      <c r="G998" s="98"/>
      <c r="H998" s="101"/>
      <c r="I998" s="98"/>
      <c r="J998" s="98"/>
      <c r="K998" s="101"/>
      <c r="L998" s="98"/>
      <c r="M998" s="98"/>
      <c r="N998" s="98"/>
      <c r="O998" s="98"/>
      <c r="P998" s="98"/>
      <c r="Q998" s="98"/>
      <c r="R998" s="98"/>
    </row>
    <row r="999" spans="1:18" x14ac:dyDescent="0.25">
      <c r="A999" s="98"/>
      <c r="B999" s="98"/>
      <c r="C999" s="98"/>
      <c r="D999" s="98"/>
      <c r="E999" s="101"/>
      <c r="F999" s="101"/>
      <c r="G999" s="98"/>
      <c r="H999" s="101"/>
      <c r="I999" s="98"/>
      <c r="J999" s="98"/>
      <c r="K999" s="101"/>
      <c r="L999" s="98"/>
      <c r="M999" s="98"/>
      <c r="N999" s="98"/>
      <c r="O999" s="98"/>
      <c r="P999" s="98"/>
      <c r="Q999" s="98"/>
      <c r="R999" s="98"/>
    </row>
    <row r="1000" spans="1:18" x14ac:dyDescent="0.25">
      <c r="A1000" s="98"/>
      <c r="B1000" s="98"/>
      <c r="C1000" s="98"/>
      <c r="D1000" s="98"/>
      <c r="E1000" s="101"/>
      <c r="F1000" s="101"/>
      <c r="G1000" s="98"/>
      <c r="H1000" s="101"/>
      <c r="I1000" s="98"/>
      <c r="J1000" s="98"/>
      <c r="K1000" s="101"/>
      <c r="L1000" s="98"/>
      <c r="M1000" s="98"/>
      <c r="N1000" s="98"/>
      <c r="O1000" s="98"/>
      <c r="P1000" s="98"/>
      <c r="Q1000" s="98"/>
      <c r="R1000" s="98"/>
    </row>
    <row r="1001" spans="1:18" x14ac:dyDescent="0.25">
      <c r="A1001" s="98"/>
      <c r="B1001" s="98"/>
      <c r="C1001" s="98"/>
      <c r="D1001" s="98"/>
      <c r="E1001" s="101"/>
      <c r="F1001" s="101"/>
      <c r="G1001" s="98"/>
      <c r="H1001" s="101"/>
      <c r="I1001" s="98"/>
      <c r="J1001" s="98"/>
      <c r="K1001" s="101"/>
      <c r="L1001" s="98"/>
      <c r="M1001" s="98"/>
      <c r="N1001" s="98"/>
      <c r="O1001" s="98"/>
      <c r="P1001" s="98"/>
      <c r="Q1001" s="98"/>
      <c r="R1001" s="98"/>
    </row>
    <row r="1002" spans="1:18" x14ac:dyDescent="0.25">
      <c r="A1002" s="98"/>
      <c r="B1002" s="98"/>
      <c r="C1002" s="98"/>
      <c r="D1002" s="98"/>
      <c r="E1002" s="101"/>
      <c r="F1002" s="101"/>
      <c r="G1002" s="98"/>
      <c r="H1002" s="101"/>
      <c r="I1002" s="98"/>
      <c r="J1002" s="98"/>
      <c r="K1002" s="101"/>
      <c r="L1002" s="98"/>
      <c r="M1002" s="98"/>
      <c r="N1002" s="98"/>
      <c r="O1002" s="98"/>
      <c r="P1002" s="98"/>
      <c r="Q1002" s="98"/>
      <c r="R1002" s="98"/>
    </row>
    <row r="1003" spans="1:18" x14ac:dyDescent="0.25">
      <c r="A1003" s="98"/>
      <c r="B1003" s="98"/>
      <c r="C1003" s="98"/>
      <c r="D1003" s="98"/>
      <c r="E1003" s="101"/>
      <c r="F1003" s="101"/>
      <c r="G1003" s="98"/>
      <c r="H1003" s="101"/>
      <c r="I1003" s="98"/>
      <c r="J1003" s="98"/>
      <c r="K1003" s="101"/>
      <c r="L1003" s="98"/>
      <c r="M1003" s="98"/>
      <c r="N1003" s="98"/>
      <c r="O1003" s="98"/>
      <c r="P1003" s="98"/>
      <c r="Q1003" s="98"/>
      <c r="R1003" s="98"/>
    </row>
    <row r="1004" spans="1:18" x14ac:dyDescent="0.25">
      <c r="A1004" s="98"/>
      <c r="B1004" s="98"/>
      <c r="C1004" s="98"/>
      <c r="D1004" s="98"/>
      <c r="E1004" s="101"/>
      <c r="F1004" s="101"/>
      <c r="G1004" s="98"/>
      <c r="H1004" s="101"/>
      <c r="I1004" s="98"/>
      <c r="J1004" s="98"/>
      <c r="K1004" s="101"/>
      <c r="L1004" s="98"/>
      <c r="M1004" s="98"/>
      <c r="N1004" s="98"/>
      <c r="O1004" s="98"/>
      <c r="P1004" s="98"/>
      <c r="Q1004" s="98"/>
      <c r="R1004" s="98"/>
    </row>
    <row r="1005" spans="1:18" x14ac:dyDescent="0.25">
      <c r="A1005" s="98"/>
      <c r="B1005" s="98"/>
      <c r="C1005" s="98"/>
      <c r="D1005" s="98"/>
      <c r="E1005" s="101"/>
      <c r="F1005" s="101"/>
      <c r="G1005" s="98"/>
      <c r="H1005" s="101"/>
      <c r="I1005" s="98"/>
      <c r="J1005" s="98"/>
      <c r="K1005" s="101"/>
      <c r="L1005" s="98"/>
      <c r="M1005" s="98"/>
      <c r="N1005" s="98"/>
      <c r="O1005" s="98"/>
      <c r="P1005" s="98"/>
      <c r="Q1005" s="98"/>
      <c r="R1005" s="98"/>
    </row>
    <row r="1006" spans="1:18" x14ac:dyDescent="0.25">
      <c r="A1006" s="98"/>
      <c r="B1006" s="98"/>
      <c r="C1006" s="98"/>
      <c r="D1006" s="98"/>
      <c r="E1006" s="101"/>
      <c r="F1006" s="101"/>
      <c r="G1006" s="98"/>
      <c r="H1006" s="101"/>
      <c r="I1006" s="98"/>
      <c r="J1006" s="98"/>
      <c r="K1006" s="101"/>
      <c r="L1006" s="98"/>
      <c r="M1006" s="98"/>
      <c r="N1006" s="98"/>
      <c r="O1006" s="98"/>
      <c r="P1006" s="98"/>
      <c r="Q1006" s="98"/>
      <c r="R1006" s="98"/>
    </row>
    <row r="1007" spans="1:18" x14ac:dyDescent="0.25">
      <c r="A1007" s="98"/>
      <c r="B1007" s="98"/>
      <c r="C1007" s="98"/>
      <c r="D1007" s="98"/>
      <c r="E1007" s="101"/>
      <c r="F1007" s="101"/>
      <c r="G1007" s="98"/>
      <c r="H1007" s="101"/>
      <c r="I1007" s="98"/>
      <c r="J1007" s="98"/>
      <c r="K1007" s="101"/>
      <c r="L1007" s="98"/>
      <c r="M1007" s="98"/>
      <c r="N1007" s="98"/>
      <c r="O1007" s="98"/>
      <c r="P1007" s="98"/>
      <c r="Q1007" s="98"/>
      <c r="R1007" s="98"/>
    </row>
    <row r="1008" spans="1:18" x14ac:dyDescent="0.25">
      <c r="A1008" s="98"/>
      <c r="B1008" s="98"/>
      <c r="C1008" s="98"/>
      <c r="D1008" s="98"/>
      <c r="E1008" s="101"/>
      <c r="F1008" s="101"/>
      <c r="G1008" s="98"/>
      <c r="H1008" s="101"/>
      <c r="I1008" s="98"/>
      <c r="J1008" s="98"/>
      <c r="K1008" s="101"/>
      <c r="L1008" s="98"/>
      <c r="M1008" s="98"/>
      <c r="N1008" s="98"/>
      <c r="O1008" s="98"/>
      <c r="P1008" s="98"/>
      <c r="Q1008" s="98"/>
      <c r="R1008" s="98"/>
    </row>
    <row r="1009" spans="1:18" x14ac:dyDescent="0.25">
      <c r="A1009" s="98"/>
      <c r="B1009" s="98"/>
      <c r="C1009" s="98"/>
      <c r="D1009" s="98"/>
      <c r="E1009" s="101"/>
      <c r="F1009" s="101"/>
      <c r="G1009" s="98"/>
      <c r="H1009" s="101"/>
      <c r="I1009" s="98"/>
      <c r="J1009" s="98"/>
      <c r="K1009" s="101"/>
      <c r="L1009" s="98"/>
      <c r="M1009" s="98"/>
      <c r="N1009" s="98"/>
      <c r="O1009" s="98"/>
      <c r="P1009" s="98"/>
      <c r="Q1009" s="98"/>
      <c r="R1009" s="98"/>
    </row>
    <row r="1010" spans="1:18" x14ac:dyDescent="0.25">
      <c r="A1010" s="98"/>
      <c r="B1010" s="98"/>
      <c r="C1010" s="98"/>
      <c r="D1010" s="98"/>
      <c r="E1010" s="101"/>
      <c r="F1010" s="101"/>
      <c r="G1010" s="98"/>
      <c r="H1010" s="101"/>
      <c r="I1010" s="98"/>
      <c r="J1010" s="98"/>
      <c r="K1010" s="101"/>
      <c r="L1010" s="98"/>
      <c r="M1010" s="98"/>
      <c r="N1010" s="98"/>
      <c r="O1010" s="98"/>
      <c r="P1010" s="98"/>
      <c r="Q1010" s="98"/>
      <c r="R1010" s="98"/>
    </row>
    <row r="1011" spans="1:18" x14ac:dyDescent="0.25">
      <c r="A1011" s="98"/>
      <c r="B1011" s="98"/>
      <c r="C1011" s="98"/>
      <c r="D1011" s="98"/>
      <c r="E1011" s="101"/>
      <c r="F1011" s="101"/>
      <c r="G1011" s="98"/>
      <c r="H1011" s="101"/>
      <c r="I1011" s="98"/>
      <c r="J1011" s="98"/>
      <c r="K1011" s="101"/>
      <c r="L1011" s="98"/>
      <c r="M1011" s="98"/>
      <c r="N1011" s="98"/>
      <c r="O1011" s="98"/>
      <c r="P1011" s="98"/>
      <c r="Q1011" s="98"/>
      <c r="R1011" s="9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2B8-D3DE-4309-877D-DBFF137CD21F}">
  <dimension ref="B1:J32"/>
  <sheetViews>
    <sheetView workbookViewId="0">
      <selection activeCell="J16" sqref="J16"/>
    </sheetView>
  </sheetViews>
  <sheetFormatPr baseColWidth="10" defaultRowHeight="15" x14ac:dyDescent="0.25"/>
  <cols>
    <col min="1" max="1" width="5.42578125" customWidth="1"/>
    <col min="2" max="2" width="15.140625" customWidth="1"/>
    <col min="3" max="3" width="19.42578125" customWidth="1"/>
    <col min="4" max="4" width="7.85546875" customWidth="1"/>
    <col min="5" max="5" width="7.42578125" customWidth="1"/>
    <col min="6" max="6" width="46.42578125" customWidth="1"/>
    <col min="7" max="7" width="14.28515625" customWidth="1"/>
    <col min="8" max="8" width="9.85546875" customWidth="1"/>
  </cols>
  <sheetData>
    <row r="1" spans="2:10" ht="15.75" thickBot="1" x14ac:dyDescent="0.3"/>
    <row r="2" spans="2:10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10" ht="15.75" thickBot="1" x14ac:dyDescent="0.3">
      <c r="B3" s="268" t="s">
        <v>464</v>
      </c>
      <c r="C3" s="269"/>
      <c r="D3" s="269"/>
      <c r="E3" s="269"/>
      <c r="F3" s="269"/>
      <c r="G3" s="269"/>
      <c r="H3" s="270"/>
    </row>
    <row r="4" spans="2:10" ht="15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5028</v>
      </c>
    </row>
    <row r="5" spans="2:10" ht="16.5" thickBot="1" x14ac:dyDescent="0.3">
      <c r="B5" s="277" t="s">
        <v>425</v>
      </c>
      <c r="C5" s="278"/>
      <c r="D5" s="278"/>
      <c r="E5" s="278"/>
      <c r="F5" s="278"/>
      <c r="G5" s="278"/>
    </row>
    <row r="6" spans="2:10" ht="16.5" thickBot="1" x14ac:dyDescent="0.3">
      <c r="B6" s="271" t="s">
        <v>2372</v>
      </c>
      <c r="C6" s="272"/>
      <c r="D6" s="272"/>
      <c r="E6" s="272"/>
      <c r="F6" s="272"/>
      <c r="G6" s="272"/>
      <c r="H6" s="273"/>
    </row>
    <row r="7" spans="2:10" x14ac:dyDescent="0.25">
      <c r="B7" s="53" t="s">
        <v>436</v>
      </c>
      <c r="C7" s="54" t="s">
        <v>437</v>
      </c>
      <c r="D7" s="54" t="s">
        <v>514</v>
      </c>
      <c r="E7" s="54">
        <v>1</v>
      </c>
      <c r="F7" s="54" t="s">
        <v>5086</v>
      </c>
      <c r="G7" s="4"/>
      <c r="H7" s="164">
        <v>13343</v>
      </c>
      <c r="J7" s="215"/>
    </row>
    <row r="8" spans="2:10" x14ac:dyDescent="0.25">
      <c r="B8" s="55" t="s">
        <v>438</v>
      </c>
      <c r="C8" s="56" t="s">
        <v>439</v>
      </c>
      <c r="D8" s="56" t="s">
        <v>514</v>
      </c>
      <c r="E8" s="56">
        <v>1</v>
      </c>
      <c r="F8" s="56" t="s">
        <v>5087</v>
      </c>
      <c r="G8" s="5"/>
      <c r="H8" s="68">
        <v>16489</v>
      </c>
      <c r="J8" s="215"/>
    </row>
    <row r="9" spans="2:10" ht="15.75" thickBot="1" x14ac:dyDescent="0.3">
      <c r="B9" s="57" t="s">
        <v>440</v>
      </c>
      <c r="C9" s="58" t="s">
        <v>441</v>
      </c>
      <c r="D9" s="58" t="s">
        <v>514</v>
      </c>
      <c r="E9" s="58">
        <v>1</v>
      </c>
      <c r="F9" s="58" t="s">
        <v>5088</v>
      </c>
      <c r="G9" s="6"/>
      <c r="H9" s="165">
        <v>19249</v>
      </c>
      <c r="J9" s="215"/>
    </row>
    <row r="10" spans="2:10" ht="16.5" thickBot="1" x14ac:dyDescent="0.3">
      <c r="B10" s="271" t="s">
        <v>2373</v>
      </c>
      <c r="C10" s="272"/>
      <c r="D10" s="272"/>
      <c r="E10" s="272"/>
      <c r="F10" s="272"/>
      <c r="G10" s="272"/>
      <c r="H10" s="273"/>
      <c r="J10" s="215"/>
    </row>
    <row r="11" spans="2:10" ht="15.75" customHeight="1" x14ac:dyDescent="0.25">
      <c r="B11" s="131" t="s">
        <v>442</v>
      </c>
      <c r="C11" s="132" t="s">
        <v>471</v>
      </c>
      <c r="D11" s="132" t="s">
        <v>514</v>
      </c>
      <c r="E11" s="132">
        <v>1</v>
      </c>
      <c r="F11" s="132" t="s">
        <v>5089</v>
      </c>
      <c r="G11" s="133"/>
      <c r="H11" s="134">
        <v>23283</v>
      </c>
      <c r="J11" s="215"/>
    </row>
    <row r="12" spans="2:10" ht="15.75" customHeight="1" x14ac:dyDescent="0.25">
      <c r="B12" s="55" t="s">
        <v>443</v>
      </c>
      <c r="C12" s="56" t="s">
        <v>472</v>
      </c>
      <c r="D12" s="56" t="s">
        <v>514</v>
      </c>
      <c r="E12" s="56">
        <v>1</v>
      </c>
      <c r="F12" s="56" t="s">
        <v>5090</v>
      </c>
      <c r="G12" s="5"/>
      <c r="H12" s="134">
        <v>29490</v>
      </c>
      <c r="J12" s="215"/>
    </row>
    <row r="13" spans="2:10" ht="15.75" customHeight="1" thickBot="1" x14ac:dyDescent="0.3">
      <c r="B13" s="126" t="s">
        <v>444</v>
      </c>
      <c r="C13" s="127" t="s">
        <v>473</v>
      </c>
      <c r="D13" s="127" t="s">
        <v>514</v>
      </c>
      <c r="E13" s="127">
        <v>1</v>
      </c>
      <c r="F13" s="127" t="s">
        <v>5091</v>
      </c>
      <c r="G13" s="135"/>
      <c r="H13" s="134">
        <v>34282</v>
      </c>
      <c r="J13" s="215"/>
    </row>
    <row r="14" spans="2:10" ht="15.75" customHeight="1" thickBot="1" x14ac:dyDescent="0.3">
      <c r="B14" s="271" t="s">
        <v>2374</v>
      </c>
      <c r="C14" s="272"/>
      <c r="D14" s="272"/>
      <c r="E14" s="272"/>
      <c r="F14" s="272"/>
      <c r="G14" s="272"/>
      <c r="H14" s="273"/>
      <c r="J14" s="215"/>
    </row>
    <row r="15" spans="2:10" ht="15.75" customHeight="1" x14ac:dyDescent="0.25">
      <c r="B15" s="53" t="s">
        <v>426</v>
      </c>
      <c r="C15" s="54" t="s">
        <v>427</v>
      </c>
      <c r="D15" s="54" t="s">
        <v>514</v>
      </c>
      <c r="E15" s="54">
        <v>1</v>
      </c>
      <c r="F15" s="54" t="s">
        <v>5083</v>
      </c>
      <c r="G15" s="4"/>
      <c r="H15" s="164">
        <f>_xlfn.XLOOKUP(B15,lista!A:A,lista!C:C,0,0)</f>
        <v>34508</v>
      </c>
      <c r="J15" s="215"/>
    </row>
    <row r="16" spans="2:10" ht="15.75" customHeight="1" x14ac:dyDescent="0.25">
      <c r="B16" s="55" t="s">
        <v>430</v>
      </c>
      <c r="C16" s="56" t="s">
        <v>431</v>
      </c>
      <c r="D16" s="56" t="s">
        <v>514</v>
      </c>
      <c r="E16" s="56">
        <v>1</v>
      </c>
      <c r="F16" s="56" t="s">
        <v>5084</v>
      </c>
      <c r="G16" s="5"/>
      <c r="H16" s="68">
        <f>_xlfn.XLOOKUP(B16,lista!A:A,lista!C:C,0,0)</f>
        <v>43780</v>
      </c>
      <c r="J16" s="215"/>
    </row>
    <row r="17" spans="2:10" ht="15.75" customHeight="1" thickBot="1" x14ac:dyDescent="0.3">
      <c r="B17" s="57" t="s">
        <v>433</v>
      </c>
      <c r="C17" s="58" t="s">
        <v>434</v>
      </c>
      <c r="D17" s="58" t="s">
        <v>514</v>
      </c>
      <c r="E17" s="58">
        <v>1</v>
      </c>
      <c r="F17" s="58" t="s">
        <v>5085</v>
      </c>
      <c r="G17" s="6"/>
      <c r="H17" s="165">
        <f>_xlfn.XLOOKUP(B17,lista!A:A,lista!C:C,0,0)</f>
        <v>51888</v>
      </c>
      <c r="J17" s="215"/>
    </row>
    <row r="18" spans="2:10" ht="15.75" customHeight="1" thickBot="1" x14ac:dyDescent="0.3">
      <c r="B18" s="271" t="s">
        <v>2371</v>
      </c>
      <c r="C18" s="272"/>
      <c r="D18" s="272"/>
      <c r="E18" s="272"/>
      <c r="F18" s="272"/>
      <c r="G18" s="272"/>
      <c r="H18" s="273"/>
      <c r="J18" s="215"/>
    </row>
    <row r="19" spans="2:10" ht="15.75" customHeight="1" x14ac:dyDescent="0.25">
      <c r="B19" s="55" t="s">
        <v>950</v>
      </c>
      <c r="C19" s="56" t="s">
        <v>951</v>
      </c>
      <c r="D19" s="56" t="s">
        <v>514</v>
      </c>
      <c r="E19" s="56">
        <v>1</v>
      </c>
      <c r="F19" s="56" t="s">
        <v>5101</v>
      </c>
      <c r="G19" s="5" t="s">
        <v>5062</v>
      </c>
      <c r="H19" s="68">
        <v>1375</v>
      </c>
      <c r="J19" s="215"/>
    </row>
    <row r="20" spans="2:10" ht="15.75" customHeight="1" thickBot="1" x14ac:dyDescent="0.3">
      <c r="B20" s="55" t="s">
        <v>952</v>
      </c>
      <c r="C20" s="56" t="s">
        <v>953</v>
      </c>
      <c r="D20" s="56" t="s">
        <v>514</v>
      </c>
      <c r="E20" s="56">
        <v>1</v>
      </c>
      <c r="F20" s="56" t="s">
        <v>5102</v>
      </c>
      <c r="G20" s="5" t="s">
        <v>5063</v>
      </c>
      <c r="H20" s="68">
        <v>2287</v>
      </c>
      <c r="J20" s="215"/>
    </row>
    <row r="21" spans="2:10" ht="15.75" customHeight="1" thickBot="1" x14ac:dyDescent="0.3">
      <c r="B21" s="271" t="s">
        <v>2375</v>
      </c>
      <c r="C21" s="272"/>
      <c r="D21" s="272"/>
      <c r="E21" s="272"/>
      <c r="F21" s="272"/>
      <c r="G21" s="272"/>
      <c r="H21" s="273"/>
      <c r="J21" s="215"/>
    </row>
    <row r="22" spans="2:10" ht="15.75" customHeight="1" x14ac:dyDescent="0.25">
      <c r="B22" s="53" t="s">
        <v>451</v>
      </c>
      <c r="C22" s="54" t="s">
        <v>452</v>
      </c>
      <c r="D22" s="54" t="s">
        <v>514</v>
      </c>
      <c r="E22" s="54">
        <v>1</v>
      </c>
      <c r="F22" s="54" t="s">
        <v>5096</v>
      </c>
      <c r="G22" s="4" t="s">
        <v>5066</v>
      </c>
      <c r="H22" s="71">
        <v>4416</v>
      </c>
      <c r="J22" s="215"/>
    </row>
    <row r="23" spans="2:10" ht="15.75" customHeight="1" x14ac:dyDescent="0.25">
      <c r="B23" s="55" t="s">
        <v>454</v>
      </c>
      <c r="C23" s="56" t="s">
        <v>455</v>
      </c>
      <c r="D23" s="56" t="s">
        <v>514</v>
      </c>
      <c r="E23" s="56">
        <v>1</v>
      </c>
      <c r="F23" s="56" t="s">
        <v>5097</v>
      </c>
      <c r="G23" s="5" t="s">
        <v>5067</v>
      </c>
      <c r="H23" s="68">
        <v>5733</v>
      </c>
      <c r="J23" s="215"/>
    </row>
    <row r="24" spans="2:10" ht="15.75" customHeight="1" x14ac:dyDescent="0.25">
      <c r="B24" s="55" t="s">
        <v>445</v>
      </c>
      <c r="C24" s="56" t="s">
        <v>446</v>
      </c>
      <c r="D24" s="56" t="s">
        <v>514</v>
      </c>
      <c r="E24" s="56">
        <v>1</v>
      </c>
      <c r="F24" s="56" t="s">
        <v>5093</v>
      </c>
      <c r="G24" s="5" t="s">
        <v>5064</v>
      </c>
      <c r="H24" s="68">
        <v>9255</v>
      </c>
      <c r="J24" s="215"/>
    </row>
    <row r="25" spans="2:10" ht="15.75" customHeight="1" x14ac:dyDescent="0.25">
      <c r="B25" s="55" t="s">
        <v>448</v>
      </c>
      <c r="C25" s="56" t="s">
        <v>449</v>
      </c>
      <c r="D25" s="56" t="s">
        <v>514</v>
      </c>
      <c r="E25" s="56">
        <v>1</v>
      </c>
      <c r="F25" s="56" t="s">
        <v>5094</v>
      </c>
      <c r="G25" s="5" t="s">
        <v>5065</v>
      </c>
      <c r="H25" s="68">
        <v>13184</v>
      </c>
      <c r="J25" s="215"/>
    </row>
    <row r="26" spans="2:10" ht="15.75" customHeight="1" x14ac:dyDescent="0.25">
      <c r="B26" s="55" t="s">
        <v>946</v>
      </c>
      <c r="C26" s="56" t="s">
        <v>947</v>
      </c>
      <c r="D26" s="56" t="s">
        <v>514</v>
      </c>
      <c r="E26" s="56">
        <v>1</v>
      </c>
      <c r="F26" s="56" t="s">
        <v>5095</v>
      </c>
      <c r="G26" s="5" t="s">
        <v>5064</v>
      </c>
      <c r="H26" s="68">
        <v>11297</v>
      </c>
      <c r="J26" s="215"/>
    </row>
    <row r="27" spans="2:10" ht="15.75" customHeight="1" thickBot="1" x14ac:dyDescent="0.3">
      <c r="B27" s="57" t="s">
        <v>948</v>
      </c>
      <c r="C27" s="58" t="s">
        <v>949</v>
      </c>
      <c r="D27" s="58" t="s">
        <v>514</v>
      </c>
      <c r="E27" s="58">
        <v>1</v>
      </c>
      <c r="F27" s="58" t="s">
        <v>5092</v>
      </c>
      <c r="G27" s="6" t="s">
        <v>5065</v>
      </c>
      <c r="H27" s="69">
        <v>14713</v>
      </c>
      <c r="J27" s="215"/>
    </row>
    <row r="28" spans="2:10" ht="15.75" customHeight="1" thickBot="1" x14ac:dyDescent="0.3">
      <c r="B28" s="274" t="s">
        <v>2376</v>
      </c>
      <c r="C28" s="275"/>
      <c r="D28" s="275"/>
      <c r="E28" s="275"/>
      <c r="F28" s="275"/>
      <c r="G28" s="275"/>
      <c r="H28" s="276"/>
      <c r="J28" s="215"/>
    </row>
    <row r="29" spans="2:10" x14ac:dyDescent="0.25">
      <c r="B29" s="53" t="s">
        <v>944</v>
      </c>
      <c r="C29" s="54" t="s">
        <v>945</v>
      </c>
      <c r="D29" s="54" t="s">
        <v>514</v>
      </c>
      <c r="E29" s="54">
        <v>1</v>
      </c>
      <c r="F29" s="54" t="s">
        <v>5098</v>
      </c>
      <c r="G29" s="136"/>
      <c r="H29" s="71">
        <v>33577</v>
      </c>
      <c r="J29" s="215"/>
    </row>
    <row r="30" spans="2:10" ht="15.75" customHeight="1" x14ac:dyDescent="0.25">
      <c r="B30" s="55" t="s">
        <v>940</v>
      </c>
      <c r="C30" s="56" t="s">
        <v>941</v>
      </c>
      <c r="D30" s="56" t="s">
        <v>514</v>
      </c>
      <c r="E30" s="56">
        <v>1</v>
      </c>
      <c r="F30" s="56" t="s">
        <v>5099</v>
      </c>
      <c r="G30" s="5" t="s">
        <v>5063</v>
      </c>
      <c r="H30" s="68">
        <v>2683</v>
      </c>
      <c r="J30" s="215"/>
    </row>
    <row r="31" spans="2:10" ht="15.75" customHeight="1" thickBot="1" x14ac:dyDescent="0.3">
      <c r="B31" s="57" t="s">
        <v>942</v>
      </c>
      <c r="C31" s="58" t="s">
        <v>943</v>
      </c>
      <c r="D31" s="58" t="s">
        <v>514</v>
      </c>
      <c r="E31" s="58">
        <v>1</v>
      </c>
      <c r="F31" s="58" t="s">
        <v>5100</v>
      </c>
      <c r="G31" s="6" t="s">
        <v>5065</v>
      </c>
      <c r="H31" s="69">
        <v>9310</v>
      </c>
      <c r="J31" s="215"/>
    </row>
    <row r="32" spans="2:10" x14ac:dyDescent="0.25">
      <c r="B32" s="27" t="s">
        <v>419</v>
      </c>
    </row>
  </sheetData>
  <mergeCells count="9">
    <mergeCell ref="B2:H2"/>
    <mergeCell ref="B3:H3"/>
    <mergeCell ref="B21:H21"/>
    <mergeCell ref="B28:H28"/>
    <mergeCell ref="B5:G5"/>
    <mergeCell ref="B6:H6"/>
    <mergeCell ref="B10:H10"/>
    <mergeCell ref="B14:H14"/>
    <mergeCell ref="B18:H18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5F78-2313-4408-8CDA-FBC1E591C6CE}">
  <dimension ref="B1:H29"/>
  <sheetViews>
    <sheetView topLeftCell="A10" zoomScale="89" workbookViewId="0">
      <selection activeCell="B2" sqref="B2:H2"/>
    </sheetView>
  </sheetViews>
  <sheetFormatPr baseColWidth="10" defaultRowHeight="15" x14ac:dyDescent="0.25"/>
  <cols>
    <col min="1" max="1" width="5.140625" customWidth="1"/>
    <col min="2" max="2" width="17.28515625" customWidth="1"/>
    <col min="3" max="3" width="15.5703125" customWidth="1"/>
    <col min="4" max="5" width="9.85546875" customWidth="1"/>
    <col min="6" max="6" width="49.5703125" customWidth="1"/>
    <col min="7" max="7" width="17.5703125" customWidth="1"/>
    <col min="8" max="8" width="11.4257812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30"/>
      <c r="G3" s="63"/>
      <c r="H3" s="67"/>
    </row>
    <row r="4" spans="2:8" ht="24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5.75" thickBot="1" x14ac:dyDescent="0.3">
      <c r="B5" s="268" t="s">
        <v>2508</v>
      </c>
      <c r="C5" s="269"/>
      <c r="D5" s="269"/>
      <c r="E5" s="269"/>
      <c r="F5" s="269"/>
      <c r="G5" s="269"/>
    </row>
    <row r="6" spans="2:8" x14ac:dyDescent="0.25">
      <c r="B6" s="31" t="s">
        <v>46</v>
      </c>
      <c r="C6" s="16" t="s">
        <v>403</v>
      </c>
      <c r="D6" s="16" t="s">
        <v>16</v>
      </c>
      <c r="E6" s="16">
        <v>100</v>
      </c>
      <c r="F6" s="16" t="s">
        <v>404</v>
      </c>
      <c r="G6" s="16" t="s">
        <v>405</v>
      </c>
      <c r="H6" s="65">
        <v>24084</v>
      </c>
    </row>
    <row r="7" spans="2:8" x14ac:dyDescent="0.25">
      <c r="B7" s="31" t="s">
        <v>47</v>
      </c>
      <c r="C7" s="16" t="s">
        <v>406</v>
      </c>
      <c r="D7" s="16" t="s">
        <v>16</v>
      </c>
      <c r="E7" s="16">
        <v>100</v>
      </c>
      <c r="F7" s="16" t="s">
        <v>407</v>
      </c>
      <c r="G7" s="16" t="s">
        <v>408</v>
      </c>
      <c r="H7" s="65">
        <v>24509</v>
      </c>
    </row>
    <row r="8" spans="2:8" ht="15.75" thickBot="1" x14ac:dyDescent="0.3">
      <c r="B8" s="105" t="s">
        <v>48</v>
      </c>
      <c r="C8" s="18" t="s">
        <v>409</v>
      </c>
      <c r="D8" s="18" t="s">
        <v>16</v>
      </c>
      <c r="E8" s="18">
        <v>100</v>
      </c>
      <c r="F8" s="18" t="s">
        <v>410</v>
      </c>
      <c r="G8" s="18" t="s">
        <v>411</v>
      </c>
      <c r="H8" s="96">
        <v>28822</v>
      </c>
    </row>
    <row r="9" spans="2:8" ht="15.75" customHeight="1" thickBot="1" x14ac:dyDescent="0.3">
      <c r="B9" s="268" t="s">
        <v>2502</v>
      </c>
      <c r="C9" s="269"/>
      <c r="D9" s="269"/>
      <c r="E9" s="269"/>
      <c r="F9" s="269"/>
      <c r="G9" s="269"/>
      <c r="H9" s="270"/>
    </row>
    <row r="10" spans="2:8" ht="15.75" customHeight="1" x14ac:dyDescent="0.25">
      <c r="B10" s="14" t="s">
        <v>2136</v>
      </c>
      <c r="C10" s="16" t="s">
        <v>2312</v>
      </c>
      <c r="D10" s="16" t="s">
        <v>373</v>
      </c>
      <c r="E10" s="16">
        <v>480</v>
      </c>
      <c r="F10" s="16" t="s">
        <v>2314</v>
      </c>
      <c r="G10" s="119" t="s">
        <v>961</v>
      </c>
      <c r="H10" s="72">
        <f>_xlfn.XLOOKUP(B10,lista!A:A,lista!C:C,0,0)</f>
        <v>15646</v>
      </c>
    </row>
    <row r="11" spans="2:8" ht="15.75" customHeight="1" x14ac:dyDescent="0.25">
      <c r="B11" s="14" t="s">
        <v>2131</v>
      </c>
      <c r="C11" s="16" t="s">
        <v>2316</v>
      </c>
      <c r="D11" s="16" t="s">
        <v>373</v>
      </c>
      <c r="E11" s="16">
        <v>480</v>
      </c>
      <c r="F11" s="16" t="s">
        <v>2510</v>
      </c>
      <c r="G11" s="119" t="s">
        <v>961</v>
      </c>
      <c r="H11" s="72">
        <f>_xlfn.XLOOKUP(B11,lista!A:A,lista!C:C,0,0)</f>
        <v>22123</v>
      </c>
    </row>
    <row r="12" spans="2:8" ht="15.75" thickBot="1" x14ac:dyDescent="0.3">
      <c r="B12" s="162" t="s">
        <v>2134</v>
      </c>
      <c r="C12" s="18" t="s">
        <v>2509</v>
      </c>
      <c r="D12" s="18" t="s">
        <v>373</v>
      </c>
      <c r="E12" s="18">
        <v>480</v>
      </c>
      <c r="F12" s="18" t="s">
        <v>2511</v>
      </c>
      <c r="G12" s="113" t="s">
        <v>961</v>
      </c>
      <c r="H12" s="72">
        <f>_xlfn.XLOOKUP(B12,lista!A:A,lista!C:C,0,0)</f>
        <v>43919</v>
      </c>
    </row>
    <row r="13" spans="2:8" ht="15.75" thickBot="1" x14ac:dyDescent="0.3">
      <c r="B13" s="280" t="s">
        <v>2415</v>
      </c>
      <c r="C13" s="281"/>
      <c r="D13" s="281"/>
      <c r="E13" s="281"/>
      <c r="F13" s="281"/>
      <c r="G13" s="281"/>
      <c r="H13" s="282"/>
    </row>
    <row r="14" spans="2:8" x14ac:dyDescent="0.25">
      <c r="B14" s="260" t="s">
        <v>5141</v>
      </c>
      <c r="C14" s="138" t="s">
        <v>2355</v>
      </c>
      <c r="D14" s="13" t="s">
        <v>2504</v>
      </c>
      <c r="E14" s="13">
        <v>200</v>
      </c>
      <c r="F14" s="261" t="s">
        <v>5142</v>
      </c>
      <c r="G14" s="13" t="s">
        <v>402</v>
      </c>
      <c r="H14" s="81">
        <v>28791</v>
      </c>
    </row>
    <row r="15" spans="2:8" x14ac:dyDescent="0.25">
      <c r="B15" s="110" t="s">
        <v>5143</v>
      </c>
      <c r="C15" s="119" t="s">
        <v>2355</v>
      </c>
      <c r="D15" s="16" t="s">
        <v>2504</v>
      </c>
      <c r="E15" s="16">
        <v>200</v>
      </c>
      <c r="F15" s="256" t="s">
        <v>5144</v>
      </c>
      <c r="G15" s="16" t="s">
        <v>402</v>
      </c>
      <c r="H15" s="65">
        <v>30819</v>
      </c>
    </row>
    <row r="16" spans="2:8" x14ac:dyDescent="0.25">
      <c r="B16" s="110" t="s">
        <v>5145</v>
      </c>
      <c r="C16" s="119" t="s">
        <v>2355</v>
      </c>
      <c r="D16" s="16" t="s">
        <v>2504</v>
      </c>
      <c r="E16" s="16">
        <v>200</v>
      </c>
      <c r="F16" s="256" t="s">
        <v>5146</v>
      </c>
      <c r="G16" s="16" t="s">
        <v>402</v>
      </c>
      <c r="H16" s="65">
        <v>34510</v>
      </c>
    </row>
    <row r="17" spans="2:8" ht="15.75" thickBot="1" x14ac:dyDescent="0.3">
      <c r="B17" s="249" t="s">
        <v>5147</v>
      </c>
      <c r="C17" s="120" t="s">
        <v>2355</v>
      </c>
      <c r="D17" s="21" t="s">
        <v>2504</v>
      </c>
      <c r="E17" s="21">
        <v>200</v>
      </c>
      <c r="F17" s="257" t="s">
        <v>5148</v>
      </c>
      <c r="G17" s="21" t="s">
        <v>402</v>
      </c>
      <c r="H17" s="89">
        <v>36469</v>
      </c>
    </row>
    <row r="18" spans="2:8" ht="15.75" thickBot="1" x14ac:dyDescent="0.3">
      <c r="B18" s="283" t="s">
        <v>2414</v>
      </c>
      <c r="C18" s="284"/>
      <c r="D18" s="284"/>
      <c r="E18" s="284"/>
      <c r="F18" s="284"/>
      <c r="G18" s="284"/>
      <c r="H18" s="285"/>
    </row>
    <row r="19" spans="2:8" x14ac:dyDescent="0.25">
      <c r="B19" s="31" t="s">
        <v>43</v>
      </c>
      <c r="C19" s="64" t="s">
        <v>395</v>
      </c>
      <c r="D19" s="16" t="s">
        <v>16</v>
      </c>
      <c r="E19" s="22">
        <v>400</v>
      </c>
      <c r="F19" s="74" t="s">
        <v>396</v>
      </c>
      <c r="G19" s="74" t="s">
        <v>397</v>
      </c>
      <c r="H19" s="65">
        <v>42029</v>
      </c>
    </row>
    <row r="20" spans="2:8" ht="15.75" thickBot="1" x14ac:dyDescent="0.3">
      <c r="B20" s="31" t="s">
        <v>44</v>
      </c>
      <c r="C20" s="15" t="s">
        <v>398</v>
      </c>
      <c r="D20" s="16" t="s">
        <v>16</v>
      </c>
      <c r="E20" s="16">
        <v>400</v>
      </c>
      <c r="F20" s="74" t="s">
        <v>399</v>
      </c>
      <c r="G20" s="16" t="s">
        <v>400</v>
      </c>
      <c r="H20" s="65">
        <v>50045</v>
      </c>
    </row>
    <row r="21" spans="2:8" ht="15.75" thickBot="1" x14ac:dyDescent="0.3">
      <c r="B21" s="268" t="s">
        <v>374</v>
      </c>
      <c r="C21" s="269"/>
      <c r="D21" s="269"/>
      <c r="E21" s="269"/>
      <c r="F21" s="269"/>
      <c r="G21" s="269"/>
      <c r="H21" s="270"/>
    </row>
    <row r="22" spans="2:8" x14ac:dyDescent="0.25">
      <c r="B22" s="106" t="s">
        <v>36</v>
      </c>
      <c r="C22" s="12" t="s">
        <v>375</v>
      </c>
      <c r="D22" s="13" t="s">
        <v>16</v>
      </c>
      <c r="E22" s="13">
        <v>400</v>
      </c>
      <c r="F22" s="13" t="s">
        <v>376</v>
      </c>
      <c r="G22" s="13" t="s">
        <v>377</v>
      </c>
      <c r="H22" s="81">
        <v>29616</v>
      </c>
    </row>
    <row r="23" spans="2:8" x14ac:dyDescent="0.25">
      <c r="B23" s="31" t="s">
        <v>37</v>
      </c>
      <c r="C23" s="15" t="s">
        <v>378</v>
      </c>
      <c r="D23" s="16" t="s">
        <v>16</v>
      </c>
      <c r="E23" s="16">
        <v>400</v>
      </c>
      <c r="F23" s="16" t="s">
        <v>379</v>
      </c>
      <c r="G23" s="16" t="s">
        <v>380</v>
      </c>
      <c r="H23" s="65">
        <v>22679</v>
      </c>
    </row>
    <row r="24" spans="2:8" x14ac:dyDescent="0.25">
      <c r="B24" s="31" t="s">
        <v>38</v>
      </c>
      <c r="C24" s="64" t="s">
        <v>381</v>
      </c>
      <c r="D24" s="16" t="s">
        <v>16</v>
      </c>
      <c r="E24" s="16">
        <v>200</v>
      </c>
      <c r="F24" s="74" t="s">
        <v>382</v>
      </c>
      <c r="G24" s="74" t="s">
        <v>383</v>
      </c>
      <c r="H24" s="65">
        <v>34952</v>
      </c>
    </row>
    <row r="25" spans="2:8" x14ac:dyDescent="0.25">
      <c r="B25" s="31" t="s">
        <v>39</v>
      </c>
      <c r="C25" s="64" t="s">
        <v>384</v>
      </c>
      <c r="D25" s="16" t="s">
        <v>16</v>
      </c>
      <c r="E25" s="16">
        <v>200</v>
      </c>
      <c r="F25" s="74" t="s">
        <v>385</v>
      </c>
      <c r="G25" s="74" t="s">
        <v>383</v>
      </c>
      <c r="H25" s="65">
        <v>28097</v>
      </c>
    </row>
    <row r="26" spans="2:8" x14ac:dyDescent="0.25">
      <c r="B26" s="31" t="s">
        <v>40</v>
      </c>
      <c r="C26" s="64" t="s">
        <v>386</v>
      </c>
      <c r="D26" s="16" t="s">
        <v>16</v>
      </c>
      <c r="E26" s="16">
        <v>200</v>
      </c>
      <c r="F26" s="74" t="s">
        <v>387</v>
      </c>
      <c r="G26" s="74" t="s">
        <v>388</v>
      </c>
      <c r="H26" s="65">
        <v>24555</v>
      </c>
    </row>
    <row r="27" spans="2:8" x14ac:dyDescent="0.25">
      <c r="B27" s="31" t="s">
        <v>41</v>
      </c>
      <c r="C27" s="64" t="s">
        <v>389</v>
      </c>
      <c r="D27" s="16" t="s">
        <v>16</v>
      </c>
      <c r="E27" s="16">
        <v>200</v>
      </c>
      <c r="F27" s="74" t="s">
        <v>390</v>
      </c>
      <c r="G27" s="74" t="s">
        <v>391</v>
      </c>
      <c r="H27" s="65">
        <v>42304</v>
      </c>
    </row>
    <row r="28" spans="2:8" ht="15.75" thickBot="1" x14ac:dyDescent="0.3">
      <c r="B28" s="107" t="s">
        <v>42</v>
      </c>
      <c r="C28" s="76" t="s">
        <v>392</v>
      </c>
      <c r="D28" s="21" t="s">
        <v>16</v>
      </c>
      <c r="E28" s="21">
        <v>200</v>
      </c>
      <c r="F28" s="75" t="s">
        <v>393</v>
      </c>
      <c r="G28" s="75" t="s">
        <v>394</v>
      </c>
      <c r="H28" s="89">
        <v>40979</v>
      </c>
    </row>
    <row r="29" spans="2:8" x14ac:dyDescent="0.25">
      <c r="B29" s="27" t="s">
        <v>419</v>
      </c>
    </row>
  </sheetData>
  <mergeCells count="6">
    <mergeCell ref="B2:H2"/>
    <mergeCell ref="B21:H21"/>
    <mergeCell ref="B5:G5"/>
    <mergeCell ref="B13:H13"/>
    <mergeCell ref="B18:H18"/>
    <mergeCell ref="B9:H9"/>
  </mergeCells>
  <pageMargins left="0.7" right="0.7" top="0.75" bottom="0.75" header="0.3" footer="0.3"/>
  <pageSetup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D8D3-74D0-4C06-9761-1EAC05B27007}">
  <dimension ref="B2:J51"/>
  <sheetViews>
    <sheetView workbookViewId="0">
      <selection activeCell="B3" sqref="B3:H3"/>
    </sheetView>
  </sheetViews>
  <sheetFormatPr baseColWidth="10" defaultRowHeight="15" x14ac:dyDescent="0.25"/>
  <cols>
    <col min="1" max="1" width="3.5703125" customWidth="1"/>
    <col min="2" max="2" width="14.28515625" customWidth="1"/>
    <col min="3" max="3" width="17" customWidth="1"/>
    <col min="4" max="4" width="9.5703125" customWidth="1"/>
    <col min="5" max="5" width="8.7109375" customWidth="1"/>
    <col min="6" max="6" width="52.5703125" customWidth="1"/>
    <col min="7" max="7" width="13.5703125" customWidth="1"/>
    <col min="8" max="8" width="14.140625" customWidth="1"/>
  </cols>
  <sheetData>
    <row r="2" spans="2:10" ht="15.75" thickBot="1" x14ac:dyDescent="0.3"/>
    <row r="3" spans="2:10" ht="15.75" thickBot="1" x14ac:dyDescent="0.3">
      <c r="B3" s="268" t="s">
        <v>5248</v>
      </c>
      <c r="C3" s="269"/>
      <c r="D3" s="269"/>
      <c r="E3" s="269"/>
      <c r="F3" s="269"/>
      <c r="G3" s="269"/>
      <c r="H3" s="270"/>
    </row>
    <row r="4" spans="2:10" ht="15.75" thickBot="1" x14ac:dyDescent="0.3">
      <c r="B4" s="62"/>
      <c r="C4" s="63" t="s">
        <v>464</v>
      </c>
      <c r="D4" s="63"/>
      <c r="E4" s="63"/>
      <c r="F4" s="30"/>
      <c r="G4" s="63"/>
      <c r="H4" s="67"/>
    </row>
    <row r="5" spans="2:10" ht="15.75" thickBot="1" x14ac:dyDescent="0.3">
      <c r="B5" s="59" t="s">
        <v>191</v>
      </c>
      <c r="C5" s="60" t="s">
        <v>192</v>
      </c>
      <c r="D5" s="60" t="s">
        <v>193</v>
      </c>
      <c r="E5" s="60" t="s">
        <v>194</v>
      </c>
      <c r="F5" s="60" t="s">
        <v>195</v>
      </c>
      <c r="G5" s="60" t="s">
        <v>196</v>
      </c>
      <c r="H5" s="61" t="s">
        <v>487</v>
      </c>
    </row>
    <row r="6" spans="2:10" ht="15.75" thickBot="1" x14ac:dyDescent="0.3">
      <c r="B6" s="289" t="s">
        <v>864</v>
      </c>
      <c r="C6" s="290"/>
      <c r="D6" s="290"/>
      <c r="E6" s="290"/>
      <c r="F6" s="290"/>
      <c r="G6" s="290"/>
      <c r="H6" s="291"/>
    </row>
    <row r="7" spans="2:10" x14ac:dyDescent="0.25">
      <c r="B7" s="53" t="s">
        <v>869</v>
      </c>
      <c r="C7" s="54" t="s">
        <v>220</v>
      </c>
      <c r="D7" s="54" t="s">
        <v>2504</v>
      </c>
      <c r="E7" s="54">
        <v>400</v>
      </c>
      <c r="F7" s="54" t="s">
        <v>905</v>
      </c>
      <c r="G7" s="4"/>
      <c r="H7" s="73">
        <v>23381</v>
      </c>
      <c r="J7" s="215"/>
    </row>
    <row r="8" spans="2:10" x14ac:dyDescent="0.25">
      <c r="B8" s="55" t="s">
        <v>870</v>
      </c>
      <c r="C8" s="56" t="s">
        <v>890</v>
      </c>
      <c r="D8" s="56" t="s">
        <v>2504</v>
      </c>
      <c r="E8" s="56">
        <v>400</v>
      </c>
      <c r="F8" s="56" t="s">
        <v>875</v>
      </c>
      <c r="G8" s="5"/>
      <c r="H8" s="72">
        <v>13789</v>
      </c>
      <c r="J8" s="215"/>
    </row>
    <row r="9" spans="2:10" x14ac:dyDescent="0.25">
      <c r="B9" s="55" t="s">
        <v>871</v>
      </c>
      <c r="C9" s="56" t="s">
        <v>888</v>
      </c>
      <c r="D9" s="56" t="s">
        <v>2504</v>
      </c>
      <c r="E9" s="56">
        <v>400</v>
      </c>
      <c r="F9" s="56" t="s">
        <v>876</v>
      </c>
      <c r="G9" s="5"/>
      <c r="H9" s="72">
        <v>17700</v>
      </c>
      <c r="J9" s="215"/>
    </row>
    <row r="10" spans="2:10" x14ac:dyDescent="0.25">
      <c r="B10" s="55" t="s">
        <v>872</v>
      </c>
      <c r="C10" s="56" t="s">
        <v>889</v>
      </c>
      <c r="D10" s="56" t="s">
        <v>2504</v>
      </c>
      <c r="E10" s="56">
        <v>400</v>
      </c>
      <c r="F10" s="56" t="s">
        <v>877</v>
      </c>
      <c r="G10" s="5"/>
      <c r="H10" s="72">
        <v>24844</v>
      </c>
      <c r="J10" s="215"/>
    </row>
    <row r="11" spans="2:10" x14ac:dyDescent="0.25">
      <c r="B11" s="55" t="s">
        <v>873</v>
      </c>
      <c r="C11" s="56" t="s">
        <v>891</v>
      </c>
      <c r="D11" s="56" t="s">
        <v>2504</v>
      </c>
      <c r="E11" s="56">
        <v>200</v>
      </c>
      <c r="F11" s="56" t="s">
        <v>878</v>
      </c>
      <c r="G11" s="5"/>
      <c r="H11" s="72">
        <v>17503</v>
      </c>
      <c r="J11" s="215"/>
    </row>
    <row r="12" spans="2:10" ht="15.75" thickBot="1" x14ac:dyDescent="0.3">
      <c r="B12" s="126" t="s">
        <v>874</v>
      </c>
      <c r="C12" s="127" t="s">
        <v>2512</v>
      </c>
      <c r="D12" s="127" t="s">
        <v>2504</v>
      </c>
      <c r="E12" s="127">
        <v>200</v>
      </c>
      <c r="F12" s="127" t="s">
        <v>879</v>
      </c>
      <c r="G12" s="135"/>
      <c r="H12" s="199">
        <v>28905</v>
      </c>
      <c r="J12" s="215"/>
    </row>
    <row r="13" spans="2:10" ht="15.75" thickBot="1" x14ac:dyDescent="0.3">
      <c r="B13" s="286" t="s">
        <v>2382</v>
      </c>
      <c r="C13" s="287"/>
      <c r="D13" s="287"/>
      <c r="E13" s="287"/>
      <c r="F13" s="287"/>
      <c r="G13" s="287"/>
      <c r="H13" s="288"/>
      <c r="J13" s="215"/>
    </row>
    <row r="14" spans="2:10" x14ac:dyDescent="0.25">
      <c r="B14" s="131" t="s">
        <v>25</v>
      </c>
      <c r="C14" s="132" t="s">
        <v>220</v>
      </c>
      <c r="D14" s="200" t="s">
        <v>2504</v>
      </c>
      <c r="E14" s="132">
        <v>400</v>
      </c>
      <c r="F14" s="132" t="s">
        <v>910</v>
      </c>
      <c r="G14" s="133"/>
      <c r="H14" s="175">
        <v>28861</v>
      </c>
      <c r="J14" s="215"/>
    </row>
    <row r="15" spans="2:10" x14ac:dyDescent="0.25">
      <c r="B15" s="55" t="s">
        <v>26</v>
      </c>
      <c r="C15" s="56" t="s">
        <v>221</v>
      </c>
      <c r="D15" s="56" t="s">
        <v>2504</v>
      </c>
      <c r="E15" s="56">
        <v>400</v>
      </c>
      <c r="F15" s="56" t="s">
        <v>911</v>
      </c>
      <c r="G15" s="5"/>
      <c r="H15" s="173">
        <v>18115</v>
      </c>
      <c r="J15" s="215"/>
    </row>
    <row r="16" spans="2:10" x14ac:dyDescent="0.25">
      <c r="B16" s="55" t="s">
        <v>27</v>
      </c>
      <c r="C16" s="56" t="s">
        <v>222</v>
      </c>
      <c r="D16" s="56" t="s">
        <v>2504</v>
      </c>
      <c r="E16" s="56">
        <v>400</v>
      </c>
      <c r="F16" s="56" t="s">
        <v>912</v>
      </c>
      <c r="G16" s="5"/>
      <c r="H16" s="173">
        <v>22010</v>
      </c>
      <c r="J16" s="215"/>
    </row>
    <row r="17" spans="2:10" x14ac:dyDescent="0.25">
      <c r="B17" s="55" t="s">
        <v>28</v>
      </c>
      <c r="C17" s="56" t="s">
        <v>223</v>
      </c>
      <c r="D17" s="56" t="s">
        <v>2504</v>
      </c>
      <c r="E17" s="56">
        <v>400</v>
      </c>
      <c r="F17" s="56" t="s">
        <v>913</v>
      </c>
      <c r="G17" s="5"/>
      <c r="H17" s="173">
        <v>30722</v>
      </c>
      <c r="J17" s="215"/>
    </row>
    <row r="18" spans="2:10" x14ac:dyDescent="0.25">
      <c r="B18" s="55" t="s">
        <v>29</v>
      </c>
      <c r="C18" s="56" t="s">
        <v>224</v>
      </c>
      <c r="D18" s="56" t="s">
        <v>2504</v>
      </c>
      <c r="E18" s="56">
        <v>200</v>
      </c>
      <c r="F18" s="56" t="s">
        <v>914</v>
      </c>
      <c r="G18" s="5"/>
      <c r="H18" s="173">
        <v>21488</v>
      </c>
      <c r="J18" s="215"/>
    </row>
    <row r="19" spans="2:10" ht="15.75" thickBot="1" x14ac:dyDescent="0.3">
      <c r="B19" s="126" t="s">
        <v>30</v>
      </c>
      <c r="C19" s="127" t="s">
        <v>225</v>
      </c>
      <c r="D19" s="200" t="s">
        <v>2504</v>
      </c>
      <c r="E19" s="127">
        <v>200</v>
      </c>
      <c r="F19" s="127" t="s">
        <v>915</v>
      </c>
      <c r="G19" s="135"/>
      <c r="H19" s="163">
        <v>37446</v>
      </c>
      <c r="J19" s="215"/>
    </row>
    <row r="20" spans="2:10" ht="15.75" thickBot="1" x14ac:dyDescent="0.3">
      <c r="B20" s="286" t="s">
        <v>2416</v>
      </c>
      <c r="C20" s="287"/>
      <c r="D20" s="287"/>
      <c r="E20" s="287"/>
      <c r="F20" s="287"/>
      <c r="G20" s="287"/>
      <c r="H20" s="288"/>
      <c r="J20" s="215"/>
    </row>
    <row r="21" spans="2:10" x14ac:dyDescent="0.25">
      <c r="B21" s="131" t="s">
        <v>34</v>
      </c>
      <c r="C21" s="132" t="s">
        <v>226</v>
      </c>
      <c r="D21" s="132" t="s">
        <v>2504</v>
      </c>
      <c r="E21" s="132">
        <v>400</v>
      </c>
      <c r="F21" s="132" t="s">
        <v>916</v>
      </c>
      <c r="G21" s="133"/>
      <c r="H21" s="134">
        <v>21712</v>
      </c>
      <c r="J21" s="215"/>
    </row>
    <row r="22" spans="2:10" ht="15.75" thickBot="1" x14ac:dyDescent="0.3">
      <c r="B22" s="57" t="s">
        <v>35</v>
      </c>
      <c r="C22" s="58" t="s">
        <v>227</v>
      </c>
      <c r="D22" s="58" t="s">
        <v>2504</v>
      </c>
      <c r="E22" s="58">
        <v>400</v>
      </c>
      <c r="F22" s="58" t="s">
        <v>917</v>
      </c>
      <c r="G22" s="6"/>
      <c r="H22" s="69">
        <v>27440</v>
      </c>
      <c r="J22" s="215"/>
    </row>
    <row r="23" spans="2:10" ht="15.75" thickBot="1" x14ac:dyDescent="0.3">
      <c r="B23" s="289" t="s">
        <v>2417</v>
      </c>
      <c r="C23" s="290"/>
      <c r="D23" s="290"/>
      <c r="E23" s="290"/>
      <c r="F23" s="290"/>
      <c r="G23" s="290"/>
      <c r="H23" s="291"/>
      <c r="J23" s="215"/>
    </row>
    <row r="24" spans="2:10" x14ac:dyDescent="0.25">
      <c r="B24" s="53" t="s">
        <v>21</v>
      </c>
      <c r="C24" s="54" t="s">
        <v>216</v>
      </c>
      <c r="D24" s="54" t="s">
        <v>2504</v>
      </c>
      <c r="E24" s="54">
        <v>400</v>
      </c>
      <c r="F24" s="54" t="s">
        <v>906</v>
      </c>
      <c r="G24" s="4"/>
      <c r="H24" s="71">
        <f>_xlfn.XLOOKUP(B24,lista!A:A,lista!C:C,0,0)</f>
        <v>52040</v>
      </c>
      <c r="J24" s="215"/>
    </row>
    <row r="25" spans="2:10" x14ac:dyDescent="0.25">
      <c r="B25" s="55" t="s">
        <v>22</v>
      </c>
      <c r="C25" s="56" t="s">
        <v>217</v>
      </c>
      <c r="D25" s="56" t="s">
        <v>2504</v>
      </c>
      <c r="E25" s="56">
        <v>400</v>
      </c>
      <c r="F25" s="56" t="s">
        <v>907</v>
      </c>
      <c r="G25" s="5"/>
      <c r="H25" s="68">
        <f>_xlfn.XLOOKUP(B25,lista!A:A,lista!C:C,0,0)</f>
        <v>39300</v>
      </c>
      <c r="J25" s="215"/>
    </row>
    <row r="26" spans="2:10" x14ac:dyDescent="0.25">
      <c r="B26" s="55" t="s">
        <v>23</v>
      </c>
      <c r="C26" s="56" t="s">
        <v>218</v>
      </c>
      <c r="D26" s="56" t="s">
        <v>2504</v>
      </c>
      <c r="E26" s="56">
        <v>400</v>
      </c>
      <c r="F26" s="56" t="s">
        <v>908</v>
      </c>
      <c r="G26" s="5"/>
      <c r="H26" s="68">
        <f>_xlfn.XLOOKUP(B26,lista!A:A,lista!C:C,0,0)</f>
        <v>52858</v>
      </c>
      <c r="J26" s="215"/>
    </row>
    <row r="27" spans="2:10" ht="15.75" thickBot="1" x14ac:dyDescent="0.3">
      <c r="B27" s="57" t="s">
        <v>24</v>
      </c>
      <c r="C27" s="58" t="s">
        <v>219</v>
      </c>
      <c r="D27" s="58" t="s">
        <v>2504</v>
      </c>
      <c r="E27" s="58">
        <v>200</v>
      </c>
      <c r="F27" s="58" t="s">
        <v>909</v>
      </c>
      <c r="G27" s="6"/>
      <c r="H27" s="69">
        <f>_xlfn.XLOOKUP(B27,lista!A:A,lista!C:C,0,0)</f>
        <v>47057</v>
      </c>
      <c r="J27" s="215"/>
    </row>
    <row r="28" spans="2:10" ht="15.75" thickBot="1" x14ac:dyDescent="0.3">
      <c r="B28" s="289" t="s">
        <v>2418</v>
      </c>
      <c r="C28" s="290"/>
      <c r="D28" s="290"/>
      <c r="E28" s="290"/>
      <c r="F28" s="290"/>
      <c r="G28" s="290"/>
      <c r="H28" s="291"/>
      <c r="J28" s="215"/>
    </row>
    <row r="29" spans="2:10" ht="15" customHeight="1" x14ac:dyDescent="0.25">
      <c r="B29" s="53" t="s">
        <v>31</v>
      </c>
      <c r="C29" s="54"/>
      <c r="D29" s="54" t="s">
        <v>2504</v>
      </c>
      <c r="E29" s="54">
        <v>400</v>
      </c>
      <c r="F29" s="54" t="s">
        <v>918</v>
      </c>
      <c r="G29" s="4"/>
      <c r="H29" s="71">
        <v>30175</v>
      </c>
      <c r="J29" s="215"/>
    </row>
    <row r="30" spans="2:10" ht="15" customHeight="1" x14ac:dyDescent="0.25">
      <c r="B30" s="55" t="s">
        <v>32</v>
      </c>
      <c r="C30" s="56"/>
      <c r="D30" s="56" t="s">
        <v>2504</v>
      </c>
      <c r="E30" s="56">
        <v>400</v>
      </c>
      <c r="F30" s="56" t="s">
        <v>919</v>
      </c>
      <c r="G30" s="5"/>
      <c r="H30" s="68">
        <v>23685</v>
      </c>
      <c r="J30" s="215"/>
    </row>
    <row r="31" spans="2:10" ht="15" customHeight="1" thickBot="1" x14ac:dyDescent="0.3">
      <c r="B31" s="57" t="s">
        <v>33</v>
      </c>
      <c r="C31" s="58"/>
      <c r="D31" s="58" t="s">
        <v>2504</v>
      </c>
      <c r="E31" s="58">
        <v>400</v>
      </c>
      <c r="F31" s="58" t="s">
        <v>920</v>
      </c>
      <c r="G31" s="6"/>
      <c r="H31" s="69">
        <v>32980</v>
      </c>
      <c r="J31" s="215"/>
    </row>
    <row r="32" spans="2:10" ht="15.75" thickBot="1" x14ac:dyDescent="0.3">
      <c r="B32" s="289" t="s">
        <v>892</v>
      </c>
      <c r="C32" s="290"/>
      <c r="D32" s="290"/>
      <c r="E32" s="290"/>
      <c r="F32" s="290"/>
      <c r="G32" s="290"/>
      <c r="H32" s="291"/>
      <c r="J32" s="215"/>
    </row>
    <row r="33" spans="2:10" ht="16.5" customHeight="1" x14ac:dyDescent="0.25">
      <c r="B33" s="53" t="s">
        <v>865</v>
      </c>
      <c r="C33" s="54" t="s">
        <v>886</v>
      </c>
      <c r="D33" s="54" t="s">
        <v>2504</v>
      </c>
      <c r="E33" s="54">
        <v>400</v>
      </c>
      <c r="F33" s="54" t="s">
        <v>880</v>
      </c>
      <c r="G33" s="4"/>
      <c r="H33" s="122">
        <f>_xlfn.XLOOKUP(B33,lista!A:A,lista!C:C,0,0)</f>
        <v>33143</v>
      </c>
      <c r="J33" s="215"/>
    </row>
    <row r="34" spans="2:10" ht="16.5" customHeight="1" x14ac:dyDescent="0.25">
      <c r="B34" s="55" t="s">
        <v>866</v>
      </c>
      <c r="C34" s="56" t="s">
        <v>887</v>
      </c>
      <c r="D34" s="56" t="s">
        <v>2504</v>
      </c>
      <c r="E34" s="56">
        <v>400</v>
      </c>
      <c r="F34" s="56" t="s">
        <v>881</v>
      </c>
      <c r="G34" s="5"/>
      <c r="H34" s="72">
        <f>_xlfn.XLOOKUP(B34,lista!A:A,lista!C:C,0,0)</f>
        <v>20454</v>
      </c>
      <c r="J34" s="215"/>
    </row>
    <row r="35" spans="2:10" ht="16.5" customHeight="1" x14ac:dyDescent="0.25">
      <c r="B35" s="55" t="s">
        <v>867</v>
      </c>
      <c r="C35" s="56" t="s">
        <v>884</v>
      </c>
      <c r="D35" s="56" t="s">
        <v>2504</v>
      </c>
      <c r="E35" s="56">
        <v>400</v>
      </c>
      <c r="F35" s="56" t="s">
        <v>882</v>
      </c>
      <c r="G35" s="5"/>
      <c r="H35" s="72">
        <f>_xlfn.XLOOKUP(B35,lista!A:A,lista!C:C,0,0)</f>
        <v>25667</v>
      </c>
      <c r="J35" s="215"/>
    </row>
    <row r="36" spans="2:10" ht="16.5" customHeight="1" x14ac:dyDescent="0.25">
      <c r="B36" s="55" t="s">
        <v>868</v>
      </c>
      <c r="C36" s="56" t="s">
        <v>885</v>
      </c>
      <c r="D36" s="56" t="s">
        <v>2504</v>
      </c>
      <c r="E36" s="56">
        <v>400</v>
      </c>
      <c r="F36" s="56" t="s">
        <v>883</v>
      </c>
      <c r="G36" s="5"/>
      <c r="H36" s="109">
        <f>_xlfn.XLOOKUP(B36,lista!A:A,lista!C:C,0,0)</f>
        <v>35844</v>
      </c>
      <c r="J36" s="215"/>
    </row>
    <row r="37" spans="2:10" ht="16.5" customHeight="1" thickBot="1" x14ac:dyDescent="0.3">
      <c r="B37" s="57" t="s">
        <v>894</v>
      </c>
      <c r="C37" s="58" t="s">
        <v>896</v>
      </c>
      <c r="D37" s="58" t="s">
        <v>2504</v>
      </c>
      <c r="E37" s="58">
        <v>200</v>
      </c>
      <c r="F37" s="58" t="s">
        <v>895</v>
      </c>
      <c r="G37" s="6"/>
      <c r="H37" s="109">
        <f>_xlfn.XLOOKUP(B37,lista!A:A,lista!C:C,0,0)</f>
        <v>0</v>
      </c>
      <c r="J37" s="215"/>
    </row>
    <row r="38" spans="2:10" ht="15.75" thickBot="1" x14ac:dyDescent="0.3">
      <c r="B38" s="292" t="s">
        <v>893</v>
      </c>
      <c r="C38" s="293"/>
      <c r="D38" s="293"/>
      <c r="E38" s="293"/>
      <c r="F38" s="293"/>
      <c r="G38" s="293"/>
      <c r="H38" s="294"/>
      <c r="J38" s="215"/>
    </row>
    <row r="39" spans="2:10" ht="16.5" customHeight="1" x14ac:dyDescent="0.25">
      <c r="B39" s="53"/>
      <c r="C39" s="54" t="s">
        <v>897</v>
      </c>
      <c r="D39" s="54" t="s">
        <v>2504</v>
      </c>
      <c r="E39" s="54"/>
      <c r="F39" s="54" t="s">
        <v>902</v>
      </c>
      <c r="G39" s="166" t="s">
        <v>2355</v>
      </c>
      <c r="H39" s="73">
        <f>_xlfn.XLOOKUP(B39,lista!A:A,lista!C:C,0,0)</f>
        <v>0</v>
      </c>
      <c r="J39" s="215"/>
    </row>
    <row r="40" spans="2:10" ht="16.5" customHeight="1" x14ac:dyDescent="0.25">
      <c r="B40" s="55"/>
      <c r="C40" s="56" t="s">
        <v>898</v>
      </c>
      <c r="D40" s="56" t="s">
        <v>2504</v>
      </c>
      <c r="E40" s="56"/>
      <c r="F40" s="56" t="s">
        <v>903</v>
      </c>
      <c r="G40" s="167" t="s">
        <v>2355</v>
      </c>
      <c r="H40" s="72">
        <f>_xlfn.XLOOKUP(B40,lista!A:A,lista!C:C,0,0)</f>
        <v>0</v>
      </c>
      <c r="J40" s="215"/>
    </row>
    <row r="41" spans="2:10" ht="16.5" customHeight="1" x14ac:dyDescent="0.25">
      <c r="B41" s="55"/>
      <c r="C41" s="56" t="s">
        <v>899</v>
      </c>
      <c r="D41" s="56" t="s">
        <v>2504</v>
      </c>
      <c r="E41" s="56"/>
      <c r="F41" s="56" t="s">
        <v>901</v>
      </c>
      <c r="G41" s="167" t="s">
        <v>2355</v>
      </c>
      <c r="H41" s="72">
        <f>_xlfn.XLOOKUP(B41,lista!A:A,lista!C:C,0,0)</f>
        <v>0</v>
      </c>
      <c r="J41" s="215"/>
    </row>
    <row r="42" spans="2:10" ht="16.5" customHeight="1" thickBot="1" x14ac:dyDescent="0.3">
      <c r="B42" s="57"/>
      <c r="C42" s="58" t="s">
        <v>900</v>
      </c>
      <c r="D42" s="58" t="s">
        <v>2504</v>
      </c>
      <c r="E42" s="58"/>
      <c r="F42" s="58" t="s">
        <v>904</v>
      </c>
      <c r="G42" s="168" t="s">
        <v>2355</v>
      </c>
      <c r="H42" s="108">
        <f>_xlfn.XLOOKUP(B42,lista!A:A,lista!C:C,0,0)</f>
        <v>0</v>
      </c>
      <c r="J42" s="215"/>
    </row>
    <row r="43" spans="2:10" ht="15.75" thickBot="1" x14ac:dyDescent="0.3">
      <c r="B43" s="268" t="s">
        <v>2006</v>
      </c>
      <c r="C43" s="269"/>
      <c r="D43" s="269"/>
      <c r="E43" s="269"/>
      <c r="F43" s="269"/>
      <c r="G43" s="269"/>
      <c r="H43" s="270"/>
      <c r="J43" s="215"/>
    </row>
    <row r="44" spans="2:10" x14ac:dyDescent="0.25">
      <c r="B44" s="106" t="s">
        <v>2011</v>
      </c>
      <c r="C44" s="12" t="s">
        <v>2007</v>
      </c>
      <c r="D44" s="13" t="s">
        <v>423</v>
      </c>
      <c r="E44" s="13">
        <v>200</v>
      </c>
      <c r="F44" s="13" t="s">
        <v>2286</v>
      </c>
      <c r="G44" s="169" t="s">
        <v>961</v>
      </c>
      <c r="H44" s="155">
        <f>_xlfn.XLOOKUP(B44,lista!A:A,lista!C:C,0,0)</f>
        <v>45748</v>
      </c>
      <c r="J44" s="215"/>
    </row>
    <row r="45" spans="2:10" x14ac:dyDescent="0.25">
      <c r="B45" s="31" t="s">
        <v>2012</v>
      </c>
      <c r="C45" s="15" t="s">
        <v>2008</v>
      </c>
      <c r="D45" s="16" t="s">
        <v>423</v>
      </c>
      <c r="E45" s="16">
        <v>200</v>
      </c>
      <c r="F45" s="16" t="s">
        <v>2287</v>
      </c>
      <c r="G45" s="170" t="s">
        <v>961</v>
      </c>
      <c r="H45" s="65">
        <f>_xlfn.XLOOKUP(B45,lista!A:A,lista!C:C,0,0)</f>
        <v>49737</v>
      </c>
      <c r="J45" s="215"/>
    </row>
    <row r="46" spans="2:10" x14ac:dyDescent="0.25">
      <c r="B46" s="31" t="s">
        <v>2013</v>
      </c>
      <c r="C46" s="64" t="s">
        <v>2009</v>
      </c>
      <c r="D46" s="16" t="s">
        <v>423</v>
      </c>
      <c r="E46" s="22">
        <v>200</v>
      </c>
      <c r="F46" s="74" t="s">
        <v>2288</v>
      </c>
      <c r="G46" s="170" t="s">
        <v>961</v>
      </c>
      <c r="H46" s="65">
        <f>_xlfn.XLOOKUP(B46,lista!A:A,lista!C:C,0,0)</f>
        <v>52087</v>
      </c>
      <c r="J46" s="215"/>
    </row>
    <row r="47" spans="2:10" ht="15.75" thickBot="1" x14ac:dyDescent="0.3">
      <c r="B47" s="107" t="s">
        <v>2014</v>
      </c>
      <c r="C47" s="76" t="s">
        <v>2010</v>
      </c>
      <c r="D47" s="21" t="s">
        <v>423</v>
      </c>
      <c r="E47" s="139">
        <v>200</v>
      </c>
      <c r="F47" s="75" t="s">
        <v>2289</v>
      </c>
      <c r="G47" s="171" t="s">
        <v>961</v>
      </c>
      <c r="H47" s="146">
        <f>_xlfn.XLOOKUP(B47,lista!A:A,lista!C:C,0,0)</f>
        <v>50977</v>
      </c>
      <c r="J47" s="215"/>
    </row>
    <row r="48" spans="2:10" x14ac:dyDescent="0.25">
      <c r="D48" s="29"/>
      <c r="E48" s="160"/>
      <c r="F48" s="78"/>
      <c r="G48" s="159"/>
      <c r="H48" s="161"/>
    </row>
    <row r="49" spans="2:8" x14ac:dyDescent="0.25">
      <c r="D49" s="29"/>
      <c r="E49" s="160"/>
      <c r="F49" s="78"/>
      <c r="G49" s="159"/>
      <c r="H49" s="161"/>
    </row>
    <row r="50" spans="2:8" x14ac:dyDescent="0.25">
      <c r="D50" s="29"/>
      <c r="E50" s="160"/>
      <c r="F50" s="78"/>
      <c r="G50" s="159"/>
      <c r="H50" s="161"/>
    </row>
    <row r="51" spans="2:8" x14ac:dyDescent="0.25">
      <c r="B51" s="27" t="s">
        <v>419</v>
      </c>
    </row>
  </sheetData>
  <mergeCells count="9">
    <mergeCell ref="B3:H3"/>
    <mergeCell ref="B43:H43"/>
    <mergeCell ref="B20:H20"/>
    <mergeCell ref="B32:H32"/>
    <mergeCell ref="B38:H38"/>
    <mergeCell ref="B6:H6"/>
    <mergeCell ref="B13:H13"/>
    <mergeCell ref="B23:H23"/>
    <mergeCell ref="B28:H28"/>
  </mergeCells>
  <phoneticPr fontId="10" type="noConversion"/>
  <pageMargins left="0.7" right="0.7" top="0.75" bottom="0.75" header="0.3" footer="0.3"/>
  <pageSetup paperSize="9"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C0D7-DAE0-4B1D-B5AE-8EB656C00ED4}">
  <dimension ref="B1:H55"/>
  <sheetViews>
    <sheetView topLeftCell="A4" workbookViewId="0">
      <selection activeCell="B2" sqref="B2:H2"/>
    </sheetView>
  </sheetViews>
  <sheetFormatPr baseColWidth="10" defaultRowHeight="15" x14ac:dyDescent="0.25"/>
  <cols>
    <col min="1" max="1" width="4.140625" customWidth="1"/>
    <col min="2" max="2" width="13.85546875" customWidth="1"/>
    <col min="3" max="3" width="14.5703125" customWidth="1"/>
    <col min="4" max="4" width="7" customWidth="1"/>
    <col min="5" max="5" width="6.28515625" customWidth="1"/>
    <col min="6" max="6" width="53" customWidth="1"/>
    <col min="7" max="7" width="15.7109375" customWidth="1"/>
    <col min="8" max="8" width="10" customWidth="1"/>
  </cols>
  <sheetData>
    <row r="1" spans="2:8" ht="11.25" customHeight="1" thickBot="1" x14ac:dyDescent="0.3">
      <c r="B1" s="1"/>
      <c r="C1" s="1"/>
      <c r="D1" s="2"/>
      <c r="E1" s="2"/>
      <c r="F1" s="1"/>
      <c r="G1" s="1"/>
      <c r="H1" s="66"/>
    </row>
    <row r="2" spans="2:8" ht="16.5" customHeight="1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3.5" customHeight="1" thickBot="1" x14ac:dyDescent="0.3">
      <c r="B3" s="62"/>
      <c r="C3" s="63" t="s">
        <v>464</v>
      </c>
      <c r="D3" s="63"/>
      <c r="E3" s="63"/>
      <c r="F3" s="30"/>
      <c r="G3" s="63"/>
      <c r="H3" s="67"/>
    </row>
    <row r="4" spans="2:8" s="3" customFormat="1" ht="26.25" customHeight="1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5.75" customHeight="1" thickBot="1" x14ac:dyDescent="0.3">
      <c r="B5" s="298" t="s">
        <v>2419</v>
      </c>
      <c r="C5" s="299"/>
      <c r="D5" s="299"/>
      <c r="E5" s="299"/>
      <c r="F5" s="299"/>
      <c r="G5" s="299"/>
      <c r="H5" s="300"/>
    </row>
    <row r="6" spans="2:8" ht="14.25" customHeight="1" x14ac:dyDescent="0.25">
      <c r="B6" s="53" t="s">
        <v>508</v>
      </c>
      <c r="C6" s="54" t="s">
        <v>517</v>
      </c>
      <c r="D6" s="54" t="s">
        <v>514</v>
      </c>
      <c r="E6" s="54">
        <v>9</v>
      </c>
      <c r="F6" s="54" t="s">
        <v>566</v>
      </c>
      <c r="G6" s="54" t="s">
        <v>604</v>
      </c>
      <c r="H6" s="81">
        <v>176828.93280000001</v>
      </c>
    </row>
    <row r="7" spans="2:8" x14ac:dyDescent="0.25">
      <c r="B7" s="55" t="s">
        <v>509</v>
      </c>
      <c r="C7" s="56" t="s">
        <v>515</v>
      </c>
      <c r="D7" s="56" t="s">
        <v>514</v>
      </c>
      <c r="E7" s="56">
        <v>25</v>
      </c>
      <c r="F7" s="56" t="s">
        <v>567</v>
      </c>
      <c r="G7" s="56" t="s">
        <v>605</v>
      </c>
      <c r="H7" s="65">
        <v>25791.2304</v>
      </c>
    </row>
    <row r="8" spans="2:8" x14ac:dyDescent="0.25">
      <c r="B8" s="55" t="s">
        <v>510</v>
      </c>
      <c r="C8" s="56" t="s">
        <v>516</v>
      </c>
      <c r="D8" s="56" t="s">
        <v>514</v>
      </c>
      <c r="E8" s="56">
        <v>25</v>
      </c>
      <c r="F8" s="56" t="s">
        <v>568</v>
      </c>
      <c r="G8" s="56" t="s">
        <v>605</v>
      </c>
      <c r="H8" s="65">
        <v>42004.664000000004</v>
      </c>
    </row>
    <row r="9" spans="2:8" x14ac:dyDescent="0.25">
      <c r="B9" s="55" t="s">
        <v>511</v>
      </c>
      <c r="C9" s="56" t="s">
        <v>564</v>
      </c>
      <c r="D9" s="56" t="s">
        <v>514</v>
      </c>
      <c r="E9" s="56">
        <v>25</v>
      </c>
      <c r="F9" s="56" t="s">
        <v>569</v>
      </c>
      <c r="G9" s="56" t="s">
        <v>605</v>
      </c>
      <c r="H9" s="65">
        <v>42351.360000000001</v>
      </c>
    </row>
    <row r="10" spans="2:8" x14ac:dyDescent="0.25">
      <c r="B10" s="55" t="s">
        <v>512</v>
      </c>
      <c r="C10" s="56" t="s">
        <v>519</v>
      </c>
      <c r="D10" s="56" t="s">
        <v>514</v>
      </c>
      <c r="E10" s="56">
        <v>9</v>
      </c>
      <c r="F10" s="56" t="s">
        <v>570</v>
      </c>
      <c r="G10" s="56" t="s">
        <v>604</v>
      </c>
      <c r="H10" s="65">
        <v>193448.47139999998</v>
      </c>
    </row>
    <row r="11" spans="2:8" x14ac:dyDescent="0.25">
      <c r="B11" s="126" t="s">
        <v>513</v>
      </c>
      <c r="C11" s="127" t="s">
        <v>518</v>
      </c>
      <c r="D11" s="127" t="s">
        <v>514</v>
      </c>
      <c r="E11" s="127">
        <v>25</v>
      </c>
      <c r="F11" s="127" t="s">
        <v>571</v>
      </c>
      <c r="G11" s="127" t="s">
        <v>605</v>
      </c>
      <c r="H11" s="96">
        <v>68530.261799999993</v>
      </c>
    </row>
    <row r="12" spans="2:8" ht="15.75" thickBot="1" x14ac:dyDescent="0.3">
      <c r="B12" s="107" t="s">
        <v>1936</v>
      </c>
      <c r="C12" s="58"/>
      <c r="D12" s="58" t="s">
        <v>514</v>
      </c>
      <c r="E12" s="58">
        <v>1</v>
      </c>
      <c r="F12" s="75" t="s">
        <v>5055</v>
      </c>
      <c r="G12" s="58" t="s">
        <v>5056</v>
      </c>
      <c r="H12" s="89">
        <v>18866.4944</v>
      </c>
    </row>
    <row r="13" spans="2:8" ht="15.75" customHeight="1" thickBot="1" x14ac:dyDescent="0.3">
      <c r="B13" s="295" t="s">
        <v>669</v>
      </c>
      <c r="C13" s="296"/>
      <c r="D13" s="296"/>
      <c r="E13" s="296"/>
      <c r="F13" s="296"/>
      <c r="G13" s="296"/>
      <c r="H13" s="297"/>
    </row>
    <row r="14" spans="2:8" x14ac:dyDescent="0.25">
      <c r="B14" s="131" t="s">
        <v>562</v>
      </c>
      <c r="C14" s="132" t="s">
        <v>521</v>
      </c>
      <c r="D14" s="132" t="s">
        <v>423</v>
      </c>
      <c r="E14" s="132">
        <v>100</v>
      </c>
      <c r="F14" s="132" t="s">
        <v>2423</v>
      </c>
      <c r="G14" s="132" t="s">
        <v>575</v>
      </c>
      <c r="H14" s="99">
        <v>8250</v>
      </c>
    </row>
    <row r="15" spans="2:8" ht="15.75" customHeight="1" x14ac:dyDescent="0.25">
      <c r="B15" s="55" t="s">
        <v>563</v>
      </c>
      <c r="C15" s="56" t="s">
        <v>533</v>
      </c>
      <c r="D15" s="56" t="s">
        <v>423</v>
      </c>
      <c r="E15" s="56">
        <v>200</v>
      </c>
      <c r="F15" s="56" t="s">
        <v>2422</v>
      </c>
      <c r="G15" s="56" t="s">
        <v>596</v>
      </c>
      <c r="H15" s="65">
        <v>21726</v>
      </c>
    </row>
    <row r="16" spans="2:8" ht="15" customHeight="1" x14ac:dyDescent="0.25">
      <c r="B16" s="55" t="s">
        <v>549</v>
      </c>
      <c r="C16" s="56" t="s">
        <v>522</v>
      </c>
      <c r="D16" s="56" t="s">
        <v>423</v>
      </c>
      <c r="E16" s="56">
        <v>100</v>
      </c>
      <c r="F16" s="56" t="s">
        <v>577</v>
      </c>
      <c r="G16" s="56" t="s">
        <v>576</v>
      </c>
      <c r="H16" s="65">
        <v>14917</v>
      </c>
    </row>
    <row r="17" spans="2:8" x14ac:dyDescent="0.25">
      <c r="B17" s="55" t="s">
        <v>550</v>
      </c>
      <c r="C17" s="56" t="s">
        <v>523</v>
      </c>
      <c r="D17" s="56" t="s">
        <v>423</v>
      </c>
      <c r="E17" s="56">
        <v>100</v>
      </c>
      <c r="F17" s="56" t="s">
        <v>578</v>
      </c>
      <c r="G17" s="56" t="s">
        <v>576</v>
      </c>
      <c r="H17" s="65">
        <v>17997</v>
      </c>
    </row>
    <row r="18" spans="2:8" x14ac:dyDescent="0.25">
      <c r="B18" s="55" t="s">
        <v>555</v>
      </c>
      <c r="C18" s="56" t="s">
        <v>524</v>
      </c>
      <c r="D18" s="56" t="s">
        <v>423</v>
      </c>
      <c r="E18" s="56">
        <v>100</v>
      </c>
      <c r="F18" s="56" t="s">
        <v>579</v>
      </c>
      <c r="G18" s="56" t="s">
        <v>580</v>
      </c>
      <c r="H18" s="65">
        <v>16314</v>
      </c>
    </row>
    <row r="19" spans="2:8" x14ac:dyDescent="0.25">
      <c r="B19" s="55" t="s">
        <v>553</v>
      </c>
      <c r="C19" s="56" t="s">
        <v>525</v>
      </c>
      <c r="D19" s="56" t="s">
        <v>423</v>
      </c>
      <c r="E19" s="56">
        <v>100</v>
      </c>
      <c r="F19" s="56" t="s">
        <v>581</v>
      </c>
      <c r="G19" s="56" t="s">
        <v>582</v>
      </c>
      <c r="H19" s="65">
        <v>19027</v>
      </c>
    </row>
    <row r="20" spans="2:8" ht="13.5" customHeight="1" x14ac:dyDescent="0.25">
      <c r="B20" s="55" t="s">
        <v>554</v>
      </c>
      <c r="C20" s="56" t="s">
        <v>526</v>
      </c>
      <c r="D20" s="56" t="s">
        <v>423</v>
      </c>
      <c r="E20" s="56">
        <v>100</v>
      </c>
      <c r="F20" s="56" t="s">
        <v>583</v>
      </c>
      <c r="G20" s="56" t="s">
        <v>582</v>
      </c>
      <c r="H20" s="65">
        <v>26629</v>
      </c>
    </row>
    <row r="21" spans="2:8" x14ac:dyDescent="0.25">
      <c r="B21" s="55" t="s">
        <v>551</v>
      </c>
      <c r="C21" s="56" t="s">
        <v>527</v>
      </c>
      <c r="D21" s="56" t="s">
        <v>423</v>
      </c>
      <c r="E21" s="56">
        <v>100</v>
      </c>
      <c r="F21" s="56" t="s">
        <v>584</v>
      </c>
      <c r="G21" s="56" t="s">
        <v>585</v>
      </c>
      <c r="H21" s="65">
        <v>20782</v>
      </c>
    </row>
    <row r="22" spans="2:8" ht="15" customHeight="1" x14ac:dyDescent="0.25">
      <c r="B22" s="55" t="s">
        <v>552</v>
      </c>
      <c r="C22" s="56" t="s">
        <v>528</v>
      </c>
      <c r="D22" s="56" t="s">
        <v>423</v>
      </c>
      <c r="E22" s="56">
        <v>100</v>
      </c>
      <c r="F22" s="56" t="s">
        <v>586</v>
      </c>
      <c r="G22" s="56" t="s">
        <v>585</v>
      </c>
      <c r="H22" s="65">
        <v>28603</v>
      </c>
    </row>
    <row r="23" spans="2:8" x14ac:dyDescent="0.25">
      <c r="B23" s="55" t="s">
        <v>548</v>
      </c>
      <c r="C23" s="56" t="s">
        <v>529</v>
      </c>
      <c r="D23" s="56" t="s">
        <v>423</v>
      </c>
      <c r="E23" s="56">
        <v>100</v>
      </c>
      <c r="F23" s="56" t="s">
        <v>588</v>
      </c>
      <c r="G23" s="56" t="s">
        <v>587</v>
      </c>
      <c r="H23" s="65">
        <v>22518.471000000001</v>
      </c>
    </row>
    <row r="24" spans="2:8" x14ac:dyDescent="0.25">
      <c r="B24" s="55" t="s">
        <v>547</v>
      </c>
      <c r="C24" s="56" t="s">
        <v>530</v>
      </c>
      <c r="D24" s="56" t="s">
        <v>423</v>
      </c>
      <c r="E24" s="56">
        <v>100</v>
      </c>
      <c r="F24" s="56" t="s">
        <v>589</v>
      </c>
      <c r="G24" s="56" t="s">
        <v>587</v>
      </c>
      <c r="H24" s="65">
        <v>32673.063999999995</v>
      </c>
    </row>
    <row r="25" spans="2:8" x14ac:dyDescent="0.25">
      <c r="B25" s="55" t="s">
        <v>546</v>
      </c>
      <c r="C25" s="56" t="s">
        <v>531</v>
      </c>
      <c r="D25" s="56" t="s">
        <v>423</v>
      </c>
      <c r="E25" s="56">
        <v>100</v>
      </c>
      <c r="F25" s="56" t="s">
        <v>590</v>
      </c>
      <c r="G25" s="56" t="s">
        <v>592</v>
      </c>
      <c r="H25" s="65">
        <v>29759.111999999997</v>
      </c>
    </row>
    <row r="26" spans="2:8" x14ac:dyDescent="0.25">
      <c r="B26" s="55" t="s">
        <v>543</v>
      </c>
      <c r="C26" s="56" t="s">
        <v>532</v>
      </c>
      <c r="D26" s="56" t="s">
        <v>423</v>
      </c>
      <c r="E26" s="56">
        <v>100</v>
      </c>
      <c r="F26" s="56" t="s">
        <v>591</v>
      </c>
      <c r="G26" s="56" t="s">
        <v>592</v>
      </c>
      <c r="H26" s="65">
        <v>40801</v>
      </c>
    </row>
    <row r="27" spans="2:8" ht="15" customHeight="1" x14ac:dyDescent="0.25">
      <c r="B27" s="55" t="s">
        <v>544</v>
      </c>
      <c r="C27" s="56" t="s">
        <v>539</v>
      </c>
      <c r="D27" s="56" t="s">
        <v>423</v>
      </c>
      <c r="E27" s="56">
        <v>100</v>
      </c>
      <c r="F27" s="56" t="s">
        <v>593</v>
      </c>
      <c r="G27" s="56" t="s">
        <v>595</v>
      </c>
      <c r="H27" s="65">
        <v>40105</v>
      </c>
    </row>
    <row r="28" spans="2:8" ht="15" customHeight="1" thickBot="1" x14ac:dyDescent="0.3">
      <c r="B28" s="126" t="s">
        <v>545</v>
      </c>
      <c r="C28" s="127" t="s">
        <v>534</v>
      </c>
      <c r="D28" s="127" t="s">
        <v>423</v>
      </c>
      <c r="E28" s="127">
        <v>100</v>
      </c>
      <c r="F28" s="127" t="s">
        <v>594</v>
      </c>
      <c r="G28" s="127" t="s">
        <v>595</v>
      </c>
      <c r="H28" s="96">
        <v>57350</v>
      </c>
    </row>
    <row r="29" spans="2:8" ht="15" customHeight="1" thickBot="1" x14ac:dyDescent="0.3">
      <c r="B29" s="298" t="s">
        <v>2424</v>
      </c>
      <c r="C29" s="299"/>
      <c r="D29" s="299"/>
      <c r="E29" s="299"/>
      <c r="F29" s="299"/>
      <c r="G29" s="299"/>
      <c r="H29" s="300"/>
    </row>
    <row r="30" spans="2:8" ht="15.75" customHeight="1" x14ac:dyDescent="0.25">
      <c r="B30" s="131" t="s">
        <v>560</v>
      </c>
      <c r="C30" s="132" t="s">
        <v>565</v>
      </c>
      <c r="D30" s="132" t="s">
        <v>423</v>
      </c>
      <c r="E30" s="132">
        <v>12</v>
      </c>
      <c r="F30" s="132" t="s">
        <v>572</v>
      </c>
      <c r="G30" s="132" t="s">
        <v>573</v>
      </c>
      <c r="H30" s="99">
        <v>13409</v>
      </c>
    </row>
    <row r="31" spans="2:8" ht="15" customHeight="1" thickBot="1" x14ac:dyDescent="0.3">
      <c r="B31" s="126" t="s">
        <v>561</v>
      </c>
      <c r="C31" s="127" t="s">
        <v>520</v>
      </c>
      <c r="D31" s="127" t="s">
        <v>423</v>
      </c>
      <c r="E31" s="127">
        <v>12</v>
      </c>
      <c r="F31" s="127" t="s">
        <v>574</v>
      </c>
      <c r="G31" s="127" t="s">
        <v>573</v>
      </c>
      <c r="H31" s="96">
        <v>13722</v>
      </c>
    </row>
    <row r="32" spans="2:8" ht="15.75" thickBot="1" x14ac:dyDescent="0.3">
      <c r="B32" s="298" t="s">
        <v>2421</v>
      </c>
      <c r="C32" s="299"/>
      <c r="D32" s="299"/>
      <c r="E32" s="299"/>
      <c r="F32" s="299"/>
      <c r="G32" s="299"/>
      <c r="H32" s="300"/>
    </row>
    <row r="33" spans="2:8" x14ac:dyDescent="0.25">
      <c r="B33" s="131" t="s">
        <v>542</v>
      </c>
      <c r="C33" s="132" t="s">
        <v>535</v>
      </c>
      <c r="D33" s="132" t="s">
        <v>423</v>
      </c>
      <c r="E33" s="132">
        <v>100</v>
      </c>
      <c r="F33" s="132" t="s">
        <v>601</v>
      </c>
      <c r="G33" s="132" t="s">
        <v>596</v>
      </c>
      <c r="H33" s="99">
        <v>12799</v>
      </c>
    </row>
    <row r="34" spans="2:8" ht="14.25" customHeight="1" x14ac:dyDescent="0.25">
      <c r="B34" s="55" t="s">
        <v>1885</v>
      </c>
      <c r="C34" s="56" t="s">
        <v>536</v>
      </c>
      <c r="D34" s="56" t="s">
        <v>423</v>
      </c>
      <c r="E34" s="56">
        <v>50</v>
      </c>
      <c r="F34" s="56" t="s">
        <v>602</v>
      </c>
      <c r="G34" s="56" t="s">
        <v>587</v>
      </c>
      <c r="H34" s="65">
        <v>17279</v>
      </c>
    </row>
    <row r="35" spans="2:8" x14ac:dyDescent="0.25">
      <c r="B35" s="55" t="s">
        <v>556</v>
      </c>
      <c r="C35" s="56" t="s">
        <v>537</v>
      </c>
      <c r="D35" s="56" t="s">
        <v>423</v>
      </c>
      <c r="E35" s="56">
        <v>50</v>
      </c>
      <c r="F35" s="56" t="s">
        <v>603</v>
      </c>
      <c r="G35" s="56" t="s">
        <v>576</v>
      </c>
      <c r="H35" s="65">
        <v>10587</v>
      </c>
    </row>
    <row r="36" spans="2:8" ht="15.75" thickBot="1" x14ac:dyDescent="0.3">
      <c r="B36" s="55" t="s">
        <v>557</v>
      </c>
      <c r="C36" s="56" t="s">
        <v>538</v>
      </c>
      <c r="D36" s="56" t="s">
        <v>423</v>
      </c>
      <c r="E36" s="56">
        <v>50</v>
      </c>
      <c r="F36" s="56" t="s">
        <v>2420</v>
      </c>
      <c r="G36" s="56" t="s">
        <v>582</v>
      </c>
      <c r="H36" s="65">
        <v>14064</v>
      </c>
    </row>
    <row r="37" spans="2:8" ht="15.75" customHeight="1" thickBot="1" x14ac:dyDescent="0.3">
      <c r="B37" s="298" t="s">
        <v>2426</v>
      </c>
      <c r="C37" s="299"/>
      <c r="D37" s="299"/>
      <c r="E37" s="299"/>
      <c r="F37" s="299"/>
      <c r="G37" s="299"/>
      <c r="H37" s="297"/>
    </row>
    <row r="38" spans="2:8" ht="15.75" thickBot="1" x14ac:dyDescent="0.3">
      <c r="B38" s="53" t="s">
        <v>558</v>
      </c>
      <c r="C38" s="54" t="s">
        <v>540</v>
      </c>
      <c r="D38" s="54" t="s">
        <v>423</v>
      </c>
      <c r="E38" s="54">
        <v>100</v>
      </c>
      <c r="F38" s="54" t="s">
        <v>597</v>
      </c>
      <c r="G38" s="54" t="s">
        <v>600</v>
      </c>
      <c r="H38" s="72">
        <v>17553</v>
      </c>
    </row>
    <row r="39" spans="2:8" ht="15.75" thickBot="1" x14ac:dyDescent="0.3">
      <c r="B39" s="298" t="s">
        <v>2425</v>
      </c>
      <c r="C39" s="299"/>
      <c r="D39" s="299"/>
      <c r="E39" s="299"/>
      <c r="F39" s="299"/>
      <c r="G39" s="299"/>
      <c r="H39" s="300"/>
    </row>
    <row r="40" spans="2:8" ht="15.75" thickBot="1" x14ac:dyDescent="0.3">
      <c r="B40" s="57" t="s">
        <v>559</v>
      </c>
      <c r="C40" s="58" t="s">
        <v>541</v>
      </c>
      <c r="D40" s="58" t="s">
        <v>423</v>
      </c>
      <c r="E40" s="58">
        <v>500</v>
      </c>
      <c r="F40" s="58" t="s">
        <v>598</v>
      </c>
      <c r="G40" s="58" t="s">
        <v>599</v>
      </c>
      <c r="H40" s="72">
        <v>24441</v>
      </c>
    </row>
    <row r="41" spans="2:8" ht="15.75" customHeight="1" thickBot="1" x14ac:dyDescent="0.3">
      <c r="B41" s="301" t="s">
        <v>668</v>
      </c>
      <c r="C41" s="302"/>
      <c r="D41" s="302"/>
      <c r="E41" s="302"/>
      <c r="F41" s="302"/>
      <c r="G41" s="302"/>
      <c r="H41" s="303"/>
    </row>
    <row r="42" spans="2:8" s="3" customFormat="1" x14ac:dyDescent="0.25">
      <c r="B42" s="106" t="s">
        <v>664</v>
      </c>
      <c r="C42" s="79" t="s">
        <v>670</v>
      </c>
      <c r="D42" s="79" t="s">
        <v>423</v>
      </c>
      <c r="E42" s="79">
        <v>500</v>
      </c>
      <c r="F42" s="79" t="s">
        <v>2427</v>
      </c>
      <c r="G42" s="79" t="s">
        <v>848</v>
      </c>
      <c r="H42" s="81">
        <f>_xlfn.XLOOKUP(B42,lista!A:A,lista!C:C,0,0)</f>
        <v>72335</v>
      </c>
    </row>
    <row r="43" spans="2:8" s="3" customFormat="1" x14ac:dyDescent="0.25">
      <c r="B43" s="31" t="s">
        <v>676</v>
      </c>
      <c r="C43" s="74" t="s">
        <v>684</v>
      </c>
      <c r="D43" s="74" t="s">
        <v>423</v>
      </c>
      <c r="E43" s="74">
        <v>500</v>
      </c>
      <c r="F43" s="74" t="s">
        <v>2428</v>
      </c>
      <c r="G43" s="74" t="s">
        <v>853</v>
      </c>
      <c r="H43" s="65">
        <v>42224</v>
      </c>
    </row>
    <row r="44" spans="2:8" s="3" customFormat="1" x14ac:dyDescent="0.25">
      <c r="B44" s="31" t="s">
        <v>665</v>
      </c>
      <c r="C44" s="74" t="s">
        <v>671</v>
      </c>
      <c r="D44" s="74" t="s">
        <v>423</v>
      </c>
      <c r="E44" s="74">
        <v>500</v>
      </c>
      <c r="F44" s="74" t="s">
        <v>2430</v>
      </c>
      <c r="G44" s="74" t="s">
        <v>849</v>
      </c>
      <c r="H44" s="65">
        <f>_xlfn.XLOOKUP(B44,lista!A:A,lista!C:C,0,0)</f>
        <v>94342</v>
      </c>
    </row>
    <row r="45" spans="2:8" s="3" customFormat="1" x14ac:dyDescent="0.25">
      <c r="B45" s="31" t="s">
        <v>677</v>
      </c>
      <c r="C45" s="74" t="s">
        <v>685</v>
      </c>
      <c r="D45" s="74" t="s">
        <v>423</v>
      </c>
      <c r="E45" s="74">
        <v>500</v>
      </c>
      <c r="F45" s="74" t="s">
        <v>2429</v>
      </c>
      <c r="G45" s="74" t="s">
        <v>854</v>
      </c>
      <c r="H45" s="65">
        <v>72898</v>
      </c>
    </row>
    <row r="46" spans="2:8" s="3" customFormat="1" x14ac:dyDescent="0.25">
      <c r="B46" s="31" t="s">
        <v>666</v>
      </c>
      <c r="C46" s="74" t="s">
        <v>672</v>
      </c>
      <c r="D46" s="74" t="s">
        <v>423</v>
      </c>
      <c r="E46" s="74">
        <v>250</v>
      </c>
      <c r="F46" s="74" t="s">
        <v>2432</v>
      </c>
      <c r="G46" s="74" t="s">
        <v>850</v>
      </c>
      <c r="H46" s="65">
        <f>_xlfn.XLOOKUP(B46,lista!A:A,lista!C:C,0,0)</f>
        <v>58920</v>
      </c>
    </row>
    <row r="47" spans="2:8" s="3" customFormat="1" x14ac:dyDescent="0.25">
      <c r="B47" s="105" t="s">
        <v>680</v>
      </c>
      <c r="C47" s="92" t="s">
        <v>688</v>
      </c>
      <c r="D47" s="92" t="s">
        <v>423</v>
      </c>
      <c r="E47" s="92">
        <v>500</v>
      </c>
      <c r="F47" s="92" t="s">
        <v>2431</v>
      </c>
      <c r="G47" s="92" t="s">
        <v>856</v>
      </c>
      <c r="H47" s="65">
        <v>80150</v>
      </c>
    </row>
    <row r="48" spans="2:8" s="3" customFormat="1" x14ac:dyDescent="0.25">
      <c r="B48" s="31" t="s">
        <v>667</v>
      </c>
      <c r="C48" s="74" t="s">
        <v>673</v>
      </c>
      <c r="D48" s="74" t="s">
        <v>423</v>
      </c>
      <c r="E48" s="74">
        <v>100</v>
      </c>
      <c r="F48" s="74" t="s">
        <v>2434</v>
      </c>
      <c r="G48" s="74" t="s">
        <v>2435</v>
      </c>
      <c r="H48" s="65">
        <v>58108</v>
      </c>
    </row>
    <row r="49" spans="2:8" s="3" customFormat="1" x14ac:dyDescent="0.25">
      <c r="B49" s="31" t="s">
        <v>679</v>
      </c>
      <c r="C49" s="74" t="s">
        <v>687</v>
      </c>
      <c r="D49" s="74" t="s">
        <v>423</v>
      </c>
      <c r="E49" s="74">
        <v>100</v>
      </c>
      <c r="F49" s="74" t="s">
        <v>5241</v>
      </c>
      <c r="G49" s="74" t="s">
        <v>855</v>
      </c>
      <c r="H49" s="65">
        <v>45116</v>
      </c>
    </row>
    <row r="50" spans="2:8" s="3" customFormat="1" x14ac:dyDescent="0.25">
      <c r="B50" s="31" t="s">
        <v>674</v>
      </c>
      <c r="C50" s="74" t="s">
        <v>682</v>
      </c>
      <c r="D50" s="74" t="s">
        <v>423</v>
      </c>
      <c r="E50" s="74">
        <v>100</v>
      </c>
      <c r="F50" s="74" t="s">
        <v>2436</v>
      </c>
      <c r="G50" s="74" t="s">
        <v>851</v>
      </c>
      <c r="H50" s="65">
        <f>_xlfn.XLOOKUP(B50,lista!A:A,lista!C:C,0,0)</f>
        <v>73505</v>
      </c>
    </row>
    <row r="51" spans="2:8" s="3" customFormat="1" ht="15.75" thickBot="1" x14ac:dyDescent="0.3">
      <c r="B51" s="107" t="s">
        <v>675</v>
      </c>
      <c r="C51" s="75" t="s">
        <v>683</v>
      </c>
      <c r="D51" s="75" t="s">
        <v>423</v>
      </c>
      <c r="E51" s="75">
        <v>100</v>
      </c>
      <c r="F51" s="75" t="s">
        <v>2437</v>
      </c>
      <c r="G51" s="75" t="s">
        <v>852</v>
      </c>
      <c r="H51" s="89">
        <v>58252</v>
      </c>
    </row>
    <row r="52" spans="2:8" s="3" customFormat="1" ht="15.75" thickBot="1" x14ac:dyDescent="0.3">
      <c r="B52" s="295" t="s">
        <v>2433</v>
      </c>
      <c r="C52" s="296"/>
      <c r="D52" s="296"/>
      <c r="E52" s="296"/>
      <c r="F52" s="296"/>
      <c r="G52" s="296"/>
      <c r="H52" s="297"/>
    </row>
    <row r="53" spans="2:8" s="3" customFormat="1" x14ac:dyDescent="0.25">
      <c r="B53" s="106" t="s">
        <v>681</v>
      </c>
      <c r="C53" s="79" t="s">
        <v>689</v>
      </c>
      <c r="D53" s="79" t="s">
        <v>423</v>
      </c>
      <c r="E53" s="79">
        <v>200</v>
      </c>
      <c r="F53" s="79" t="s">
        <v>696</v>
      </c>
      <c r="G53" s="79" t="s">
        <v>857</v>
      </c>
      <c r="H53" s="73">
        <f>_xlfn.XLOOKUP(B53,lista!A:A,lista!C:C,0,0)</f>
        <v>56910</v>
      </c>
    </row>
    <row r="54" spans="2:8" s="3" customFormat="1" ht="15.75" thickBot="1" x14ac:dyDescent="0.3">
      <c r="B54" s="107" t="s">
        <v>678</v>
      </c>
      <c r="C54" s="75" t="s">
        <v>686</v>
      </c>
      <c r="D54" s="75" t="s">
        <v>423</v>
      </c>
      <c r="E54" s="75">
        <v>200</v>
      </c>
      <c r="F54" s="75" t="s">
        <v>858</v>
      </c>
      <c r="G54" s="75" t="s">
        <v>859</v>
      </c>
      <c r="H54" s="108">
        <v>37234</v>
      </c>
    </row>
    <row r="55" spans="2:8" x14ac:dyDescent="0.25">
      <c r="B55" s="27" t="s">
        <v>419</v>
      </c>
      <c r="D55" s="78"/>
    </row>
  </sheetData>
  <mergeCells count="9">
    <mergeCell ref="B2:H2"/>
    <mergeCell ref="B52:H52"/>
    <mergeCell ref="B5:H5"/>
    <mergeCell ref="B13:H13"/>
    <mergeCell ref="B37:H37"/>
    <mergeCell ref="B41:H41"/>
    <mergeCell ref="B32:H32"/>
    <mergeCell ref="B29:H29"/>
    <mergeCell ref="B39:H39"/>
  </mergeCells>
  <phoneticPr fontId="10" type="noConversion"/>
  <pageMargins left="0.7" right="0.7" top="0.75" bottom="0.75" header="0.3" footer="0.3"/>
  <pageSetup paperSize="9" scale="6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8B47-2216-4394-9C01-CDBD237C6232}">
  <dimension ref="B1:H64"/>
  <sheetViews>
    <sheetView topLeftCell="A45" workbookViewId="0">
      <selection activeCell="J62" sqref="J62"/>
    </sheetView>
  </sheetViews>
  <sheetFormatPr baseColWidth="10" defaultRowHeight="15" x14ac:dyDescent="0.25"/>
  <cols>
    <col min="1" max="1" width="5.85546875" customWidth="1"/>
    <col min="2" max="2" width="15.5703125" customWidth="1"/>
    <col min="3" max="3" width="13.42578125" customWidth="1"/>
    <col min="4" max="4" width="8.140625" customWidth="1"/>
    <col min="5" max="5" width="9.7109375" customWidth="1"/>
    <col min="6" max="6" width="50.28515625" customWidth="1"/>
    <col min="7" max="7" width="14.28515625" customWidth="1"/>
    <col min="8" max="8" width="11.710937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100"/>
      <c r="G3" s="97"/>
      <c r="H3" s="67"/>
    </row>
    <row r="4" spans="2:8" ht="24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5.75" thickBot="1" x14ac:dyDescent="0.3">
      <c r="B5" s="304" t="s">
        <v>2377</v>
      </c>
      <c r="C5" s="305"/>
      <c r="D5" s="305"/>
      <c r="E5" s="305"/>
      <c r="F5" s="305"/>
      <c r="G5" s="305"/>
      <c r="H5" s="306"/>
    </row>
    <row r="6" spans="2:8" x14ac:dyDescent="0.25">
      <c r="B6" s="42" t="s">
        <v>58</v>
      </c>
      <c r="C6" s="43" t="s">
        <v>228</v>
      </c>
      <c r="D6" s="174" t="s">
        <v>423</v>
      </c>
      <c r="E6" s="44">
        <v>1000</v>
      </c>
      <c r="F6" s="43" t="s">
        <v>2438</v>
      </c>
      <c r="G6" s="32"/>
      <c r="H6" s="99">
        <v>49893</v>
      </c>
    </row>
    <row r="7" spans="2:8" ht="14.25" customHeight="1" x14ac:dyDescent="0.25">
      <c r="B7" s="33" t="s">
        <v>63</v>
      </c>
      <c r="C7" s="34" t="s">
        <v>235</v>
      </c>
      <c r="D7" s="34" t="s">
        <v>423</v>
      </c>
      <c r="E7" s="35">
        <v>1000</v>
      </c>
      <c r="F7" s="34" t="s">
        <v>2440</v>
      </c>
      <c r="G7" s="8"/>
      <c r="H7" s="65">
        <v>51809</v>
      </c>
    </row>
    <row r="8" spans="2:8" ht="14.25" customHeight="1" x14ac:dyDescent="0.25">
      <c r="B8" s="33" t="s">
        <v>64</v>
      </c>
      <c r="C8" s="34" t="s">
        <v>237</v>
      </c>
      <c r="D8" s="34" t="s">
        <v>423</v>
      </c>
      <c r="E8" s="35">
        <v>240</v>
      </c>
      <c r="F8" s="34" t="s">
        <v>2439</v>
      </c>
      <c r="G8" s="8"/>
      <c r="H8" s="65">
        <v>12837</v>
      </c>
    </row>
    <row r="9" spans="2:8" x14ac:dyDescent="0.25">
      <c r="B9" s="33" t="s">
        <v>59</v>
      </c>
      <c r="C9" s="34" t="s">
        <v>230</v>
      </c>
      <c r="D9" s="34" t="s">
        <v>423</v>
      </c>
      <c r="E9" s="35">
        <v>1000</v>
      </c>
      <c r="F9" s="34" t="s">
        <v>2441</v>
      </c>
      <c r="G9" s="8"/>
      <c r="H9" s="65">
        <v>46744</v>
      </c>
    </row>
    <row r="10" spans="2:8" ht="14.25" customHeight="1" x14ac:dyDescent="0.25">
      <c r="B10" s="33" t="s">
        <v>65</v>
      </c>
      <c r="C10" s="34" t="s">
        <v>239</v>
      </c>
      <c r="D10" s="34" t="s">
        <v>423</v>
      </c>
      <c r="E10" s="35">
        <v>1000</v>
      </c>
      <c r="F10" s="34" t="s">
        <v>2442</v>
      </c>
      <c r="G10" s="8"/>
      <c r="H10" s="65">
        <v>47588</v>
      </c>
    </row>
    <row r="11" spans="2:8" x14ac:dyDescent="0.25">
      <c r="B11" s="33" t="s">
        <v>66</v>
      </c>
      <c r="C11" s="34" t="s">
        <v>241</v>
      </c>
      <c r="D11" s="34" t="s">
        <v>423</v>
      </c>
      <c r="E11" s="35">
        <v>240</v>
      </c>
      <c r="F11" s="34" t="s">
        <v>2443</v>
      </c>
      <c r="G11" s="8"/>
      <c r="H11" s="65">
        <v>11960</v>
      </c>
    </row>
    <row r="12" spans="2:8" x14ac:dyDescent="0.25">
      <c r="B12" s="33" t="s">
        <v>60</v>
      </c>
      <c r="C12" s="34" t="s">
        <v>232</v>
      </c>
      <c r="D12" s="34" t="s">
        <v>423</v>
      </c>
      <c r="E12" s="35">
        <v>1000</v>
      </c>
      <c r="F12" s="34" t="s">
        <v>2444</v>
      </c>
      <c r="G12" s="8"/>
      <c r="H12" s="65">
        <v>40577</v>
      </c>
    </row>
    <row r="13" spans="2:8" x14ac:dyDescent="0.25">
      <c r="B13" s="33" t="s">
        <v>62</v>
      </c>
      <c r="C13" s="34" t="s">
        <v>233</v>
      </c>
      <c r="D13" s="34" t="s">
        <v>423</v>
      </c>
      <c r="E13" s="35">
        <v>1000</v>
      </c>
      <c r="F13" s="34" t="s">
        <v>2445</v>
      </c>
      <c r="G13" s="8"/>
      <c r="H13" s="65">
        <v>56710</v>
      </c>
    </row>
    <row r="14" spans="2:8" ht="15.75" thickBot="1" x14ac:dyDescent="0.3">
      <c r="B14" s="176" t="s">
        <v>67</v>
      </c>
      <c r="C14" s="36" t="s">
        <v>243</v>
      </c>
      <c r="D14" s="174" t="s">
        <v>423</v>
      </c>
      <c r="E14" s="37">
        <v>1000</v>
      </c>
      <c r="F14" s="36" t="s">
        <v>2446</v>
      </c>
      <c r="G14" s="177"/>
      <c r="H14" s="96">
        <v>58964</v>
      </c>
    </row>
    <row r="15" spans="2:8" ht="15.75" thickBot="1" x14ac:dyDescent="0.3">
      <c r="B15" s="304" t="s">
        <v>2378</v>
      </c>
      <c r="C15" s="305"/>
      <c r="D15" s="305"/>
      <c r="E15" s="305"/>
      <c r="F15" s="305"/>
      <c r="G15" s="305"/>
      <c r="H15" s="306"/>
    </row>
    <row r="16" spans="2:8" x14ac:dyDescent="0.25">
      <c r="B16" s="42" t="s">
        <v>71</v>
      </c>
      <c r="C16" s="43" t="s">
        <v>245</v>
      </c>
      <c r="D16" s="43" t="s">
        <v>423</v>
      </c>
      <c r="E16" s="44">
        <v>1000</v>
      </c>
      <c r="F16" s="43" t="s">
        <v>246</v>
      </c>
      <c r="G16" s="32"/>
      <c r="H16" s="99">
        <v>29253</v>
      </c>
    </row>
    <row r="17" spans="2:8" x14ac:dyDescent="0.25">
      <c r="B17" s="33" t="s">
        <v>72</v>
      </c>
      <c r="C17" s="34" t="s">
        <v>247</v>
      </c>
      <c r="D17" s="34" t="s">
        <v>423</v>
      </c>
      <c r="E17" s="35">
        <v>1000</v>
      </c>
      <c r="F17" s="34" t="s">
        <v>248</v>
      </c>
      <c r="G17" s="8"/>
      <c r="H17" s="65">
        <v>26445</v>
      </c>
    </row>
    <row r="18" spans="2:8" x14ac:dyDescent="0.25">
      <c r="B18" s="33" t="s">
        <v>73</v>
      </c>
      <c r="C18" s="34" t="s">
        <v>249</v>
      </c>
      <c r="D18" s="34" t="s">
        <v>423</v>
      </c>
      <c r="E18" s="35">
        <v>1000</v>
      </c>
      <c r="F18" s="34" t="s">
        <v>250</v>
      </c>
      <c r="G18" s="8"/>
      <c r="H18" s="65">
        <v>26314</v>
      </c>
    </row>
    <row r="19" spans="2:8" ht="13.5" customHeight="1" x14ac:dyDescent="0.25">
      <c r="B19" s="33" t="s">
        <v>74</v>
      </c>
      <c r="C19" s="34" t="s">
        <v>251</v>
      </c>
      <c r="D19" s="34" t="s">
        <v>423</v>
      </c>
      <c r="E19" s="35">
        <v>1000</v>
      </c>
      <c r="F19" s="34" t="s">
        <v>252</v>
      </c>
      <c r="G19" s="8"/>
      <c r="H19" s="65">
        <v>24106</v>
      </c>
    </row>
    <row r="20" spans="2:8" x14ac:dyDescent="0.25">
      <c r="B20" s="33" t="s">
        <v>75</v>
      </c>
      <c r="C20" s="34" t="s">
        <v>253</v>
      </c>
      <c r="D20" s="34" t="s">
        <v>423</v>
      </c>
      <c r="E20" s="35">
        <v>1000</v>
      </c>
      <c r="F20" s="34" t="s">
        <v>2447</v>
      </c>
      <c r="G20" s="8"/>
      <c r="H20" s="65">
        <v>25862</v>
      </c>
    </row>
    <row r="21" spans="2:8" x14ac:dyDescent="0.25">
      <c r="B21" s="33" t="s">
        <v>76</v>
      </c>
      <c r="C21" s="34" t="s">
        <v>255</v>
      </c>
      <c r="D21" s="34" t="s">
        <v>423</v>
      </c>
      <c r="E21" s="35">
        <v>1000</v>
      </c>
      <c r="F21" s="34" t="s">
        <v>2448</v>
      </c>
      <c r="G21" s="8"/>
      <c r="H21" s="65">
        <v>23335</v>
      </c>
    </row>
    <row r="22" spans="2:8" x14ac:dyDescent="0.25">
      <c r="B22" s="33" t="s">
        <v>77</v>
      </c>
      <c r="C22" s="34" t="s">
        <v>257</v>
      </c>
      <c r="D22" s="34" t="s">
        <v>423</v>
      </c>
      <c r="E22" s="35">
        <v>1000</v>
      </c>
      <c r="F22" s="34" t="s">
        <v>2449</v>
      </c>
      <c r="G22" s="8"/>
      <c r="H22" s="65">
        <v>38937</v>
      </c>
    </row>
    <row r="23" spans="2:8" x14ac:dyDescent="0.25">
      <c r="B23" s="33" t="s">
        <v>78</v>
      </c>
      <c r="C23" s="34" t="s">
        <v>259</v>
      </c>
      <c r="D23" s="34" t="s">
        <v>423</v>
      </c>
      <c r="E23" s="35">
        <v>1000</v>
      </c>
      <c r="F23" s="34" t="s">
        <v>2450</v>
      </c>
      <c r="G23" s="8"/>
      <c r="H23" s="65">
        <v>35502</v>
      </c>
    </row>
    <row r="24" spans="2:8" x14ac:dyDescent="0.25">
      <c r="B24" s="33" t="s">
        <v>79</v>
      </c>
      <c r="C24" s="34" t="s">
        <v>261</v>
      </c>
      <c r="D24" s="34" t="s">
        <v>423</v>
      </c>
      <c r="E24" s="35">
        <v>1000</v>
      </c>
      <c r="F24" s="34" t="s">
        <v>2451</v>
      </c>
      <c r="G24" s="8" t="s">
        <v>262</v>
      </c>
      <c r="H24" s="65">
        <v>13380</v>
      </c>
    </row>
    <row r="25" spans="2:8" ht="15.75" thickBot="1" x14ac:dyDescent="0.3">
      <c r="B25" s="176" t="s">
        <v>80</v>
      </c>
      <c r="C25" s="36" t="s">
        <v>263</v>
      </c>
      <c r="D25" s="36" t="s">
        <v>423</v>
      </c>
      <c r="E25" s="37">
        <v>1000</v>
      </c>
      <c r="F25" s="36" t="s">
        <v>2452</v>
      </c>
      <c r="G25" s="177" t="s">
        <v>262</v>
      </c>
      <c r="H25" s="96">
        <v>12351</v>
      </c>
    </row>
    <row r="26" spans="2:8" ht="15.75" thickBot="1" x14ac:dyDescent="0.3">
      <c r="B26" s="304" t="s">
        <v>2456</v>
      </c>
      <c r="C26" s="305"/>
      <c r="D26" s="305"/>
      <c r="E26" s="305"/>
      <c r="F26" s="305"/>
      <c r="G26" s="305"/>
      <c r="H26" s="306"/>
    </row>
    <row r="27" spans="2:8" x14ac:dyDescent="0.25">
      <c r="B27" s="42" t="s">
        <v>81</v>
      </c>
      <c r="C27" s="43" t="s">
        <v>264</v>
      </c>
      <c r="D27" s="43" t="s">
        <v>423</v>
      </c>
      <c r="E27" s="44">
        <v>180</v>
      </c>
      <c r="F27" s="43" t="s">
        <v>2453</v>
      </c>
      <c r="G27" s="32"/>
      <c r="H27" s="99">
        <v>60944.163</v>
      </c>
    </row>
    <row r="28" spans="2:8" x14ac:dyDescent="0.25">
      <c r="B28" s="33" t="s">
        <v>82</v>
      </c>
      <c r="C28" s="34" t="s">
        <v>266</v>
      </c>
      <c r="D28" s="34" t="s">
        <v>423</v>
      </c>
      <c r="E28" s="35">
        <v>180</v>
      </c>
      <c r="F28" s="34" t="s">
        <v>2454</v>
      </c>
      <c r="G28" s="8"/>
      <c r="H28" s="65">
        <v>75307.98</v>
      </c>
    </row>
    <row r="29" spans="2:8" x14ac:dyDescent="0.25">
      <c r="B29" s="33" t="s">
        <v>83</v>
      </c>
      <c r="C29" s="34" t="s">
        <v>268</v>
      </c>
      <c r="D29" s="34" t="s">
        <v>423</v>
      </c>
      <c r="E29" s="35">
        <v>180</v>
      </c>
      <c r="F29" s="34" t="s">
        <v>2455</v>
      </c>
      <c r="G29" s="8"/>
      <c r="H29" s="65">
        <v>114982.9994</v>
      </c>
    </row>
    <row r="30" spans="2:8" x14ac:dyDescent="0.25">
      <c r="B30" s="33" t="s">
        <v>84</v>
      </c>
      <c r="C30" s="34" t="s">
        <v>270</v>
      </c>
      <c r="D30" s="34" t="s">
        <v>423</v>
      </c>
      <c r="E30" s="35">
        <v>480</v>
      </c>
      <c r="F30" s="34" t="s">
        <v>271</v>
      </c>
      <c r="G30" s="8"/>
      <c r="H30" s="65">
        <v>58199.696799999998</v>
      </c>
    </row>
    <row r="31" spans="2:8" ht="15.75" thickBot="1" x14ac:dyDescent="0.3">
      <c r="B31" s="176" t="s">
        <v>85</v>
      </c>
      <c r="C31" s="36" t="s">
        <v>272</v>
      </c>
      <c r="D31" s="36" t="s">
        <v>423</v>
      </c>
      <c r="E31" s="37">
        <v>480</v>
      </c>
      <c r="F31" s="36" t="s">
        <v>273</v>
      </c>
      <c r="G31" s="177"/>
      <c r="H31" s="96">
        <v>126189.99679999998</v>
      </c>
    </row>
    <row r="32" spans="2:8" ht="15.75" thickBot="1" x14ac:dyDescent="0.3">
      <c r="B32" s="304" t="s">
        <v>2457</v>
      </c>
      <c r="C32" s="305"/>
      <c r="D32" s="305"/>
      <c r="E32" s="305"/>
      <c r="F32" s="305"/>
      <c r="G32" s="305"/>
      <c r="H32" s="306"/>
    </row>
    <row r="33" spans="2:8" x14ac:dyDescent="0.25">
      <c r="B33" s="42" t="s">
        <v>89</v>
      </c>
      <c r="C33" s="43" t="s">
        <v>274</v>
      </c>
      <c r="D33" s="43" t="s">
        <v>423</v>
      </c>
      <c r="E33" s="44">
        <v>1000</v>
      </c>
      <c r="F33" s="43" t="s">
        <v>275</v>
      </c>
      <c r="G33" s="32"/>
      <c r="H33" s="99">
        <v>75975</v>
      </c>
    </row>
    <row r="34" spans="2:8" x14ac:dyDescent="0.25">
      <c r="B34" s="33" t="s">
        <v>90</v>
      </c>
      <c r="C34" s="34" t="s">
        <v>276</v>
      </c>
      <c r="D34" s="34" t="s">
        <v>423</v>
      </c>
      <c r="E34" s="35">
        <v>1000</v>
      </c>
      <c r="F34" s="34" t="s">
        <v>277</v>
      </c>
      <c r="G34" s="8"/>
      <c r="H34" s="65">
        <v>104557</v>
      </c>
    </row>
    <row r="35" spans="2:8" x14ac:dyDescent="0.25">
      <c r="B35" s="33" t="s">
        <v>91</v>
      </c>
      <c r="C35" s="34" t="s">
        <v>278</v>
      </c>
      <c r="D35" s="34" t="s">
        <v>423</v>
      </c>
      <c r="E35" s="35">
        <v>500</v>
      </c>
      <c r="F35" s="34" t="s">
        <v>279</v>
      </c>
      <c r="G35" s="8"/>
      <c r="H35" s="65">
        <v>78960</v>
      </c>
    </row>
    <row r="36" spans="2:8" ht="15.75" thickBot="1" x14ac:dyDescent="0.3">
      <c r="B36" s="176" t="s">
        <v>92</v>
      </c>
      <c r="C36" s="36" t="s">
        <v>280</v>
      </c>
      <c r="D36" s="36" t="s">
        <v>423</v>
      </c>
      <c r="E36" s="37">
        <v>500</v>
      </c>
      <c r="F36" s="36" t="s">
        <v>281</v>
      </c>
      <c r="G36" s="177"/>
      <c r="H36" s="96">
        <v>104779</v>
      </c>
    </row>
    <row r="37" spans="2:8" ht="15.75" thickBot="1" x14ac:dyDescent="0.3">
      <c r="B37" s="304" t="s">
        <v>2459</v>
      </c>
      <c r="C37" s="305"/>
      <c r="D37" s="305"/>
      <c r="E37" s="305"/>
      <c r="F37" s="305"/>
      <c r="G37" s="305"/>
      <c r="H37" s="306"/>
    </row>
    <row r="38" spans="2:8" ht="15.75" thickBot="1" x14ac:dyDescent="0.3">
      <c r="B38" s="33" t="s">
        <v>962</v>
      </c>
      <c r="C38" s="34" t="s">
        <v>963</v>
      </c>
      <c r="D38" s="34" t="s">
        <v>423</v>
      </c>
      <c r="E38" s="35">
        <v>480</v>
      </c>
      <c r="F38" s="78" t="s">
        <v>2458</v>
      </c>
      <c r="G38" s="8"/>
      <c r="H38" s="65">
        <f>_xlfn.XLOOKUP(B38,lista!A:A,lista!C:C,0,0)</f>
        <v>69125</v>
      </c>
    </row>
    <row r="39" spans="2:8" ht="15.75" thickBot="1" x14ac:dyDescent="0.3">
      <c r="B39" s="304" t="s">
        <v>2379</v>
      </c>
      <c r="C39" s="305"/>
      <c r="D39" s="305"/>
      <c r="E39" s="305"/>
      <c r="F39" s="305"/>
      <c r="G39" s="305"/>
      <c r="H39" s="306"/>
    </row>
    <row r="40" spans="2:8" x14ac:dyDescent="0.25">
      <c r="B40" s="42" t="s">
        <v>93</v>
      </c>
      <c r="C40" s="43" t="s">
        <v>282</v>
      </c>
      <c r="D40" s="43" t="s">
        <v>423</v>
      </c>
      <c r="E40" s="44">
        <v>625</v>
      </c>
      <c r="F40" s="43" t="s">
        <v>283</v>
      </c>
      <c r="G40" s="32"/>
      <c r="H40" s="99">
        <v>36908</v>
      </c>
    </row>
    <row r="41" spans="2:8" x14ac:dyDescent="0.25">
      <c r="B41" s="33" t="s">
        <v>94</v>
      </c>
      <c r="C41" s="34" t="s">
        <v>284</v>
      </c>
      <c r="D41" s="34" t="s">
        <v>423</v>
      </c>
      <c r="E41" s="35">
        <v>300</v>
      </c>
      <c r="F41" s="34" t="s">
        <v>285</v>
      </c>
      <c r="G41" s="8"/>
      <c r="H41" s="65">
        <v>24509</v>
      </c>
    </row>
    <row r="42" spans="2:8" x14ac:dyDescent="0.25">
      <c r="B42" s="33" t="s">
        <v>95</v>
      </c>
      <c r="C42" s="34" t="s">
        <v>286</v>
      </c>
      <c r="D42" s="34" t="s">
        <v>423</v>
      </c>
      <c r="E42" s="35">
        <v>180</v>
      </c>
      <c r="F42" s="34" t="s">
        <v>287</v>
      </c>
      <c r="G42" s="8"/>
      <c r="H42" s="65">
        <v>26330</v>
      </c>
    </row>
    <row r="43" spans="2:8" x14ac:dyDescent="0.25">
      <c r="B43" s="33" t="s">
        <v>96</v>
      </c>
      <c r="C43" s="34" t="s">
        <v>288</v>
      </c>
      <c r="D43" s="34" t="s">
        <v>423</v>
      </c>
      <c r="E43" s="35">
        <v>180</v>
      </c>
      <c r="F43" s="34" t="s">
        <v>289</v>
      </c>
      <c r="G43" s="8"/>
      <c r="H43" s="65">
        <v>34487</v>
      </c>
    </row>
    <row r="44" spans="2:8" ht="15.75" thickBot="1" x14ac:dyDescent="0.3">
      <c r="B44" s="176" t="s">
        <v>97</v>
      </c>
      <c r="C44" s="36" t="s">
        <v>290</v>
      </c>
      <c r="D44" s="36" t="s">
        <v>423</v>
      </c>
      <c r="E44" s="37">
        <v>180</v>
      </c>
      <c r="F44" s="36" t="s">
        <v>291</v>
      </c>
      <c r="G44" s="177"/>
      <c r="H44" s="96">
        <v>43968</v>
      </c>
    </row>
    <row r="45" spans="2:8" ht="15.75" thickBot="1" x14ac:dyDescent="0.3">
      <c r="B45" s="304" t="s">
        <v>2460</v>
      </c>
      <c r="C45" s="305"/>
      <c r="D45" s="305"/>
      <c r="E45" s="305"/>
      <c r="F45" s="305"/>
      <c r="G45" s="305"/>
      <c r="H45" s="306"/>
    </row>
    <row r="46" spans="2:8" x14ac:dyDescent="0.25">
      <c r="B46" s="42" t="s">
        <v>98</v>
      </c>
      <c r="C46" s="43" t="s">
        <v>292</v>
      </c>
      <c r="D46" s="43" t="s">
        <v>423</v>
      </c>
      <c r="E46" s="44">
        <v>480</v>
      </c>
      <c r="F46" s="43" t="s">
        <v>293</v>
      </c>
      <c r="G46" s="32"/>
      <c r="H46" s="99">
        <v>49938</v>
      </c>
    </row>
    <row r="47" spans="2:8" x14ac:dyDescent="0.25">
      <c r="B47" s="33" t="s">
        <v>99</v>
      </c>
      <c r="C47" s="34" t="s">
        <v>294</v>
      </c>
      <c r="D47" s="34" t="s">
        <v>423</v>
      </c>
      <c r="E47" s="35">
        <v>480</v>
      </c>
      <c r="F47" s="34" t="s">
        <v>295</v>
      </c>
      <c r="G47" s="8"/>
      <c r="H47" s="65">
        <v>77132</v>
      </c>
    </row>
    <row r="48" spans="2:8" ht="15.75" thickBot="1" x14ac:dyDescent="0.3">
      <c r="B48" s="176" t="s">
        <v>100</v>
      </c>
      <c r="C48" s="36" t="s">
        <v>296</v>
      </c>
      <c r="D48" s="36" t="s">
        <v>423</v>
      </c>
      <c r="E48" s="37">
        <v>480</v>
      </c>
      <c r="F48" s="36" t="s">
        <v>101</v>
      </c>
      <c r="G48" s="177"/>
      <c r="H48" s="96">
        <v>78953</v>
      </c>
    </row>
    <row r="49" spans="2:8" ht="15.75" thickBot="1" x14ac:dyDescent="0.3">
      <c r="B49" s="304" t="s">
        <v>2380</v>
      </c>
      <c r="C49" s="305"/>
      <c r="D49" s="305"/>
      <c r="E49" s="305"/>
      <c r="F49" s="305"/>
      <c r="G49" s="305"/>
      <c r="H49" s="306"/>
    </row>
    <row r="50" spans="2:8" x14ac:dyDescent="0.25">
      <c r="B50" s="42" t="s">
        <v>2185</v>
      </c>
      <c r="C50" s="43" t="s">
        <v>2335</v>
      </c>
      <c r="D50" s="174" t="s">
        <v>423</v>
      </c>
      <c r="E50" s="44">
        <v>480</v>
      </c>
      <c r="F50" s="43" t="s">
        <v>2332</v>
      </c>
      <c r="G50" s="178" t="s">
        <v>961</v>
      </c>
      <c r="H50" s="99">
        <v>48148.112199999996</v>
      </c>
    </row>
    <row r="51" spans="2:8" x14ac:dyDescent="0.25">
      <c r="B51" s="33" t="s">
        <v>2187</v>
      </c>
      <c r="C51" s="34" t="s">
        <v>2336</v>
      </c>
      <c r="D51" s="34" t="s">
        <v>423</v>
      </c>
      <c r="E51" s="35">
        <v>480</v>
      </c>
      <c r="F51" s="34" t="s">
        <v>2339</v>
      </c>
      <c r="G51" s="114" t="s">
        <v>961</v>
      </c>
      <c r="H51" s="65">
        <v>47322.093399999998</v>
      </c>
    </row>
    <row r="52" spans="2:8" x14ac:dyDescent="0.25">
      <c r="B52" s="33" t="s">
        <v>2189</v>
      </c>
      <c r="C52" s="34" t="s">
        <v>2337</v>
      </c>
      <c r="D52" s="34" t="s">
        <v>423</v>
      </c>
      <c r="E52" s="35">
        <v>480</v>
      </c>
      <c r="F52" s="34" t="s">
        <v>2333</v>
      </c>
      <c r="G52" s="114" t="s">
        <v>961</v>
      </c>
      <c r="H52" s="65">
        <v>51000.326399999998</v>
      </c>
    </row>
    <row r="53" spans="2:8" ht="15.75" thickBot="1" x14ac:dyDescent="0.3">
      <c r="B53" s="176" t="s">
        <v>2191</v>
      </c>
      <c r="C53" s="36" t="s">
        <v>2338</v>
      </c>
      <c r="D53" s="174" t="s">
        <v>423</v>
      </c>
      <c r="E53" s="37">
        <v>480</v>
      </c>
      <c r="F53" s="36" t="s">
        <v>2334</v>
      </c>
      <c r="G53" s="144" t="s">
        <v>961</v>
      </c>
      <c r="H53" s="96">
        <v>50388.836000000003</v>
      </c>
    </row>
    <row r="54" spans="2:8" ht="16.5" thickBot="1" x14ac:dyDescent="0.3">
      <c r="B54" s="271" t="s">
        <v>2461</v>
      </c>
      <c r="C54" s="272"/>
      <c r="D54" s="272"/>
      <c r="E54" s="272"/>
      <c r="F54" s="272"/>
      <c r="G54" s="272"/>
      <c r="H54" s="273"/>
    </row>
    <row r="55" spans="2:8" x14ac:dyDescent="0.25">
      <c r="B55" s="42" t="s">
        <v>2164</v>
      </c>
      <c r="C55" s="43" t="s">
        <v>2282</v>
      </c>
      <c r="D55" s="43" t="s">
        <v>423</v>
      </c>
      <c r="E55" s="44">
        <v>1000</v>
      </c>
      <c r="F55" s="43" t="s">
        <v>2290</v>
      </c>
      <c r="G55" s="179" t="s">
        <v>961</v>
      </c>
      <c r="H55" s="99">
        <v>35303.435400000002</v>
      </c>
    </row>
    <row r="56" spans="2:8" x14ac:dyDescent="0.25">
      <c r="B56" s="33" t="s">
        <v>2166</v>
      </c>
      <c r="C56" s="34" t="s">
        <v>2283</v>
      </c>
      <c r="D56" s="34" t="s">
        <v>423</v>
      </c>
      <c r="E56" s="35">
        <v>1000</v>
      </c>
      <c r="F56" s="34" t="s">
        <v>2291</v>
      </c>
      <c r="G56" s="116" t="s">
        <v>961</v>
      </c>
      <c r="H56" s="65">
        <v>32390.41</v>
      </c>
    </row>
    <row r="57" spans="2:8" ht="15.75" thickBot="1" x14ac:dyDescent="0.3">
      <c r="B57" s="176" t="s">
        <v>2168</v>
      </c>
      <c r="C57" s="36" t="s">
        <v>2284</v>
      </c>
      <c r="D57" s="36" t="s">
        <v>423</v>
      </c>
      <c r="E57" s="37">
        <v>1000</v>
      </c>
      <c r="F57" s="36" t="s">
        <v>2292</v>
      </c>
      <c r="G57" s="180" t="s">
        <v>961</v>
      </c>
      <c r="H57" s="96">
        <v>31579.594000000001</v>
      </c>
    </row>
    <row r="58" spans="2:8" ht="15.75" thickBot="1" x14ac:dyDescent="0.3">
      <c r="B58" s="268" t="s">
        <v>415</v>
      </c>
      <c r="C58" s="269"/>
      <c r="D58" s="269"/>
      <c r="E58" s="269"/>
      <c r="F58" s="269"/>
      <c r="G58" s="269"/>
      <c r="H58" s="270"/>
    </row>
    <row r="59" spans="2:8" ht="15.75" thickBot="1" x14ac:dyDescent="0.3">
      <c r="B59" s="23" t="s">
        <v>57</v>
      </c>
      <c r="C59" s="24"/>
      <c r="D59" s="25" t="s">
        <v>423</v>
      </c>
      <c r="E59" s="25">
        <v>1000</v>
      </c>
      <c r="F59" s="25" t="s">
        <v>417</v>
      </c>
      <c r="G59" s="25" t="s">
        <v>416</v>
      </c>
      <c r="H59" s="65">
        <f>_xlfn.XLOOKUP(B59,lista!A:A,lista!C:C,0,0)</f>
        <v>78164</v>
      </c>
    </row>
    <row r="60" spans="2:8" ht="16.5" thickBot="1" x14ac:dyDescent="0.3">
      <c r="B60" s="271" t="s">
        <v>2383</v>
      </c>
      <c r="C60" s="272"/>
      <c r="D60" s="272"/>
      <c r="E60" s="272"/>
      <c r="F60" s="272"/>
      <c r="G60" s="272"/>
      <c r="H60" s="273"/>
    </row>
    <row r="61" spans="2:8" x14ac:dyDescent="0.25">
      <c r="B61" s="50" t="s">
        <v>107</v>
      </c>
      <c r="C61" s="51" t="s">
        <v>332</v>
      </c>
      <c r="D61" s="51" t="s">
        <v>423</v>
      </c>
      <c r="E61" s="52">
        <v>600</v>
      </c>
      <c r="F61" s="51" t="s">
        <v>5244</v>
      </c>
      <c r="G61" s="7" t="s">
        <v>5243</v>
      </c>
      <c r="H61" s="81">
        <v>161545</v>
      </c>
    </row>
    <row r="62" spans="2:8" x14ac:dyDescent="0.25">
      <c r="B62" s="33" t="s">
        <v>109</v>
      </c>
      <c r="C62" s="34" t="s">
        <v>333</v>
      </c>
      <c r="D62" s="34" t="s">
        <v>423</v>
      </c>
      <c r="E62" s="44">
        <v>600</v>
      </c>
      <c r="F62" s="34" t="s">
        <v>5242</v>
      </c>
      <c r="G62" s="8" t="s">
        <v>5243</v>
      </c>
      <c r="H62" s="65">
        <v>227004</v>
      </c>
    </row>
    <row r="63" spans="2:8" ht="15.75" thickBot="1" x14ac:dyDescent="0.3">
      <c r="B63" s="141" t="s">
        <v>111</v>
      </c>
      <c r="C63" s="142" t="s">
        <v>334</v>
      </c>
      <c r="D63" s="142" t="s">
        <v>423</v>
      </c>
      <c r="E63" s="143">
        <v>600</v>
      </c>
      <c r="F63" s="142" t="s">
        <v>2384</v>
      </c>
      <c r="G63" s="140" t="s">
        <v>5243</v>
      </c>
      <c r="H63" s="89">
        <v>253939</v>
      </c>
    </row>
    <row r="64" spans="2:8" x14ac:dyDescent="0.25">
      <c r="B64" s="27" t="s">
        <v>419</v>
      </c>
    </row>
  </sheetData>
  <mergeCells count="12">
    <mergeCell ref="B45:H45"/>
    <mergeCell ref="B49:H49"/>
    <mergeCell ref="B54:H54"/>
    <mergeCell ref="B58:H58"/>
    <mergeCell ref="B60:H60"/>
    <mergeCell ref="B39:H39"/>
    <mergeCell ref="B37:H37"/>
    <mergeCell ref="B2:H2"/>
    <mergeCell ref="B5:H5"/>
    <mergeCell ref="B15:H15"/>
    <mergeCell ref="B26:H26"/>
    <mergeCell ref="B32:H32"/>
  </mergeCells>
  <pageMargins left="0.7" right="0.7" top="0.75" bottom="0.75" header="0.3" footer="0.3"/>
  <pageSetup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416C-74FA-49C1-B540-BDA541020DDF}">
  <dimension ref="B1:H27"/>
  <sheetViews>
    <sheetView topLeftCell="A8" workbookViewId="0">
      <selection activeCell="H16" sqref="H16"/>
    </sheetView>
  </sheetViews>
  <sheetFormatPr baseColWidth="10" defaultRowHeight="15" x14ac:dyDescent="0.25"/>
  <cols>
    <col min="1" max="1" width="4.5703125" customWidth="1"/>
    <col min="2" max="2" width="17.42578125" customWidth="1"/>
    <col min="3" max="3" width="15.140625" customWidth="1"/>
    <col min="4" max="4" width="7.7109375" customWidth="1"/>
    <col min="5" max="5" width="7.5703125" customWidth="1"/>
    <col min="6" max="6" width="55" customWidth="1"/>
    <col min="7" max="7" width="15.28515625" customWidth="1"/>
    <col min="8" max="8" width="10.710937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100"/>
      <c r="G3" s="97"/>
      <c r="H3" s="67"/>
    </row>
    <row r="4" spans="2:8" ht="24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6.5" thickBot="1" x14ac:dyDescent="0.3">
      <c r="B5" s="271" t="s">
        <v>2476</v>
      </c>
      <c r="C5" s="272"/>
      <c r="D5" s="272"/>
      <c r="E5" s="272"/>
      <c r="F5" s="272"/>
      <c r="G5" s="272"/>
      <c r="H5" s="273"/>
    </row>
    <row r="6" spans="2:8" ht="15.75" thickBot="1" x14ac:dyDescent="0.3">
      <c r="B6" s="85"/>
      <c r="C6" s="18"/>
      <c r="D6" s="18"/>
      <c r="E6" s="18"/>
      <c r="F6" s="113" t="s">
        <v>5079</v>
      </c>
      <c r="G6" s="18"/>
      <c r="H6" s="96"/>
    </row>
    <row r="7" spans="2:8" ht="16.5" thickBot="1" x14ac:dyDescent="0.3">
      <c r="B7" s="310" t="s">
        <v>2482</v>
      </c>
      <c r="C7" s="311"/>
      <c r="D7" s="311"/>
      <c r="E7" s="311"/>
      <c r="F7" s="311"/>
      <c r="G7" s="311"/>
      <c r="H7" s="312"/>
    </row>
    <row r="8" spans="2:8" x14ac:dyDescent="0.25">
      <c r="B8" s="77" t="s">
        <v>744</v>
      </c>
      <c r="C8" s="77" t="s">
        <v>761</v>
      </c>
      <c r="D8" s="77" t="s">
        <v>373</v>
      </c>
      <c r="E8" s="77">
        <v>200</v>
      </c>
      <c r="F8" s="77" t="s">
        <v>754</v>
      </c>
      <c r="G8" s="212"/>
      <c r="H8" s="175">
        <v>60097</v>
      </c>
    </row>
    <row r="9" spans="2:8" x14ac:dyDescent="0.25">
      <c r="B9" s="74" t="s">
        <v>745</v>
      </c>
      <c r="C9" s="74" t="s">
        <v>762</v>
      </c>
      <c r="D9" s="74" t="s">
        <v>373</v>
      </c>
      <c r="E9" s="74">
        <v>200</v>
      </c>
      <c r="F9" s="74" t="s">
        <v>755</v>
      </c>
      <c r="G9" s="64"/>
      <c r="H9" s="173">
        <v>64199</v>
      </c>
    </row>
    <row r="10" spans="2:8" x14ac:dyDescent="0.25">
      <c r="B10" s="74" t="s">
        <v>746</v>
      </c>
      <c r="C10" s="74" t="s">
        <v>763</v>
      </c>
      <c r="D10" s="74" t="s">
        <v>373</v>
      </c>
      <c r="E10" s="74">
        <v>200</v>
      </c>
      <c r="F10" s="74" t="s">
        <v>756</v>
      </c>
      <c r="G10" s="64"/>
      <c r="H10" s="173">
        <v>69674</v>
      </c>
    </row>
    <row r="11" spans="2:8" x14ac:dyDescent="0.25">
      <c r="B11" s="74" t="s">
        <v>747</v>
      </c>
      <c r="C11" s="74" t="s">
        <v>764</v>
      </c>
      <c r="D11" s="74" t="s">
        <v>373</v>
      </c>
      <c r="E11" s="74">
        <v>200</v>
      </c>
      <c r="F11" s="74" t="s">
        <v>757</v>
      </c>
      <c r="G11" s="64"/>
      <c r="H11" s="173">
        <v>112981</v>
      </c>
    </row>
    <row r="12" spans="2:8" ht="15.75" thickBot="1" x14ac:dyDescent="0.3">
      <c r="B12" s="92" t="s">
        <v>748</v>
      </c>
      <c r="C12" s="92" t="s">
        <v>765</v>
      </c>
      <c r="D12" s="92" t="s">
        <v>373</v>
      </c>
      <c r="E12" s="92">
        <v>200</v>
      </c>
      <c r="F12" s="92" t="s">
        <v>758</v>
      </c>
      <c r="G12" s="162"/>
      <c r="H12" s="163">
        <v>113330</v>
      </c>
    </row>
    <row r="13" spans="2:8" ht="16.5" thickBot="1" x14ac:dyDescent="0.3">
      <c r="B13" s="310" t="s">
        <v>2483</v>
      </c>
      <c r="C13" s="311"/>
      <c r="D13" s="311"/>
      <c r="E13" s="311"/>
      <c r="F13" s="311"/>
      <c r="G13" s="311"/>
      <c r="H13" s="312"/>
    </row>
    <row r="14" spans="2:8" x14ac:dyDescent="0.25">
      <c r="B14" s="77" t="s">
        <v>749</v>
      </c>
      <c r="C14" s="77" t="s">
        <v>766</v>
      </c>
      <c r="D14" s="77" t="s">
        <v>373</v>
      </c>
      <c r="E14" s="77">
        <v>200</v>
      </c>
      <c r="F14" s="77" t="s">
        <v>778</v>
      </c>
      <c r="G14" s="212"/>
      <c r="H14" s="175">
        <v>62494</v>
      </c>
    </row>
    <row r="15" spans="2:8" x14ac:dyDescent="0.25">
      <c r="B15" s="74" t="s">
        <v>750</v>
      </c>
      <c r="C15" s="74" t="s">
        <v>767</v>
      </c>
      <c r="D15" s="74" t="s">
        <v>373</v>
      </c>
      <c r="E15" s="74">
        <v>200</v>
      </c>
      <c r="F15" s="74" t="s">
        <v>832</v>
      </c>
      <c r="G15" s="64"/>
      <c r="H15" s="173">
        <v>126104</v>
      </c>
    </row>
    <row r="16" spans="2:8" ht="15.75" thickBot="1" x14ac:dyDescent="0.3">
      <c r="B16" s="74" t="s">
        <v>751</v>
      </c>
      <c r="C16" s="74" t="s">
        <v>768</v>
      </c>
      <c r="D16" s="74" t="s">
        <v>373</v>
      </c>
      <c r="E16" s="74">
        <v>100</v>
      </c>
      <c r="F16" s="74" t="s">
        <v>833</v>
      </c>
      <c r="G16" s="64"/>
      <c r="H16" s="173">
        <v>87286.54</v>
      </c>
    </row>
    <row r="17" spans="2:8" ht="16.5" thickBot="1" x14ac:dyDescent="0.3">
      <c r="B17" s="310" t="s">
        <v>5068</v>
      </c>
      <c r="C17" s="311"/>
      <c r="D17" s="311"/>
      <c r="E17" s="311"/>
      <c r="F17" s="311"/>
      <c r="G17" s="311"/>
      <c r="H17" s="312"/>
    </row>
    <row r="18" spans="2:8" x14ac:dyDescent="0.25">
      <c r="B18" s="90" t="s">
        <v>5077</v>
      </c>
      <c r="C18" s="79" t="s">
        <v>5078</v>
      </c>
      <c r="D18" s="79" t="s">
        <v>373</v>
      </c>
      <c r="E18" s="79">
        <v>100</v>
      </c>
      <c r="F18" s="79" t="s">
        <v>5149</v>
      </c>
      <c r="G18" s="79" t="s">
        <v>5154</v>
      </c>
      <c r="H18" s="81">
        <v>70664</v>
      </c>
    </row>
    <row r="19" spans="2:8" x14ac:dyDescent="0.25">
      <c r="B19" s="87" t="s">
        <v>5073</v>
      </c>
      <c r="C19" s="74" t="s">
        <v>5069</v>
      </c>
      <c r="D19" s="74" t="s">
        <v>373</v>
      </c>
      <c r="E19" s="74">
        <v>100</v>
      </c>
      <c r="F19" s="74" t="s">
        <v>5150</v>
      </c>
      <c r="G19" s="74" t="s">
        <v>5154</v>
      </c>
      <c r="H19" s="65">
        <v>76682</v>
      </c>
    </row>
    <row r="20" spans="2:8" x14ac:dyDescent="0.25">
      <c r="B20" s="87" t="s">
        <v>5074</v>
      </c>
      <c r="C20" s="74" t="s">
        <v>5070</v>
      </c>
      <c r="D20" s="74" t="s">
        <v>373</v>
      </c>
      <c r="E20" s="74">
        <v>50</v>
      </c>
      <c r="F20" s="74" t="s">
        <v>5151</v>
      </c>
      <c r="G20" s="74" t="s">
        <v>5154</v>
      </c>
      <c r="H20" s="65">
        <v>44692</v>
      </c>
    </row>
    <row r="21" spans="2:8" x14ac:dyDescent="0.25">
      <c r="B21" s="87" t="s">
        <v>5075</v>
      </c>
      <c r="C21" s="74" t="s">
        <v>5071</v>
      </c>
      <c r="D21" s="74" t="s">
        <v>373</v>
      </c>
      <c r="E21" s="74">
        <v>50</v>
      </c>
      <c r="F21" s="74" t="s">
        <v>5152</v>
      </c>
      <c r="G21" s="74" t="s">
        <v>5154</v>
      </c>
      <c r="H21" s="65">
        <v>52889</v>
      </c>
    </row>
    <row r="22" spans="2:8" x14ac:dyDescent="0.25">
      <c r="B22" s="87" t="s">
        <v>5076</v>
      </c>
      <c r="C22" s="74" t="s">
        <v>5072</v>
      </c>
      <c r="D22" s="74" t="s">
        <v>373</v>
      </c>
      <c r="E22" s="74">
        <v>50</v>
      </c>
      <c r="F22" s="74" t="s">
        <v>5153</v>
      </c>
      <c r="G22" s="74" t="s">
        <v>5154</v>
      </c>
      <c r="H22" s="65">
        <v>56698</v>
      </c>
    </row>
    <row r="23" spans="2:8" ht="15.75" thickBot="1" x14ac:dyDescent="0.3">
      <c r="B23" s="88" t="s">
        <v>971</v>
      </c>
      <c r="C23" s="75"/>
      <c r="D23" s="75" t="s">
        <v>373</v>
      </c>
      <c r="E23" s="75">
        <v>200</v>
      </c>
      <c r="F23" s="75" t="s">
        <v>5234</v>
      </c>
      <c r="G23" s="75" t="s">
        <v>5233</v>
      </c>
      <c r="H23" s="89">
        <v>110165</v>
      </c>
    </row>
    <row r="24" spans="2:8" ht="16.5" thickBot="1" x14ac:dyDescent="0.3">
      <c r="B24" s="307" t="s">
        <v>5080</v>
      </c>
      <c r="C24" s="308"/>
      <c r="D24" s="308"/>
      <c r="E24" s="308"/>
      <c r="F24" s="308"/>
      <c r="G24" s="308"/>
      <c r="H24" s="309"/>
    </row>
    <row r="25" spans="2:8" x14ac:dyDescent="0.25">
      <c r="B25" s="258" t="s">
        <v>5157</v>
      </c>
      <c r="C25" s="79"/>
      <c r="D25" s="79" t="s">
        <v>373</v>
      </c>
      <c r="E25" s="79">
        <v>170</v>
      </c>
      <c r="F25" s="79" t="s">
        <v>5081</v>
      </c>
      <c r="G25" s="79" t="s">
        <v>5155</v>
      </c>
      <c r="H25" s="81">
        <v>114493</v>
      </c>
    </row>
    <row r="26" spans="2:8" ht="15.75" thickBot="1" x14ac:dyDescent="0.3">
      <c r="B26" s="259" t="s">
        <v>5158</v>
      </c>
      <c r="C26" s="75"/>
      <c r="D26" s="75" t="s">
        <v>373</v>
      </c>
      <c r="E26" s="75">
        <v>170</v>
      </c>
      <c r="F26" s="75" t="s">
        <v>5082</v>
      </c>
      <c r="G26" s="243" t="s">
        <v>5156</v>
      </c>
      <c r="H26" s="89">
        <v>111822</v>
      </c>
    </row>
    <row r="27" spans="2:8" x14ac:dyDescent="0.25">
      <c r="B27" s="27" t="s">
        <v>419</v>
      </c>
    </row>
  </sheetData>
  <mergeCells count="6">
    <mergeCell ref="B24:H24"/>
    <mergeCell ref="B2:H2"/>
    <mergeCell ref="B5:H5"/>
    <mergeCell ref="B7:H7"/>
    <mergeCell ref="B13:H13"/>
    <mergeCell ref="B17:H17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3907-1B3D-4D2D-BC0B-E5775F2EB2A7}">
  <dimension ref="B1:H38"/>
  <sheetViews>
    <sheetView topLeftCell="A7" zoomScaleNormal="100" workbookViewId="0">
      <selection activeCell="K14" sqref="K14"/>
    </sheetView>
  </sheetViews>
  <sheetFormatPr baseColWidth="10" defaultRowHeight="15" x14ac:dyDescent="0.25"/>
  <cols>
    <col min="1" max="1" width="4.5703125" customWidth="1"/>
    <col min="2" max="2" width="17.42578125" customWidth="1"/>
    <col min="3" max="3" width="15.140625" style="78" customWidth="1"/>
    <col min="4" max="4" width="9.28515625" customWidth="1"/>
    <col min="5" max="5" width="8.42578125" customWidth="1"/>
    <col min="6" max="6" width="53.85546875" customWidth="1"/>
    <col min="7" max="7" width="15.28515625" customWidth="1"/>
    <col min="8" max="8" width="10.710937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100"/>
      <c r="G3" s="97"/>
      <c r="H3" s="67"/>
    </row>
    <row r="4" spans="2:8" ht="24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6.5" thickBot="1" x14ac:dyDescent="0.3">
      <c r="B5" s="310" t="s">
        <v>2505</v>
      </c>
      <c r="C5" s="311"/>
      <c r="D5" s="311"/>
      <c r="E5" s="311"/>
      <c r="F5" s="311"/>
      <c r="G5" s="311"/>
      <c r="H5" s="312"/>
    </row>
    <row r="6" spans="2:8" ht="15" customHeight="1" x14ac:dyDescent="0.25">
      <c r="B6" s="181" t="s">
        <v>132</v>
      </c>
      <c r="C6" s="182" t="s">
        <v>299</v>
      </c>
      <c r="D6" s="182" t="s">
        <v>19</v>
      </c>
      <c r="E6" s="183">
        <v>2500</v>
      </c>
      <c r="F6" s="182" t="s">
        <v>300</v>
      </c>
      <c r="G6" s="184"/>
      <c r="H6" s="99">
        <v>82165</v>
      </c>
    </row>
    <row r="7" spans="2:8" ht="15" customHeight="1" x14ac:dyDescent="0.25">
      <c r="B7" s="45" t="s">
        <v>133</v>
      </c>
      <c r="C7" s="41" t="s">
        <v>301</v>
      </c>
      <c r="D7" s="41" t="s">
        <v>19</v>
      </c>
      <c r="E7" s="46">
        <v>2500</v>
      </c>
      <c r="F7" s="41" t="s">
        <v>302</v>
      </c>
      <c r="G7" s="9"/>
      <c r="H7" s="65">
        <v>87910</v>
      </c>
    </row>
    <row r="8" spans="2:8" ht="15" customHeight="1" x14ac:dyDescent="0.25">
      <c r="B8" s="45" t="s">
        <v>134</v>
      </c>
      <c r="C8" s="41" t="s">
        <v>303</v>
      </c>
      <c r="D8" s="41" t="s">
        <v>19</v>
      </c>
      <c r="E8" s="46">
        <v>2500</v>
      </c>
      <c r="F8" s="41" t="s">
        <v>304</v>
      </c>
      <c r="G8" s="9"/>
      <c r="H8" s="65">
        <v>101516</v>
      </c>
    </row>
    <row r="9" spans="2:8" x14ac:dyDescent="0.25">
      <c r="B9" s="45" t="s">
        <v>131</v>
      </c>
      <c r="C9" s="41" t="s">
        <v>297</v>
      </c>
      <c r="D9" s="41" t="s">
        <v>19</v>
      </c>
      <c r="E9" s="46">
        <v>2500</v>
      </c>
      <c r="F9" s="41" t="s">
        <v>2464</v>
      </c>
      <c r="G9" s="9"/>
      <c r="H9" s="65">
        <v>68654</v>
      </c>
    </row>
    <row r="10" spans="2:8" ht="15" customHeight="1" x14ac:dyDescent="0.25">
      <c r="B10" s="45" t="s">
        <v>135</v>
      </c>
      <c r="C10" s="41" t="s">
        <v>305</v>
      </c>
      <c r="D10" s="41" t="s">
        <v>19</v>
      </c>
      <c r="E10" s="46">
        <v>2500</v>
      </c>
      <c r="F10" s="41" t="s">
        <v>136</v>
      </c>
      <c r="G10" s="9"/>
      <c r="H10" s="65">
        <v>49216</v>
      </c>
    </row>
    <row r="11" spans="2:8" ht="15" customHeight="1" x14ac:dyDescent="0.25">
      <c r="B11" s="45" t="s">
        <v>137</v>
      </c>
      <c r="C11" s="41" t="s">
        <v>306</v>
      </c>
      <c r="D11" s="41" t="s">
        <v>19</v>
      </c>
      <c r="E11" s="46">
        <v>2500</v>
      </c>
      <c r="F11" s="41" t="s">
        <v>2462</v>
      </c>
      <c r="G11" s="9"/>
      <c r="H11" s="65">
        <v>48871</v>
      </c>
    </row>
    <row r="12" spans="2:8" ht="15" customHeight="1" x14ac:dyDescent="0.25">
      <c r="B12" s="45" t="s">
        <v>139</v>
      </c>
      <c r="C12" s="41" t="s">
        <v>307</v>
      </c>
      <c r="D12" s="41" t="s">
        <v>19</v>
      </c>
      <c r="E12" s="46">
        <v>2500</v>
      </c>
      <c r="F12" s="41" t="s">
        <v>308</v>
      </c>
      <c r="G12" s="9"/>
      <c r="H12" s="65">
        <v>186817</v>
      </c>
    </row>
    <row r="13" spans="2:8" ht="15" customHeight="1" x14ac:dyDescent="0.25">
      <c r="B13" s="45" t="s">
        <v>140</v>
      </c>
      <c r="C13" s="41" t="s">
        <v>309</v>
      </c>
      <c r="D13" s="41" t="s">
        <v>19</v>
      </c>
      <c r="E13" s="46">
        <v>2500</v>
      </c>
      <c r="F13" s="41" t="s">
        <v>310</v>
      </c>
      <c r="G13" s="9"/>
      <c r="H13" s="65">
        <v>212730</v>
      </c>
    </row>
    <row r="14" spans="2:8" ht="15" customHeight="1" thickBot="1" x14ac:dyDescent="0.3">
      <c r="B14" s="149" t="s">
        <v>141</v>
      </c>
      <c r="C14" s="150" t="s">
        <v>311</v>
      </c>
      <c r="D14" s="150" t="s">
        <v>19</v>
      </c>
      <c r="E14" s="151">
        <v>2500</v>
      </c>
      <c r="F14" s="150" t="s">
        <v>2463</v>
      </c>
      <c r="G14" s="152"/>
      <c r="H14" s="96">
        <v>107344</v>
      </c>
    </row>
    <row r="15" spans="2:8" ht="15" customHeight="1" thickBot="1" x14ac:dyDescent="0.3">
      <c r="B15" s="271" t="s">
        <v>2465</v>
      </c>
      <c r="C15" s="272"/>
      <c r="D15" s="272"/>
      <c r="E15" s="272"/>
      <c r="F15" s="272"/>
      <c r="G15" s="272"/>
      <c r="H15" s="273"/>
    </row>
    <row r="16" spans="2:8" x14ac:dyDescent="0.25">
      <c r="B16" s="45" t="s">
        <v>68</v>
      </c>
      <c r="C16" s="41" t="s">
        <v>312</v>
      </c>
      <c r="D16" s="41" t="s">
        <v>19</v>
      </c>
      <c r="E16" s="46">
        <v>288</v>
      </c>
      <c r="F16" s="41" t="s">
        <v>2466</v>
      </c>
      <c r="G16" s="9"/>
      <c r="H16" s="65">
        <v>29599</v>
      </c>
    </row>
    <row r="17" spans="2:8" x14ac:dyDescent="0.25">
      <c r="B17" s="45" t="s">
        <v>69</v>
      </c>
      <c r="C17" s="41" t="s">
        <v>314</v>
      </c>
      <c r="D17" s="41" t="s">
        <v>19</v>
      </c>
      <c r="E17" s="46">
        <v>288</v>
      </c>
      <c r="F17" s="41" t="s">
        <v>2467</v>
      </c>
      <c r="G17" s="9"/>
      <c r="H17" s="65">
        <v>33102</v>
      </c>
    </row>
    <row r="18" spans="2:8" x14ac:dyDescent="0.25">
      <c r="B18" s="45" t="s">
        <v>70</v>
      </c>
      <c r="C18" s="41" t="s">
        <v>316</v>
      </c>
      <c r="D18" s="41" t="s">
        <v>19</v>
      </c>
      <c r="E18" s="46">
        <v>288</v>
      </c>
      <c r="F18" s="41" t="s">
        <v>2468</v>
      </c>
      <c r="G18" s="9"/>
      <c r="H18" s="65">
        <v>35002</v>
      </c>
    </row>
    <row r="19" spans="2:8" ht="13.5" customHeight="1" x14ac:dyDescent="0.25">
      <c r="B19" s="45" t="s">
        <v>86</v>
      </c>
      <c r="C19" s="41" t="s">
        <v>318</v>
      </c>
      <c r="D19" s="41" t="s">
        <v>19</v>
      </c>
      <c r="E19" s="46">
        <v>288</v>
      </c>
      <c r="F19" s="41" t="s">
        <v>2469</v>
      </c>
      <c r="G19" s="9"/>
      <c r="H19" s="65">
        <v>40252</v>
      </c>
    </row>
    <row r="20" spans="2:8" x14ac:dyDescent="0.25">
      <c r="B20" s="45" t="s">
        <v>87</v>
      </c>
      <c r="C20" s="41" t="s">
        <v>320</v>
      </c>
      <c r="D20" s="41" t="s">
        <v>19</v>
      </c>
      <c r="E20" s="46">
        <v>288</v>
      </c>
      <c r="F20" s="41" t="s">
        <v>2470</v>
      </c>
      <c r="G20" s="9"/>
      <c r="H20" s="65">
        <v>44007</v>
      </c>
    </row>
    <row r="21" spans="2:8" x14ac:dyDescent="0.25">
      <c r="B21" s="45" t="s">
        <v>88</v>
      </c>
      <c r="C21" s="41" t="s">
        <v>322</v>
      </c>
      <c r="D21" s="41" t="s">
        <v>19</v>
      </c>
      <c r="E21" s="46">
        <v>288</v>
      </c>
      <c r="F21" s="41" t="s">
        <v>2471</v>
      </c>
      <c r="G21" s="9"/>
      <c r="H21" s="65">
        <v>42507</v>
      </c>
    </row>
    <row r="22" spans="2:8" x14ac:dyDescent="0.25">
      <c r="B22" s="45" t="s">
        <v>102</v>
      </c>
      <c r="C22" s="41" t="s">
        <v>324</v>
      </c>
      <c r="D22" s="41" t="s">
        <v>19</v>
      </c>
      <c r="E22" s="46">
        <v>288</v>
      </c>
      <c r="F22" s="41" t="s">
        <v>2472</v>
      </c>
      <c r="G22" s="9"/>
      <c r="H22" s="65">
        <v>45987</v>
      </c>
    </row>
    <row r="23" spans="2:8" x14ac:dyDescent="0.25">
      <c r="B23" s="45" t="s">
        <v>104</v>
      </c>
      <c r="C23" s="41" t="s">
        <v>325</v>
      </c>
      <c r="D23" s="41" t="s">
        <v>19</v>
      </c>
      <c r="E23" s="46">
        <v>288</v>
      </c>
      <c r="F23" s="41" t="s">
        <v>2473</v>
      </c>
      <c r="G23" s="9"/>
      <c r="H23" s="65">
        <v>47842</v>
      </c>
    </row>
    <row r="24" spans="2:8" x14ac:dyDescent="0.25">
      <c r="B24" s="45" t="s">
        <v>105</v>
      </c>
      <c r="C24" s="41" t="s">
        <v>327</v>
      </c>
      <c r="D24" s="41" t="s">
        <v>19</v>
      </c>
      <c r="E24" s="46">
        <v>288</v>
      </c>
      <c r="F24" s="41" t="s">
        <v>2474</v>
      </c>
      <c r="G24" s="9"/>
      <c r="H24" s="65">
        <v>47382</v>
      </c>
    </row>
    <row r="25" spans="2:8" ht="15.75" thickBot="1" x14ac:dyDescent="0.3">
      <c r="B25" s="47" t="s">
        <v>106</v>
      </c>
      <c r="C25" s="48" t="s">
        <v>329</v>
      </c>
      <c r="D25" s="48" t="s">
        <v>19</v>
      </c>
      <c r="E25" s="49">
        <v>144</v>
      </c>
      <c r="F25" s="48" t="s">
        <v>2475</v>
      </c>
      <c r="G25" s="10"/>
      <c r="H25" s="65">
        <v>67640</v>
      </c>
    </row>
    <row r="26" spans="2:8" ht="15" customHeight="1" thickBot="1" x14ac:dyDescent="0.3">
      <c r="B26" s="271" t="s">
        <v>2477</v>
      </c>
      <c r="C26" s="272"/>
      <c r="D26" s="272"/>
      <c r="E26" s="272"/>
      <c r="F26" s="272"/>
      <c r="G26" s="272"/>
      <c r="H26" s="273"/>
    </row>
    <row r="27" spans="2:8" x14ac:dyDescent="0.25">
      <c r="B27" s="85" t="s">
        <v>965</v>
      </c>
      <c r="C27" s="16" t="s">
        <v>966</v>
      </c>
      <c r="D27" s="18" t="s">
        <v>373</v>
      </c>
      <c r="E27" s="18">
        <v>200</v>
      </c>
      <c r="F27" s="18" t="s">
        <v>2478</v>
      </c>
      <c r="G27" s="113" t="s">
        <v>961</v>
      </c>
      <c r="H27" s="65">
        <v>52824</v>
      </c>
    </row>
    <row r="28" spans="2:8" x14ac:dyDescent="0.25">
      <c r="B28" s="85" t="s">
        <v>967</v>
      </c>
      <c r="C28" s="16" t="s">
        <v>968</v>
      </c>
      <c r="D28" s="18" t="s">
        <v>373</v>
      </c>
      <c r="E28" s="18">
        <v>200</v>
      </c>
      <c r="F28" s="18" t="s">
        <v>2479</v>
      </c>
      <c r="G28" s="113" t="s">
        <v>961</v>
      </c>
      <c r="H28" s="65">
        <v>93797</v>
      </c>
    </row>
    <row r="29" spans="2:8" ht="15.75" thickBot="1" x14ac:dyDescent="0.3">
      <c r="B29" s="85" t="s">
        <v>969</v>
      </c>
      <c r="C29" s="16" t="s">
        <v>970</v>
      </c>
      <c r="D29" s="18" t="s">
        <v>373</v>
      </c>
      <c r="E29" s="18">
        <v>200</v>
      </c>
      <c r="F29" s="18" t="s">
        <v>2340</v>
      </c>
      <c r="G29" s="113" t="s">
        <v>961</v>
      </c>
      <c r="H29" s="65">
        <v>93373</v>
      </c>
    </row>
    <row r="30" spans="2:8" ht="16.5" thickBot="1" x14ac:dyDescent="0.3">
      <c r="B30" s="271" t="s">
        <v>2480</v>
      </c>
      <c r="C30" s="272"/>
      <c r="D30" s="272"/>
      <c r="E30" s="272"/>
      <c r="F30" s="272"/>
      <c r="G30" s="272"/>
      <c r="H30" s="273"/>
    </row>
    <row r="31" spans="2:8" x14ac:dyDescent="0.25">
      <c r="B31" s="85" t="s">
        <v>971</v>
      </c>
      <c r="C31" s="16" t="s">
        <v>972</v>
      </c>
      <c r="D31" s="18" t="s">
        <v>373</v>
      </c>
      <c r="E31" s="18">
        <v>200</v>
      </c>
      <c r="F31" s="18" t="s">
        <v>2481</v>
      </c>
      <c r="G31" s="113" t="s">
        <v>961</v>
      </c>
      <c r="H31" s="65">
        <v>100150</v>
      </c>
    </row>
    <row r="32" spans="2:8" x14ac:dyDescent="0.25">
      <c r="B32" s="87" t="s">
        <v>742</v>
      </c>
      <c r="C32" s="74" t="s">
        <v>759</v>
      </c>
      <c r="D32" s="18" t="s">
        <v>373</v>
      </c>
      <c r="E32" s="16">
        <v>200</v>
      </c>
      <c r="F32" s="74" t="s">
        <v>752</v>
      </c>
      <c r="G32" s="16"/>
      <c r="H32" s="65">
        <v>54453</v>
      </c>
    </row>
    <row r="33" spans="2:8" ht="15.75" thickBot="1" x14ac:dyDescent="0.3">
      <c r="B33" s="87" t="s">
        <v>743</v>
      </c>
      <c r="C33" s="74" t="s">
        <v>760</v>
      </c>
      <c r="D33" s="18" t="s">
        <v>373</v>
      </c>
      <c r="E33" s="16">
        <v>200</v>
      </c>
      <c r="F33" s="74" t="s">
        <v>753</v>
      </c>
      <c r="G33" s="16"/>
      <c r="H33" s="65">
        <v>67230</v>
      </c>
    </row>
    <row r="34" spans="2:8" ht="15.75" thickBot="1" x14ac:dyDescent="0.3">
      <c r="B34" s="268" t="s">
        <v>2385</v>
      </c>
      <c r="C34" s="269"/>
      <c r="D34" s="269"/>
      <c r="E34" s="269"/>
      <c r="F34" s="269"/>
      <c r="G34" s="269"/>
      <c r="H34" s="270"/>
    </row>
    <row r="35" spans="2:8" x14ac:dyDescent="0.25">
      <c r="B35" s="50" t="s">
        <v>126</v>
      </c>
      <c r="C35" s="51" t="s">
        <v>336</v>
      </c>
      <c r="D35" s="51" t="s">
        <v>19</v>
      </c>
      <c r="E35" s="52">
        <v>200</v>
      </c>
      <c r="F35" s="51" t="s">
        <v>2386</v>
      </c>
      <c r="G35" s="7"/>
      <c r="H35" s="65">
        <v>47370</v>
      </c>
    </row>
    <row r="36" spans="2:8" x14ac:dyDescent="0.25">
      <c r="B36" s="33" t="s">
        <v>127</v>
      </c>
      <c r="C36" s="34" t="s">
        <v>338</v>
      </c>
      <c r="D36" s="34" t="s">
        <v>19</v>
      </c>
      <c r="E36" s="35">
        <v>200</v>
      </c>
      <c r="F36" s="34" t="s">
        <v>2387</v>
      </c>
      <c r="G36" s="8"/>
      <c r="H36" s="65">
        <v>50512</v>
      </c>
    </row>
    <row r="37" spans="2:8" ht="15.75" thickBot="1" x14ac:dyDescent="0.3">
      <c r="B37" s="38" t="s">
        <v>128</v>
      </c>
      <c r="C37" s="39" t="s">
        <v>340</v>
      </c>
      <c r="D37" s="39" t="s">
        <v>19</v>
      </c>
      <c r="E37" s="40">
        <v>200</v>
      </c>
      <c r="F37" s="39" t="s">
        <v>2388</v>
      </c>
      <c r="G37" s="140"/>
      <c r="H37" s="89">
        <v>51867</v>
      </c>
    </row>
    <row r="38" spans="2:8" x14ac:dyDescent="0.25">
      <c r="B38" s="27" t="s">
        <v>419</v>
      </c>
    </row>
  </sheetData>
  <mergeCells count="6">
    <mergeCell ref="B34:H34"/>
    <mergeCell ref="B2:H2"/>
    <mergeCell ref="B5:H5"/>
    <mergeCell ref="B15:H15"/>
    <mergeCell ref="B26:H26"/>
    <mergeCell ref="B30:H30"/>
  </mergeCells>
  <pageMargins left="0.7" right="0.7" top="0.75" bottom="0.75" header="0.3" footer="0.3"/>
  <pageSetup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3E51-5D26-4856-8192-1E97D779003B}">
  <dimension ref="B1:H57"/>
  <sheetViews>
    <sheetView topLeftCell="A25" workbookViewId="0">
      <selection activeCell="H24" sqref="H24"/>
    </sheetView>
  </sheetViews>
  <sheetFormatPr baseColWidth="10" defaultRowHeight="15" x14ac:dyDescent="0.25"/>
  <cols>
    <col min="1" max="1" width="5.42578125" customWidth="1"/>
    <col min="2" max="2" width="14.7109375" customWidth="1"/>
    <col min="3" max="3" width="16.28515625" customWidth="1"/>
    <col min="4" max="4" width="6.7109375" customWidth="1"/>
    <col min="5" max="5" width="7.140625" style="78" customWidth="1"/>
    <col min="6" max="6" width="52.5703125" customWidth="1"/>
    <col min="7" max="7" width="13.140625" customWidth="1"/>
    <col min="8" max="8" width="10.14062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97"/>
      <c r="F3" s="30"/>
      <c r="G3" s="63"/>
      <c r="H3" s="67"/>
    </row>
    <row r="4" spans="2:8" ht="21.75" customHeight="1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4.25" customHeight="1" thickBot="1" x14ac:dyDescent="0.3">
      <c r="B5" s="268" t="s">
        <v>412</v>
      </c>
      <c r="C5" s="269"/>
      <c r="D5" s="269"/>
      <c r="E5" s="269"/>
      <c r="F5" s="269"/>
      <c r="G5" s="269"/>
      <c r="H5" s="270"/>
    </row>
    <row r="6" spans="2:8" x14ac:dyDescent="0.25">
      <c r="B6" s="153" t="s">
        <v>645</v>
      </c>
      <c r="C6" s="154" t="s">
        <v>656</v>
      </c>
      <c r="D6" s="154" t="s">
        <v>373</v>
      </c>
      <c r="E6" s="154">
        <v>50</v>
      </c>
      <c r="F6" s="154" t="s">
        <v>846</v>
      </c>
      <c r="G6" s="154" t="s">
        <v>847</v>
      </c>
      <c r="H6" s="81">
        <v>66207</v>
      </c>
    </row>
    <row r="7" spans="2:8" x14ac:dyDescent="0.25">
      <c r="B7" s="87" t="s">
        <v>995</v>
      </c>
      <c r="C7" s="34" t="s">
        <v>996</v>
      </c>
      <c r="D7" s="34" t="s">
        <v>19</v>
      </c>
      <c r="E7" s="16">
        <v>50</v>
      </c>
      <c r="F7" s="74" t="s">
        <v>997</v>
      </c>
      <c r="G7" s="116" t="s">
        <v>961</v>
      </c>
      <c r="H7" s="65">
        <v>65186</v>
      </c>
    </row>
    <row r="8" spans="2:8" x14ac:dyDescent="0.25">
      <c r="B8" s="33" t="s">
        <v>181</v>
      </c>
      <c r="C8" s="34" t="s">
        <v>372</v>
      </c>
      <c r="D8" s="34" t="s">
        <v>19</v>
      </c>
      <c r="E8" s="16">
        <v>100</v>
      </c>
      <c r="F8" s="34" t="s">
        <v>2484</v>
      </c>
      <c r="G8" s="156"/>
      <c r="H8" s="65">
        <v>63863</v>
      </c>
    </row>
    <row r="9" spans="2:8" x14ac:dyDescent="0.25">
      <c r="B9" s="234" t="s">
        <v>736</v>
      </c>
      <c r="C9" s="197" t="s">
        <v>738</v>
      </c>
      <c r="D9" s="174" t="s">
        <v>19</v>
      </c>
      <c r="E9" s="148">
        <v>300</v>
      </c>
      <c r="F9" s="197" t="s">
        <v>2485</v>
      </c>
      <c r="G9" s="235"/>
      <c r="H9" s="96">
        <v>95894</v>
      </c>
    </row>
    <row r="10" spans="2:8" ht="15.75" thickBot="1" x14ac:dyDescent="0.3">
      <c r="B10" s="88" t="s">
        <v>705</v>
      </c>
      <c r="C10" s="75" t="s">
        <v>716</v>
      </c>
      <c r="D10" s="39" t="s">
        <v>373</v>
      </c>
      <c r="E10" s="21">
        <v>300</v>
      </c>
      <c r="F10" s="75" t="s">
        <v>5053</v>
      </c>
      <c r="G10" s="236"/>
      <c r="H10" s="89">
        <v>73383</v>
      </c>
    </row>
    <row r="11" spans="2:8" ht="13.5" customHeight="1" thickBot="1" x14ac:dyDescent="0.3">
      <c r="B11" s="277" t="s">
        <v>331</v>
      </c>
      <c r="C11" s="278"/>
      <c r="D11" s="278"/>
      <c r="E11" s="278"/>
      <c r="F11" s="278"/>
      <c r="G11" s="278"/>
      <c r="H11" s="279"/>
    </row>
    <row r="12" spans="2:8" x14ac:dyDescent="0.25">
      <c r="B12" s="42" t="s">
        <v>124</v>
      </c>
      <c r="C12" s="43" t="s">
        <v>335</v>
      </c>
      <c r="D12" s="43" t="s">
        <v>19</v>
      </c>
      <c r="E12" s="25">
        <v>300</v>
      </c>
      <c r="F12" s="43" t="s">
        <v>125</v>
      </c>
      <c r="G12" s="32"/>
      <c r="H12" s="99">
        <v>23598</v>
      </c>
    </row>
    <row r="13" spans="2:8" ht="15.75" thickBot="1" x14ac:dyDescent="0.3">
      <c r="B13" s="38" t="s">
        <v>130</v>
      </c>
      <c r="C13" s="39" t="s">
        <v>341</v>
      </c>
      <c r="D13" s="39" t="s">
        <v>19</v>
      </c>
      <c r="E13" s="145">
        <v>100</v>
      </c>
      <c r="F13" s="39" t="s">
        <v>342</v>
      </c>
      <c r="G13" s="140"/>
      <c r="H13" s="65">
        <v>47028</v>
      </c>
    </row>
    <row r="14" spans="2:8" ht="13.5" customHeight="1" thickBot="1" x14ac:dyDescent="0.3">
      <c r="B14" s="271" t="s">
        <v>2389</v>
      </c>
      <c r="C14" s="272"/>
      <c r="D14" s="272"/>
      <c r="E14" s="272"/>
      <c r="F14" s="272"/>
      <c r="G14" s="272"/>
      <c r="H14" s="273"/>
    </row>
    <row r="15" spans="2:8" x14ac:dyDescent="0.25">
      <c r="B15" s="90" t="s">
        <v>769</v>
      </c>
      <c r="C15" s="79" t="s">
        <v>772</v>
      </c>
      <c r="D15" s="51" t="s">
        <v>19</v>
      </c>
      <c r="E15" s="237">
        <v>500</v>
      </c>
      <c r="F15" s="79" t="s">
        <v>775</v>
      </c>
      <c r="G15" s="238"/>
      <c r="H15" s="81">
        <v>112652</v>
      </c>
    </row>
    <row r="16" spans="2:8" x14ac:dyDescent="0.25">
      <c r="B16" s="87" t="s">
        <v>770</v>
      </c>
      <c r="C16" s="74" t="s">
        <v>773</v>
      </c>
      <c r="D16" s="34" t="s">
        <v>19</v>
      </c>
      <c r="E16" s="147">
        <v>200</v>
      </c>
      <c r="F16" s="74" t="s">
        <v>776</v>
      </c>
      <c r="G16" s="82"/>
      <c r="H16" s="65">
        <v>39621</v>
      </c>
    </row>
    <row r="17" spans="2:8" x14ac:dyDescent="0.25">
      <c r="B17" s="87" t="s">
        <v>771</v>
      </c>
      <c r="C17" s="74" t="s">
        <v>774</v>
      </c>
      <c r="D17" s="34" t="s">
        <v>19</v>
      </c>
      <c r="E17" s="147">
        <v>500</v>
      </c>
      <c r="F17" s="74" t="s">
        <v>777</v>
      </c>
      <c r="G17" s="82"/>
      <c r="H17" s="65">
        <v>165882.72</v>
      </c>
    </row>
    <row r="18" spans="2:8" x14ac:dyDescent="0.25">
      <c r="B18" s="87" t="s">
        <v>730</v>
      </c>
      <c r="C18" s="74" t="s">
        <v>734</v>
      </c>
      <c r="D18" s="34" t="s">
        <v>19</v>
      </c>
      <c r="E18" s="147">
        <v>100</v>
      </c>
      <c r="F18" s="74" t="s">
        <v>732</v>
      </c>
      <c r="G18" s="82"/>
      <c r="H18" s="65">
        <v>36744</v>
      </c>
    </row>
    <row r="19" spans="2:8" x14ac:dyDescent="0.25">
      <c r="B19" s="87" t="s">
        <v>731</v>
      </c>
      <c r="C19" s="74" t="s">
        <v>735</v>
      </c>
      <c r="D19" s="34" t="s">
        <v>19</v>
      </c>
      <c r="E19" s="147">
        <v>500</v>
      </c>
      <c r="F19" s="74" t="s">
        <v>733</v>
      </c>
      <c r="G19" s="82"/>
      <c r="H19" s="65">
        <v>133059</v>
      </c>
    </row>
    <row r="20" spans="2:8" x14ac:dyDescent="0.25">
      <c r="B20" s="87" t="s">
        <v>1752</v>
      </c>
      <c r="C20" s="74"/>
      <c r="D20" s="34" t="s">
        <v>19</v>
      </c>
      <c r="E20" s="147"/>
      <c r="F20" s="74" t="s">
        <v>5054</v>
      </c>
      <c r="G20" s="82"/>
      <c r="H20" s="65">
        <v>60620</v>
      </c>
    </row>
    <row r="21" spans="2:8" ht="13.5" customHeight="1" thickBot="1" x14ac:dyDescent="0.3">
      <c r="B21" s="277" t="s">
        <v>2486</v>
      </c>
      <c r="C21" s="278"/>
      <c r="D21" s="278"/>
      <c r="E21" s="278"/>
      <c r="F21" s="278"/>
      <c r="G21" s="278"/>
      <c r="H21" s="279"/>
    </row>
    <row r="22" spans="2:8" x14ac:dyDescent="0.25">
      <c r="B22" s="87" t="s">
        <v>989</v>
      </c>
      <c r="C22" s="34" t="s">
        <v>991</v>
      </c>
      <c r="D22" s="34" t="s">
        <v>373</v>
      </c>
      <c r="E22" s="35">
        <v>200</v>
      </c>
      <c r="F22" s="74" t="s">
        <v>993</v>
      </c>
      <c r="G22" s="114" t="s">
        <v>961</v>
      </c>
      <c r="H22" s="65">
        <v>25761.981</v>
      </c>
    </row>
    <row r="23" spans="2:8" x14ac:dyDescent="0.25">
      <c r="B23" s="94" t="s">
        <v>2230</v>
      </c>
      <c r="C23" s="36" t="s">
        <v>2506</v>
      </c>
      <c r="D23" s="36" t="s">
        <v>373</v>
      </c>
      <c r="E23" s="37">
        <v>200</v>
      </c>
      <c r="F23" s="92" t="s">
        <v>2507</v>
      </c>
      <c r="G23" s="144" t="s">
        <v>961</v>
      </c>
      <c r="H23" s="65">
        <v>23431.254000000001</v>
      </c>
    </row>
    <row r="24" spans="2:8" ht="15.75" thickBot="1" x14ac:dyDescent="0.3">
      <c r="B24" s="94" t="s">
        <v>990</v>
      </c>
      <c r="C24" s="36" t="s">
        <v>992</v>
      </c>
      <c r="D24" s="36" t="s">
        <v>373</v>
      </c>
      <c r="E24" s="37">
        <v>500</v>
      </c>
      <c r="F24" s="92" t="s">
        <v>2354</v>
      </c>
      <c r="G24" s="144" t="s">
        <v>961</v>
      </c>
      <c r="H24" s="65">
        <v>65542</v>
      </c>
    </row>
    <row r="25" spans="2:8" ht="12.75" customHeight="1" thickBot="1" x14ac:dyDescent="0.3">
      <c r="B25" s="271" t="s">
        <v>2401</v>
      </c>
      <c r="C25" s="272"/>
      <c r="D25" s="272"/>
      <c r="E25" s="272"/>
      <c r="F25" s="272"/>
      <c r="G25" s="272"/>
      <c r="H25" s="273"/>
    </row>
    <row r="26" spans="2:8" x14ac:dyDescent="0.25">
      <c r="B26" s="33" t="s">
        <v>466</v>
      </c>
      <c r="C26" s="34" t="s">
        <v>467</v>
      </c>
      <c r="D26" s="34" t="s">
        <v>19</v>
      </c>
      <c r="E26" s="35">
        <v>200</v>
      </c>
      <c r="F26" s="34" t="s">
        <v>2399</v>
      </c>
      <c r="G26" s="8"/>
      <c r="H26" s="65">
        <v>44599</v>
      </c>
    </row>
    <row r="27" spans="2:8" x14ac:dyDescent="0.25">
      <c r="B27" s="42" t="s">
        <v>147</v>
      </c>
      <c r="C27" s="43" t="s">
        <v>343</v>
      </c>
      <c r="D27" s="43" t="s">
        <v>19</v>
      </c>
      <c r="E27" s="44">
        <v>200</v>
      </c>
      <c r="F27" s="43" t="s">
        <v>2394</v>
      </c>
      <c r="G27" s="32"/>
      <c r="H27" s="65">
        <v>48459</v>
      </c>
    </row>
    <row r="28" spans="2:8" x14ac:dyDescent="0.25">
      <c r="B28" s="33" t="s">
        <v>149</v>
      </c>
      <c r="C28" s="34" t="s">
        <v>344</v>
      </c>
      <c r="D28" s="34" t="s">
        <v>19</v>
      </c>
      <c r="E28" s="35">
        <v>200</v>
      </c>
      <c r="F28" s="34" t="s">
        <v>2395</v>
      </c>
      <c r="G28" s="8"/>
      <c r="H28" s="65">
        <v>51302</v>
      </c>
    </row>
    <row r="29" spans="2:8" x14ac:dyDescent="0.25">
      <c r="B29" s="87" t="s">
        <v>698</v>
      </c>
      <c r="C29" s="34" t="s">
        <v>709</v>
      </c>
      <c r="D29" s="34" t="s">
        <v>19</v>
      </c>
      <c r="E29" s="35">
        <v>200</v>
      </c>
      <c r="F29" s="74" t="s">
        <v>2400</v>
      </c>
      <c r="G29" s="82"/>
      <c r="H29" s="65">
        <v>90373</v>
      </c>
    </row>
    <row r="30" spans="2:8" x14ac:dyDescent="0.25">
      <c r="B30" s="33" t="s">
        <v>151</v>
      </c>
      <c r="C30" s="34" t="s">
        <v>345</v>
      </c>
      <c r="D30" s="34" t="s">
        <v>19</v>
      </c>
      <c r="E30" s="35">
        <v>200</v>
      </c>
      <c r="F30" s="34" t="s">
        <v>2396</v>
      </c>
      <c r="G30" s="8"/>
      <c r="H30" s="65">
        <v>90192</v>
      </c>
    </row>
    <row r="31" spans="2:8" x14ac:dyDescent="0.25">
      <c r="B31" s="33" t="s">
        <v>153</v>
      </c>
      <c r="C31" s="34" t="s">
        <v>346</v>
      </c>
      <c r="D31" s="34" t="s">
        <v>19</v>
      </c>
      <c r="E31" s="35">
        <v>200</v>
      </c>
      <c r="F31" s="34" t="s">
        <v>2397</v>
      </c>
      <c r="G31" s="8"/>
      <c r="H31" s="65">
        <v>127118</v>
      </c>
    </row>
    <row r="32" spans="2:8" ht="15.75" thickBot="1" x14ac:dyDescent="0.3">
      <c r="B32" s="33" t="s">
        <v>155</v>
      </c>
      <c r="C32" s="34" t="s">
        <v>347</v>
      </c>
      <c r="D32" s="34" t="s">
        <v>19</v>
      </c>
      <c r="E32" s="35">
        <v>200</v>
      </c>
      <c r="F32" s="34" t="s">
        <v>2398</v>
      </c>
      <c r="G32" s="8"/>
      <c r="H32" s="65">
        <v>140265</v>
      </c>
    </row>
    <row r="33" spans="2:8" ht="14.25" customHeight="1" thickBot="1" x14ac:dyDescent="0.3">
      <c r="B33" s="271" t="s">
        <v>2402</v>
      </c>
      <c r="C33" s="272"/>
      <c r="D33" s="272"/>
      <c r="E33" s="272"/>
      <c r="F33" s="272"/>
      <c r="G33" s="272"/>
      <c r="H33" s="273"/>
    </row>
    <row r="34" spans="2:8" x14ac:dyDescent="0.25">
      <c r="B34" s="87" t="s">
        <v>702</v>
      </c>
      <c r="C34" s="34" t="s">
        <v>713</v>
      </c>
      <c r="D34" s="34" t="s">
        <v>19</v>
      </c>
      <c r="E34" s="35">
        <v>200</v>
      </c>
      <c r="F34" s="74" t="s">
        <v>2405</v>
      </c>
      <c r="G34" s="82"/>
      <c r="H34" s="65">
        <v>49235</v>
      </c>
    </row>
    <row r="35" spans="2:8" ht="15.75" thickBot="1" x14ac:dyDescent="0.3">
      <c r="B35" s="87" t="s">
        <v>697</v>
      </c>
      <c r="C35" s="34" t="s">
        <v>708</v>
      </c>
      <c r="D35" s="34" t="s">
        <v>19</v>
      </c>
      <c r="E35" s="35">
        <v>200</v>
      </c>
      <c r="F35" s="74" t="s">
        <v>719</v>
      </c>
      <c r="G35" s="82"/>
      <c r="H35" s="65">
        <v>50506</v>
      </c>
    </row>
    <row r="36" spans="2:8" ht="13.5" customHeight="1" thickBot="1" x14ac:dyDescent="0.3">
      <c r="B36" s="271" t="s">
        <v>2406</v>
      </c>
      <c r="C36" s="272"/>
      <c r="D36" s="272"/>
      <c r="E36" s="272"/>
      <c r="F36" s="272"/>
      <c r="G36" s="272"/>
      <c r="H36" s="273"/>
    </row>
    <row r="37" spans="2:8" ht="15.75" thickBot="1" x14ac:dyDescent="0.3">
      <c r="B37" s="87" t="s">
        <v>703</v>
      </c>
      <c r="C37" s="34" t="s">
        <v>714</v>
      </c>
      <c r="D37" s="34" t="s">
        <v>19</v>
      </c>
      <c r="E37" s="35">
        <v>200</v>
      </c>
      <c r="F37" s="74" t="s">
        <v>2407</v>
      </c>
      <c r="G37" s="82"/>
      <c r="H37" s="65">
        <v>55882</v>
      </c>
    </row>
    <row r="38" spans="2:8" ht="15" customHeight="1" thickBot="1" x14ac:dyDescent="0.3">
      <c r="B38" s="271" t="s">
        <v>2403</v>
      </c>
      <c r="C38" s="272"/>
      <c r="D38" s="272"/>
      <c r="E38" s="272"/>
      <c r="F38" s="272"/>
      <c r="G38" s="272"/>
      <c r="H38" s="273"/>
    </row>
    <row r="39" spans="2:8" x14ac:dyDescent="0.25">
      <c r="B39" s="87" t="s">
        <v>699</v>
      </c>
      <c r="C39" s="34" t="s">
        <v>710</v>
      </c>
      <c r="D39" s="34" t="s">
        <v>19</v>
      </c>
      <c r="E39" s="35">
        <v>200</v>
      </c>
      <c r="F39" s="74" t="s">
        <v>721</v>
      </c>
      <c r="G39" s="82"/>
      <c r="H39" s="65">
        <v>90388</v>
      </c>
    </row>
    <row r="40" spans="2:8" x14ac:dyDescent="0.25">
      <c r="B40" s="87" t="s">
        <v>700</v>
      </c>
      <c r="C40" s="34" t="s">
        <v>711</v>
      </c>
      <c r="D40" s="34" t="s">
        <v>19</v>
      </c>
      <c r="E40" s="35">
        <v>200</v>
      </c>
      <c r="F40" s="74" t="s">
        <v>722</v>
      </c>
      <c r="G40" s="82"/>
      <c r="H40" s="65">
        <v>91232</v>
      </c>
    </row>
    <row r="41" spans="2:8" ht="15.75" thickBot="1" x14ac:dyDescent="0.3">
      <c r="B41" s="87" t="s">
        <v>701</v>
      </c>
      <c r="C41" s="34" t="s">
        <v>712</v>
      </c>
      <c r="D41" s="34" t="s">
        <v>19</v>
      </c>
      <c r="E41" s="35">
        <v>200</v>
      </c>
      <c r="F41" s="74" t="s">
        <v>723</v>
      </c>
      <c r="G41" s="82"/>
      <c r="H41" s="65">
        <v>90388</v>
      </c>
    </row>
    <row r="42" spans="2:8" ht="13.5" customHeight="1" thickBot="1" x14ac:dyDescent="0.3">
      <c r="B42" s="271" t="s">
        <v>2404</v>
      </c>
      <c r="C42" s="272"/>
      <c r="D42" s="272"/>
      <c r="E42" s="272"/>
      <c r="F42" s="272"/>
      <c r="G42" s="272"/>
      <c r="H42" s="273"/>
    </row>
    <row r="43" spans="2:8" x14ac:dyDescent="0.25">
      <c r="B43" s="33" t="s">
        <v>156</v>
      </c>
      <c r="C43" s="34" t="s">
        <v>349</v>
      </c>
      <c r="D43" s="34" t="s">
        <v>19</v>
      </c>
      <c r="E43" s="35">
        <v>200</v>
      </c>
      <c r="F43" s="34" t="s">
        <v>5235</v>
      </c>
      <c r="G43" s="8"/>
      <c r="H43" s="65">
        <v>42030</v>
      </c>
    </row>
    <row r="44" spans="2:8" x14ac:dyDescent="0.25">
      <c r="B44" s="33" t="s">
        <v>158</v>
      </c>
      <c r="C44" s="34" t="s">
        <v>350</v>
      </c>
      <c r="D44" s="34" t="s">
        <v>19</v>
      </c>
      <c r="E44" s="35">
        <v>100</v>
      </c>
      <c r="F44" s="34" t="s">
        <v>5236</v>
      </c>
      <c r="G44" s="8"/>
      <c r="H44" s="65">
        <v>42219</v>
      </c>
    </row>
    <row r="45" spans="2:8" x14ac:dyDescent="0.25">
      <c r="B45" s="33" t="s">
        <v>160</v>
      </c>
      <c r="C45" s="34" t="s">
        <v>351</v>
      </c>
      <c r="D45" s="34" t="s">
        <v>19</v>
      </c>
      <c r="E45" s="35">
        <v>100</v>
      </c>
      <c r="F45" s="34" t="s">
        <v>5237</v>
      </c>
      <c r="G45" s="8"/>
      <c r="H45" s="65">
        <v>64683</v>
      </c>
    </row>
    <row r="46" spans="2:8" x14ac:dyDescent="0.25">
      <c r="B46" s="94" t="s">
        <v>706</v>
      </c>
      <c r="C46" s="36" t="s">
        <v>717</v>
      </c>
      <c r="D46" s="36" t="s">
        <v>19</v>
      </c>
      <c r="E46" s="37">
        <v>500</v>
      </c>
      <c r="F46" s="92" t="s">
        <v>728</v>
      </c>
      <c r="G46" s="111"/>
      <c r="H46" s="65">
        <v>86102</v>
      </c>
    </row>
    <row r="47" spans="2:8" ht="15.75" thickBot="1" x14ac:dyDescent="0.3">
      <c r="B47" s="94" t="s">
        <v>707</v>
      </c>
      <c r="C47" s="36" t="s">
        <v>718</v>
      </c>
      <c r="D47" s="36" t="s">
        <v>19</v>
      </c>
      <c r="E47" s="37">
        <v>500</v>
      </c>
      <c r="F47" s="92" t="s">
        <v>729</v>
      </c>
      <c r="G47" s="111"/>
      <c r="H47" s="65">
        <v>162415</v>
      </c>
    </row>
    <row r="48" spans="2:8" ht="16.5" thickBot="1" x14ac:dyDescent="0.3">
      <c r="B48" s="271" t="s">
        <v>2487</v>
      </c>
      <c r="C48" s="272"/>
      <c r="D48" s="272"/>
      <c r="E48" s="272"/>
      <c r="F48" s="272"/>
      <c r="G48" s="272"/>
      <c r="H48" s="273"/>
    </row>
    <row r="49" spans="2:8" x14ac:dyDescent="0.25">
      <c r="B49" s="33" t="s">
        <v>162</v>
      </c>
      <c r="C49" s="34" t="s">
        <v>352</v>
      </c>
      <c r="D49" s="34" t="s">
        <v>19</v>
      </c>
      <c r="E49" s="35">
        <v>50</v>
      </c>
      <c r="F49" s="34" t="s">
        <v>163</v>
      </c>
      <c r="G49" s="156"/>
      <c r="H49" s="65">
        <v>36584</v>
      </c>
    </row>
    <row r="50" spans="2:8" ht="15.75" thickBot="1" x14ac:dyDescent="0.3">
      <c r="B50" s="33" t="s">
        <v>164</v>
      </c>
      <c r="C50" s="34" t="s">
        <v>353</v>
      </c>
      <c r="D50" s="34" t="s">
        <v>19</v>
      </c>
      <c r="E50" s="35">
        <v>50</v>
      </c>
      <c r="F50" s="34" t="s">
        <v>165</v>
      </c>
      <c r="G50" s="156"/>
      <c r="H50" s="65">
        <v>29665</v>
      </c>
    </row>
    <row r="51" spans="2:8" ht="16.5" thickBot="1" x14ac:dyDescent="0.3">
      <c r="B51" s="271" t="s">
        <v>2488</v>
      </c>
      <c r="C51" s="272"/>
      <c r="D51" s="272"/>
      <c r="E51" s="272"/>
      <c r="F51" s="272"/>
      <c r="G51" s="272"/>
      <c r="H51" s="273"/>
    </row>
    <row r="52" spans="2:8" x14ac:dyDescent="0.25">
      <c r="B52" s="33" t="s">
        <v>166</v>
      </c>
      <c r="C52" s="34" t="s">
        <v>354</v>
      </c>
      <c r="D52" s="34" t="s">
        <v>19</v>
      </c>
      <c r="E52" s="35">
        <v>200</v>
      </c>
      <c r="F52" s="34" t="s">
        <v>2489</v>
      </c>
      <c r="G52" s="156"/>
      <c r="H52" s="65">
        <v>53271</v>
      </c>
    </row>
    <row r="53" spans="2:8" x14ac:dyDescent="0.25">
      <c r="B53" s="33" t="s">
        <v>168</v>
      </c>
      <c r="C53" s="34" t="s">
        <v>355</v>
      </c>
      <c r="D53" s="34" t="s">
        <v>19</v>
      </c>
      <c r="E53" s="35">
        <v>100</v>
      </c>
      <c r="F53" s="34" t="s">
        <v>2490</v>
      </c>
      <c r="G53" s="156"/>
      <c r="H53" s="65">
        <v>54763</v>
      </c>
    </row>
    <row r="54" spans="2:8" ht="15.75" thickBot="1" x14ac:dyDescent="0.3">
      <c r="B54" s="33" t="s">
        <v>170</v>
      </c>
      <c r="C54" s="34" t="s">
        <v>356</v>
      </c>
      <c r="D54" s="34" t="s">
        <v>19</v>
      </c>
      <c r="E54" s="35">
        <v>100</v>
      </c>
      <c r="F54" s="34" t="s">
        <v>2491</v>
      </c>
      <c r="G54" s="156"/>
      <c r="H54" s="65">
        <v>65961</v>
      </c>
    </row>
    <row r="55" spans="2:8" ht="16.5" thickBot="1" x14ac:dyDescent="0.3">
      <c r="B55" s="271" t="s">
        <v>2492</v>
      </c>
      <c r="C55" s="272"/>
      <c r="D55" s="272"/>
      <c r="E55" s="272"/>
      <c r="F55" s="272"/>
      <c r="G55" s="272"/>
      <c r="H55" s="273"/>
    </row>
    <row r="56" spans="2:8" ht="15.75" thickBot="1" x14ac:dyDescent="0.3">
      <c r="B56" s="38" t="s">
        <v>420</v>
      </c>
      <c r="C56" s="39" t="s">
        <v>422</v>
      </c>
      <c r="D56" s="39" t="s">
        <v>19</v>
      </c>
      <c r="E56" s="40">
        <v>500</v>
      </c>
      <c r="F56" s="39" t="s">
        <v>421</v>
      </c>
      <c r="G56" s="157"/>
      <c r="H56" s="89">
        <v>235416</v>
      </c>
    </row>
    <row r="57" spans="2:8" x14ac:dyDescent="0.25">
      <c r="B57" s="27" t="s">
        <v>419</v>
      </c>
    </row>
  </sheetData>
  <mergeCells count="13">
    <mergeCell ref="B51:H51"/>
    <mergeCell ref="B55:H55"/>
    <mergeCell ref="B38:H38"/>
    <mergeCell ref="B42:H42"/>
    <mergeCell ref="B36:H36"/>
    <mergeCell ref="B5:H5"/>
    <mergeCell ref="B2:H2"/>
    <mergeCell ref="B48:H48"/>
    <mergeCell ref="B11:H11"/>
    <mergeCell ref="B14:H14"/>
    <mergeCell ref="B21:H21"/>
    <mergeCell ref="B25:H25"/>
    <mergeCell ref="B33:H33"/>
  </mergeCells>
  <phoneticPr fontId="10" type="noConversion"/>
  <pageMargins left="0.7" right="0.7" top="0.75" bottom="0.75" header="0.3" footer="0.3"/>
  <pageSetup scale="6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7FB4-6416-4A23-8349-C55CAB6A09EC}">
  <dimension ref="B1:H39"/>
  <sheetViews>
    <sheetView topLeftCell="A25" workbookViewId="0">
      <selection activeCell="B2" sqref="B2:H2"/>
    </sheetView>
  </sheetViews>
  <sheetFormatPr baseColWidth="10" defaultRowHeight="15" x14ac:dyDescent="0.25"/>
  <cols>
    <col min="1" max="1" width="5.85546875" customWidth="1"/>
    <col min="2" max="2" width="14.42578125" customWidth="1"/>
    <col min="3" max="3" width="16.7109375" customWidth="1"/>
    <col min="4" max="4" width="6.7109375" customWidth="1"/>
    <col min="5" max="5" width="7.5703125" customWidth="1"/>
    <col min="6" max="6" width="62.7109375" customWidth="1"/>
    <col min="8" max="8" width="10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30"/>
      <c r="G3" s="63"/>
      <c r="H3" s="67"/>
    </row>
    <row r="4" spans="2:8" ht="24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6.5" thickBot="1" x14ac:dyDescent="0.3">
      <c r="B5" s="271" t="s">
        <v>2495</v>
      </c>
      <c r="C5" s="272"/>
      <c r="D5" s="272"/>
      <c r="E5" s="272"/>
      <c r="F5" s="272"/>
      <c r="G5" s="272"/>
      <c r="H5" s="273"/>
    </row>
    <row r="6" spans="2:8" ht="15.75" thickBot="1" x14ac:dyDescent="0.3">
      <c r="B6" s="87" t="s">
        <v>737</v>
      </c>
      <c r="C6" s="74" t="s">
        <v>739</v>
      </c>
      <c r="D6" s="34" t="s">
        <v>423</v>
      </c>
      <c r="E6" s="35">
        <v>200</v>
      </c>
      <c r="F6" s="74" t="s">
        <v>741</v>
      </c>
      <c r="G6" s="82"/>
      <c r="H6" s="65">
        <v>110967</v>
      </c>
    </row>
    <row r="7" spans="2:8" ht="16.5" thickBot="1" x14ac:dyDescent="0.3">
      <c r="B7" s="271" t="s">
        <v>2390</v>
      </c>
      <c r="C7" s="272"/>
      <c r="D7" s="272"/>
      <c r="E7" s="272"/>
      <c r="F7" s="272"/>
      <c r="G7" s="272"/>
      <c r="H7" s="273"/>
    </row>
    <row r="8" spans="2:8" x14ac:dyDescent="0.25">
      <c r="B8" s="87" t="s">
        <v>2232</v>
      </c>
      <c r="C8" s="34" t="s">
        <v>2330</v>
      </c>
      <c r="D8" s="34" t="s">
        <v>423</v>
      </c>
      <c r="E8" s="35">
        <v>1000</v>
      </c>
      <c r="F8" s="74" t="s">
        <v>2328</v>
      </c>
      <c r="G8" s="114" t="s">
        <v>961</v>
      </c>
      <c r="H8" s="65">
        <v>126059.87100000001</v>
      </c>
    </row>
    <row r="9" spans="2:8" ht="15.75" thickBot="1" x14ac:dyDescent="0.3">
      <c r="B9" s="87" t="s">
        <v>2234</v>
      </c>
      <c r="C9" s="34" t="s">
        <v>2331</v>
      </c>
      <c r="D9" s="34" t="s">
        <v>423</v>
      </c>
      <c r="E9" s="35">
        <v>750</v>
      </c>
      <c r="F9" s="74" t="s">
        <v>2329</v>
      </c>
      <c r="G9" s="114" t="s">
        <v>961</v>
      </c>
      <c r="H9" s="65">
        <v>149564.31</v>
      </c>
    </row>
    <row r="10" spans="2:8" ht="16.5" thickBot="1" x14ac:dyDescent="0.3">
      <c r="B10" s="271" t="s">
        <v>2391</v>
      </c>
      <c r="C10" s="272"/>
      <c r="D10" s="272"/>
      <c r="E10" s="272"/>
      <c r="F10" s="272"/>
      <c r="G10" s="272"/>
      <c r="H10" s="273"/>
    </row>
    <row r="11" spans="2:8" ht="15" customHeight="1" x14ac:dyDescent="0.25">
      <c r="B11" s="45" t="s">
        <v>457</v>
      </c>
      <c r="C11" s="41" t="s">
        <v>458</v>
      </c>
      <c r="D11" s="41" t="s">
        <v>423</v>
      </c>
      <c r="E11" s="35">
        <v>200</v>
      </c>
      <c r="F11" s="41" t="s">
        <v>461</v>
      </c>
      <c r="G11" s="9"/>
      <c r="H11" s="65">
        <v>34148</v>
      </c>
    </row>
    <row r="12" spans="2:8" ht="15" customHeight="1" thickBot="1" x14ac:dyDescent="0.3">
      <c r="B12" s="45" t="s">
        <v>459</v>
      </c>
      <c r="C12" s="41" t="s">
        <v>460</v>
      </c>
      <c r="D12" s="41" t="s">
        <v>423</v>
      </c>
      <c r="E12" s="35">
        <v>200</v>
      </c>
      <c r="F12" s="41" t="s">
        <v>462</v>
      </c>
      <c r="G12" s="9"/>
      <c r="H12" s="65">
        <v>34164</v>
      </c>
    </row>
    <row r="13" spans="2:8" ht="16.5" thickBot="1" x14ac:dyDescent="0.3">
      <c r="B13" s="271" t="s">
        <v>2392</v>
      </c>
      <c r="C13" s="272"/>
      <c r="D13" s="272"/>
      <c r="E13" s="272"/>
      <c r="F13" s="272"/>
      <c r="G13" s="272"/>
      <c r="H13" s="273"/>
    </row>
    <row r="14" spans="2:8" ht="15.75" thickBot="1" x14ac:dyDescent="0.3">
      <c r="B14" s="94" t="s">
        <v>704</v>
      </c>
      <c r="C14" s="36" t="s">
        <v>715</v>
      </c>
      <c r="D14" s="36" t="s">
        <v>423</v>
      </c>
      <c r="E14" s="37">
        <v>200</v>
      </c>
      <c r="F14" s="92" t="s">
        <v>726</v>
      </c>
      <c r="G14" s="111"/>
      <c r="H14" s="65">
        <v>54989</v>
      </c>
    </row>
    <row r="15" spans="2:8" ht="16.5" thickBot="1" x14ac:dyDescent="0.3">
      <c r="B15" s="271" t="s">
        <v>2393</v>
      </c>
      <c r="C15" s="272"/>
      <c r="D15" s="272"/>
      <c r="E15" s="272"/>
      <c r="F15" s="272"/>
      <c r="G15" s="272"/>
      <c r="H15" s="273"/>
    </row>
    <row r="16" spans="2:8" x14ac:dyDescent="0.25">
      <c r="B16" s="50" t="s">
        <v>179</v>
      </c>
      <c r="C16" s="51" t="s">
        <v>368</v>
      </c>
      <c r="D16" s="51" t="s">
        <v>423</v>
      </c>
      <c r="E16" s="52">
        <v>200</v>
      </c>
      <c r="F16" s="51" t="s">
        <v>369</v>
      </c>
      <c r="G16" s="7"/>
      <c r="H16" s="81">
        <v>50112</v>
      </c>
    </row>
    <row r="17" spans="2:8" x14ac:dyDescent="0.25">
      <c r="B17" s="33" t="s">
        <v>177</v>
      </c>
      <c r="C17" s="34" t="s">
        <v>364</v>
      </c>
      <c r="D17" s="34" t="s">
        <v>423</v>
      </c>
      <c r="E17" s="35">
        <v>200</v>
      </c>
      <c r="F17" s="34" t="s">
        <v>365</v>
      </c>
      <c r="G17" s="8"/>
      <c r="H17" s="65">
        <v>64247</v>
      </c>
    </row>
    <row r="18" spans="2:8" x14ac:dyDescent="0.25">
      <c r="B18" s="33" t="s">
        <v>178</v>
      </c>
      <c r="C18" s="34" t="s">
        <v>366</v>
      </c>
      <c r="D18" s="34" t="s">
        <v>423</v>
      </c>
      <c r="E18" s="35">
        <v>200</v>
      </c>
      <c r="F18" s="34" t="s">
        <v>2493</v>
      </c>
      <c r="G18" s="8"/>
      <c r="H18" s="65">
        <v>105372</v>
      </c>
    </row>
    <row r="19" spans="2:8" ht="13.5" customHeight="1" x14ac:dyDescent="0.25">
      <c r="B19" s="33" t="s">
        <v>176</v>
      </c>
      <c r="C19" s="34" t="s">
        <v>362</v>
      </c>
      <c r="D19" s="34" t="s">
        <v>423</v>
      </c>
      <c r="E19" s="35">
        <v>100</v>
      </c>
      <c r="F19" s="34" t="s">
        <v>2494</v>
      </c>
      <c r="G19" s="8"/>
      <c r="H19" s="65">
        <v>88988</v>
      </c>
    </row>
    <row r="20" spans="2:8" x14ac:dyDescent="0.25">
      <c r="B20" s="33" t="s">
        <v>180</v>
      </c>
      <c r="C20" s="34" t="s">
        <v>370</v>
      </c>
      <c r="D20" s="34" t="s">
        <v>423</v>
      </c>
      <c r="E20" s="35">
        <v>200</v>
      </c>
      <c r="F20" s="34" t="s">
        <v>371</v>
      </c>
      <c r="G20" s="8"/>
      <c r="H20" s="65">
        <v>71948</v>
      </c>
    </row>
    <row r="21" spans="2:8" x14ac:dyDescent="0.25">
      <c r="B21" s="33" t="s">
        <v>172</v>
      </c>
      <c r="C21" s="34" t="s">
        <v>357</v>
      </c>
      <c r="D21" s="34" t="s">
        <v>423</v>
      </c>
      <c r="E21" s="35">
        <v>300</v>
      </c>
      <c r="F21" s="34" t="s">
        <v>358</v>
      </c>
      <c r="G21" s="8"/>
      <c r="H21" s="65">
        <v>99368</v>
      </c>
    </row>
    <row r="22" spans="2:8" x14ac:dyDescent="0.25">
      <c r="B22" s="33" t="s">
        <v>173</v>
      </c>
      <c r="C22" s="34" t="s">
        <v>359</v>
      </c>
      <c r="D22" s="34" t="s">
        <v>423</v>
      </c>
      <c r="E22" s="35">
        <v>200</v>
      </c>
      <c r="F22" s="34" t="s">
        <v>360</v>
      </c>
      <c r="G22" s="8"/>
      <c r="H22" s="65">
        <v>36624</v>
      </c>
    </row>
    <row r="23" spans="2:8" ht="15.75" thickBot="1" x14ac:dyDescent="0.3">
      <c r="B23" s="38" t="s">
        <v>174</v>
      </c>
      <c r="C23" s="39" t="s">
        <v>361</v>
      </c>
      <c r="D23" s="39" t="s">
        <v>423</v>
      </c>
      <c r="E23" s="40">
        <v>200</v>
      </c>
      <c r="F23" s="39" t="s">
        <v>175</v>
      </c>
      <c r="G23" s="140"/>
      <c r="H23" s="89">
        <v>40063</v>
      </c>
    </row>
    <row r="24" spans="2:8" ht="15.75" thickBot="1" x14ac:dyDescent="0.3">
      <c r="B24" s="295" t="s">
        <v>644</v>
      </c>
      <c r="C24" s="296"/>
      <c r="D24" s="296"/>
      <c r="E24" s="296"/>
      <c r="F24" s="296"/>
      <c r="G24" s="296"/>
      <c r="H24" s="297"/>
    </row>
    <row r="25" spans="2:8" x14ac:dyDescent="0.25">
      <c r="B25" s="185" t="s">
        <v>645</v>
      </c>
      <c r="C25" s="77" t="s">
        <v>656</v>
      </c>
      <c r="D25" s="77" t="s">
        <v>423</v>
      </c>
      <c r="E25" s="77">
        <v>50</v>
      </c>
      <c r="F25" s="77" t="s">
        <v>785</v>
      </c>
      <c r="G25" s="186"/>
      <c r="H25" s="99">
        <v>66207</v>
      </c>
    </row>
    <row r="26" spans="2:8" x14ac:dyDescent="0.25">
      <c r="B26" s="87" t="s">
        <v>646</v>
      </c>
      <c r="C26" s="74" t="s">
        <v>657</v>
      </c>
      <c r="D26" s="74" t="s">
        <v>373</v>
      </c>
      <c r="E26" s="74">
        <v>50</v>
      </c>
      <c r="F26" s="74" t="s">
        <v>652</v>
      </c>
      <c r="G26" s="93"/>
      <c r="H26" s="65">
        <v>31022</v>
      </c>
    </row>
    <row r="27" spans="2:8" x14ac:dyDescent="0.25">
      <c r="B27" s="87" t="s">
        <v>647</v>
      </c>
      <c r="C27" s="74" t="s">
        <v>658</v>
      </c>
      <c r="D27" s="74" t="s">
        <v>373</v>
      </c>
      <c r="E27" s="74">
        <v>50</v>
      </c>
      <c r="F27" s="74" t="s">
        <v>653</v>
      </c>
      <c r="G27" s="93"/>
      <c r="H27" s="65">
        <v>33339</v>
      </c>
    </row>
    <row r="28" spans="2:8" x14ac:dyDescent="0.25">
      <c r="B28" s="87" t="s">
        <v>648</v>
      </c>
      <c r="C28" s="74" t="s">
        <v>659</v>
      </c>
      <c r="D28" s="74" t="s">
        <v>373</v>
      </c>
      <c r="E28" s="74">
        <v>50</v>
      </c>
      <c r="F28" s="74" t="s">
        <v>654</v>
      </c>
      <c r="G28" s="93" t="s">
        <v>663</v>
      </c>
      <c r="H28" s="65">
        <v>29121.676800000001</v>
      </c>
    </row>
    <row r="29" spans="2:8" x14ac:dyDescent="0.25">
      <c r="B29" s="87" t="s">
        <v>649</v>
      </c>
      <c r="C29" s="74" t="s">
        <v>660</v>
      </c>
      <c r="D29" s="74" t="s">
        <v>373</v>
      </c>
      <c r="E29" s="74">
        <v>50</v>
      </c>
      <c r="F29" s="74" t="s">
        <v>655</v>
      </c>
      <c r="G29" s="93" t="s">
        <v>663</v>
      </c>
      <c r="H29" s="65">
        <v>32752</v>
      </c>
    </row>
    <row r="30" spans="2:8" x14ac:dyDescent="0.25">
      <c r="B30" s="87" t="s">
        <v>650</v>
      </c>
      <c r="C30" s="74" t="s">
        <v>661</v>
      </c>
      <c r="D30" s="74" t="s">
        <v>373</v>
      </c>
      <c r="E30" s="74">
        <v>50</v>
      </c>
      <c r="F30" s="74" t="s">
        <v>786</v>
      </c>
      <c r="G30" s="93"/>
      <c r="H30" s="65">
        <v>31553</v>
      </c>
    </row>
    <row r="31" spans="2:8" x14ac:dyDescent="0.25">
      <c r="B31" s="87" t="s">
        <v>977</v>
      </c>
      <c r="C31" s="74" t="s">
        <v>978</v>
      </c>
      <c r="D31" s="74" t="s">
        <v>373</v>
      </c>
      <c r="E31" s="74">
        <v>50</v>
      </c>
      <c r="F31" s="74" t="s">
        <v>2359</v>
      </c>
      <c r="G31" s="124" t="s">
        <v>961</v>
      </c>
      <c r="H31" s="65">
        <v>40255</v>
      </c>
    </row>
    <row r="32" spans="2:8" x14ac:dyDescent="0.25">
      <c r="B32" s="87" t="s">
        <v>979</v>
      </c>
      <c r="C32" s="74" t="s">
        <v>980</v>
      </c>
      <c r="D32" s="74" t="s">
        <v>373</v>
      </c>
      <c r="E32" s="74">
        <v>50</v>
      </c>
      <c r="F32" s="74" t="s">
        <v>2358</v>
      </c>
      <c r="G32" s="124" t="s">
        <v>961</v>
      </c>
      <c r="H32" s="65">
        <v>40614</v>
      </c>
    </row>
    <row r="33" spans="2:8" x14ac:dyDescent="0.25">
      <c r="B33" s="87" t="s">
        <v>981</v>
      </c>
      <c r="C33" s="74" t="s">
        <v>982</v>
      </c>
      <c r="D33" s="74" t="s">
        <v>373</v>
      </c>
      <c r="E33" s="74">
        <v>50</v>
      </c>
      <c r="F33" s="74" t="s">
        <v>2360</v>
      </c>
      <c r="G33" s="124" t="s">
        <v>961</v>
      </c>
      <c r="H33" s="65">
        <v>62747</v>
      </c>
    </row>
    <row r="34" spans="2:8" x14ac:dyDescent="0.25">
      <c r="B34" s="87" t="s">
        <v>651</v>
      </c>
      <c r="C34" s="74" t="s">
        <v>662</v>
      </c>
      <c r="D34" s="74" t="s">
        <v>373</v>
      </c>
      <c r="E34" s="74">
        <v>50</v>
      </c>
      <c r="F34" s="74" t="s">
        <v>922</v>
      </c>
      <c r="G34" s="93" t="s">
        <v>663</v>
      </c>
      <c r="H34" s="65">
        <v>58887</v>
      </c>
    </row>
    <row r="35" spans="2:8" x14ac:dyDescent="0.25">
      <c r="B35" s="87" t="s">
        <v>736</v>
      </c>
      <c r="C35" s="74" t="s">
        <v>738</v>
      </c>
      <c r="D35" s="74" t="s">
        <v>373</v>
      </c>
      <c r="E35" s="74">
        <v>300</v>
      </c>
      <c r="F35" s="74" t="s">
        <v>740</v>
      </c>
      <c r="G35" s="93"/>
      <c r="H35" s="65">
        <v>87176</v>
      </c>
    </row>
    <row r="36" spans="2:8" x14ac:dyDescent="0.25">
      <c r="B36" s="87" t="s">
        <v>705</v>
      </c>
      <c r="C36" s="34" t="s">
        <v>716</v>
      </c>
      <c r="D36" s="34" t="s">
        <v>373</v>
      </c>
      <c r="E36" s="74">
        <v>300</v>
      </c>
      <c r="F36" s="74" t="s">
        <v>727</v>
      </c>
      <c r="G36" s="8"/>
      <c r="H36" s="65">
        <v>73382</v>
      </c>
    </row>
    <row r="37" spans="2:8" x14ac:dyDescent="0.25">
      <c r="B37" s="94" t="s">
        <v>737</v>
      </c>
      <c r="C37" s="92" t="s">
        <v>739</v>
      </c>
      <c r="D37" s="34" t="s">
        <v>373</v>
      </c>
      <c r="E37" s="92">
        <v>200</v>
      </c>
      <c r="F37" s="92" t="s">
        <v>741</v>
      </c>
      <c r="G37" s="95"/>
      <c r="H37" s="65">
        <f>_xlfn.XLOOKUP(B37,lista!A:A,lista!C:C,0,0)</f>
        <v>105683</v>
      </c>
    </row>
    <row r="38" spans="2:8" ht="15.75" thickBot="1" x14ac:dyDescent="0.3">
      <c r="B38" s="88" t="s">
        <v>921</v>
      </c>
      <c r="C38" s="75"/>
      <c r="D38" s="39" t="s">
        <v>373</v>
      </c>
      <c r="E38" s="75">
        <v>200</v>
      </c>
      <c r="F38" s="75" t="s">
        <v>5238</v>
      </c>
      <c r="G38" s="75"/>
      <c r="H38" s="89">
        <v>24989</v>
      </c>
    </row>
    <row r="39" spans="2:8" x14ac:dyDescent="0.25">
      <c r="B39" s="27" t="s">
        <v>419</v>
      </c>
    </row>
  </sheetData>
  <mergeCells count="7">
    <mergeCell ref="B2:H2"/>
    <mergeCell ref="B24:H24"/>
    <mergeCell ref="B5:H5"/>
    <mergeCell ref="B7:H7"/>
    <mergeCell ref="B10:H10"/>
    <mergeCell ref="B13:H13"/>
    <mergeCell ref="B15:H15"/>
  </mergeCells>
  <pageMargins left="0.7" right="0.7" top="0.75" bottom="0.75" header="0.3" footer="0.3"/>
  <pageSetup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8C9E-B4C4-433D-89E1-A398B7696DA7}">
  <dimension ref="C6:C19"/>
  <sheetViews>
    <sheetView workbookViewId="0">
      <selection activeCell="L12" sqref="L12"/>
    </sheetView>
  </sheetViews>
  <sheetFormatPr baseColWidth="10" defaultRowHeight="15" x14ac:dyDescent="0.25"/>
  <cols>
    <col min="1" max="1" width="5.7109375" customWidth="1"/>
  </cols>
  <sheetData>
    <row r="6" spans="3:3" x14ac:dyDescent="0.25">
      <c r="C6" s="215"/>
    </row>
    <row r="7" spans="3:3" x14ac:dyDescent="0.25">
      <c r="C7" s="215"/>
    </row>
    <row r="8" spans="3:3" x14ac:dyDescent="0.25">
      <c r="C8" s="215"/>
    </row>
    <row r="9" spans="3:3" x14ac:dyDescent="0.25">
      <c r="C9" s="215"/>
    </row>
    <row r="10" spans="3:3" x14ac:dyDescent="0.25">
      <c r="C10" s="215"/>
    </row>
    <row r="11" spans="3:3" x14ac:dyDescent="0.25">
      <c r="C11" s="215"/>
    </row>
    <row r="12" spans="3:3" x14ac:dyDescent="0.25">
      <c r="C12" s="215"/>
    </row>
    <row r="13" spans="3:3" x14ac:dyDescent="0.25">
      <c r="C13" s="215"/>
    </row>
    <row r="14" spans="3:3" x14ac:dyDescent="0.25">
      <c r="C14" s="215"/>
    </row>
    <row r="15" spans="3:3" x14ac:dyDescent="0.25">
      <c r="C15" s="215"/>
    </row>
    <row r="16" spans="3:3" x14ac:dyDescent="0.25">
      <c r="C16" s="215"/>
    </row>
    <row r="19" ht="13.5" customHeight="1" x14ac:dyDescent="0.25"/>
  </sheetData>
  <pageMargins left="0.7" right="0.7" top="0.75" bottom="0.75" header="0.3" footer="0.3"/>
  <pageSetup scale="6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95D9-4AAA-482D-B3E4-2E55C56004AD}">
  <dimension ref="A1:H63"/>
  <sheetViews>
    <sheetView tabSelected="1" workbookViewId="0">
      <selection activeCell="K53" sqref="K53"/>
    </sheetView>
  </sheetViews>
  <sheetFormatPr baseColWidth="10" defaultRowHeight="15" x14ac:dyDescent="0.25"/>
  <cols>
    <col min="1" max="1" width="5.140625" customWidth="1"/>
    <col min="2" max="2" width="16.42578125" customWidth="1"/>
    <col min="3" max="3" width="16" customWidth="1"/>
    <col min="4" max="4" width="7.140625" customWidth="1"/>
    <col min="5" max="5" width="6.140625" customWidth="1"/>
    <col min="6" max="6" width="62" customWidth="1"/>
    <col min="7" max="7" width="17.42578125" customWidth="1"/>
    <col min="8" max="8" width="9.42578125" customWidth="1"/>
  </cols>
  <sheetData>
    <row r="1" spans="1:8" ht="11.25" customHeight="1" thickBot="1" x14ac:dyDescent="0.3">
      <c r="B1" s="1"/>
      <c r="C1" s="1"/>
      <c r="D1" s="2"/>
      <c r="E1" s="2"/>
      <c r="F1" s="1"/>
      <c r="G1" s="1"/>
      <c r="H1" s="66"/>
    </row>
    <row r="2" spans="1:8" ht="16.5" customHeight="1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1:8" ht="13.5" customHeight="1" thickBot="1" x14ac:dyDescent="0.3">
      <c r="B3" s="62"/>
      <c r="C3" s="63" t="s">
        <v>464</v>
      </c>
      <c r="D3" s="63"/>
      <c r="E3" s="63"/>
      <c r="F3" s="30"/>
      <c r="G3" s="63"/>
      <c r="H3" s="67"/>
    </row>
    <row r="4" spans="1:8" s="3" customFormat="1" ht="26.25" customHeight="1" thickBot="1" x14ac:dyDescent="0.3">
      <c r="B4" s="187" t="s">
        <v>191</v>
      </c>
      <c r="C4" s="188" t="s">
        <v>192</v>
      </c>
      <c r="D4" s="188" t="s">
        <v>193</v>
      </c>
      <c r="E4" s="188" t="s">
        <v>194</v>
      </c>
      <c r="F4" s="188" t="s">
        <v>195</v>
      </c>
      <c r="G4" s="188" t="s">
        <v>196</v>
      </c>
      <c r="H4" s="189" t="s">
        <v>487</v>
      </c>
    </row>
    <row r="5" spans="1:8" ht="15.75" customHeight="1" thickBot="1" x14ac:dyDescent="0.3">
      <c r="A5" s="190"/>
      <c r="B5" s="298" t="s">
        <v>2497</v>
      </c>
      <c r="C5" s="299"/>
      <c r="D5" s="299"/>
      <c r="E5" s="299"/>
      <c r="F5" s="299"/>
      <c r="G5" s="299"/>
      <c r="H5" s="300"/>
    </row>
    <row r="6" spans="1:8" ht="15" customHeight="1" x14ac:dyDescent="0.25">
      <c r="A6" s="191"/>
      <c r="B6" s="53" t="s">
        <v>606</v>
      </c>
      <c r="C6" s="54" t="s">
        <v>787</v>
      </c>
      <c r="D6" s="54" t="s">
        <v>423</v>
      </c>
      <c r="E6" s="54">
        <v>96</v>
      </c>
      <c r="F6" s="54" t="s">
        <v>935</v>
      </c>
      <c r="G6" s="54" t="s">
        <v>834</v>
      </c>
      <c r="H6" s="65">
        <v>39715.625800000002</v>
      </c>
    </row>
    <row r="7" spans="1:8" ht="15" customHeight="1" x14ac:dyDescent="0.25">
      <c r="A7" s="191"/>
      <c r="B7" s="55" t="s">
        <v>607</v>
      </c>
      <c r="C7" s="56" t="s">
        <v>788</v>
      </c>
      <c r="D7" s="56" t="s">
        <v>423</v>
      </c>
      <c r="E7" s="56">
        <v>96</v>
      </c>
      <c r="F7" s="56" t="s">
        <v>936</v>
      </c>
      <c r="G7" s="56" t="s">
        <v>835</v>
      </c>
      <c r="H7" s="65">
        <v>52073.812999999995</v>
      </c>
    </row>
    <row r="8" spans="1:8" ht="15.75" customHeight="1" x14ac:dyDescent="0.25">
      <c r="A8" s="191"/>
      <c r="B8" s="55" t="s">
        <v>608</v>
      </c>
      <c r="C8" s="56" t="s">
        <v>819</v>
      </c>
      <c r="D8" s="56" t="s">
        <v>423</v>
      </c>
      <c r="E8" s="56">
        <v>96</v>
      </c>
      <c r="F8" s="56" t="s">
        <v>937</v>
      </c>
      <c r="G8" s="56" t="s">
        <v>836</v>
      </c>
      <c r="H8" s="65">
        <v>73603.511599999998</v>
      </c>
    </row>
    <row r="9" spans="1:8" ht="16.5" customHeight="1" x14ac:dyDescent="0.25">
      <c r="A9" s="191"/>
      <c r="B9" s="55" t="s">
        <v>609</v>
      </c>
      <c r="C9" s="56" t="s">
        <v>820</v>
      </c>
      <c r="D9" s="56" t="s">
        <v>423</v>
      </c>
      <c r="E9" s="56">
        <v>48</v>
      </c>
      <c r="F9" s="56" t="s">
        <v>938</v>
      </c>
      <c r="G9" s="56" t="s">
        <v>838</v>
      </c>
      <c r="H9" s="65">
        <v>51876.176599999999</v>
      </c>
    </row>
    <row r="10" spans="1:8" ht="15.75" thickBot="1" x14ac:dyDescent="0.3">
      <c r="A10" s="191"/>
      <c r="B10" s="55" t="s">
        <v>610</v>
      </c>
      <c r="C10" s="56" t="s">
        <v>821</v>
      </c>
      <c r="D10" s="56" t="s">
        <v>423</v>
      </c>
      <c r="E10" s="56">
        <v>48</v>
      </c>
      <c r="F10" s="56" t="s">
        <v>939</v>
      </c>
      <c r="G10" s="56" t="s">
        <v>837</v>
      </c>
      <c r="H10" s="65">
        <v>71187.955600000001</v>
      </c>
    </row>
    <row r="11" spans="1:8" ht="15.75" thickBot="1" x14ac:dyDescent="0.3">
      <c r="A11" s="191"/>
      <c r="B11" s="298" t="s">
        <v>2498</v>
      </c>
      <c r="C11" s="299"/>
      <c r="D11" s="299"/>
      <c r="E11" s="299"/>
      <c r="F11" s="299"/>
      <c r="G11" s="299"/>
      <c r="H11" s="300"/>
    </row>
    <row r="12" spans="1:8" x14ac:dyDescent="0.25">
      <c r="A12" s="191"/>
      <c r="B12" s="55" t="s">
        <v>611</v>
      </c>
      <c r="C12" s="56" t="s">
        <v>822</v>
      </c>
      <c r="D12" s="56" t="s">
        <v>423</v>
      </c>
      <c r="E12" s="56">
        <v>96</v>
      </c>
      <c r="F12" s="56" t="s">
        <v>934</v>
      </c>
      <c r="G12" s="56" t="s">
        <v>839</v>
      </c>
      <c r="H12" s="65">
        <v>71970.055200000003</v>
      </c>
    </row>
    <row r="13" spans="1:8" x14ac:dyDescent="0.25">
      <c r="A13" s="191"/>
      <c r="B13" s="55" t="s">
        <v>612</v>
      </c>
      <c r="C13" s="56" t="s">
        <v>823</v>
      </c>
      <c r="D13" s="56" t="s">
        <v>423</v>
      </c>
      <c r="E13" s="56">
        <v>48</v>
      </c>
      <c r="F13" s="56" t="s">
        <v>932</v>
      </c>
      <c r="G13" s="56" t="s">
        <v>840</v>
      </c>
      <c r="H13" s="65">
        <v>48768.048600000002</v>
      </c>
    </row>
    <row r="14" spans="1:8" ht="15.75" customHeight="1" x14ac:dyDescent="0.25">
      <c r="A14" s="191"/>
      <c r="B14" s="55" t="s">
        <v>613</v>
      </c>
      <c r="C14" s="56" t="s">
        <v>824</v>
      </c>
      <c r="D14" s="56" t="s">
        <v>423</v>
      </c>
      <c r="E14" s="56">
        <v>48</v>
      </c>
      <c r="F14" s="56" t="s">
        <v>933</v>
      </c>
      <c r="G14" s="56" t="s">
        <v>841</v>
      </c>
      <c r="H14" s="65">
        <v>75904.202000000005</v>
      </c>
    </row>
    <row r="15" spans="1:8" ht="15" customHeight="1" x14ac:dyDescent="0.25">
      <c r="A15" s="191"/>
      <c r="B15" s="55" t="s">
        <v>614</v>
      </c>
      <c r="C15" s="56" t="s">
        <v>825</v>
      </c>
      <c r="D15" s="56" t="s">
        <v>423</v>
      </c>
      <c r="E15" s="56">
        <v>24</v>
      </c>
      <c r="F15" s="56" t="s">
        <v>929</v>
      </c>
      <c r="G15" s="56" t="s">
        <v>842</v>
      </c>
      <c r="H15" s="65">
        <v>42722.401799999992</v>
      </c>
    </row>
    <row r="16" spans="1:8" ht="15" customHeight="1" x14ac:dyDescent="0.25">
      <c r="A16" s="191"/>
      <c r="B16" s="55" t="s">
        <v>923</v>
      </c>
      <c r="C16" s="56" t="s">
        <v>925</v>
      </c>
      <c r="D16" s="56" t="s">
        <v>423</v>
      </c>
      <c r="E16" s="56">
        <v>24</v>
      </c>
      <c r="F16" s="56" t="s">
        <v>930</v>
      </c>
      <c r="G16" s="56" t="s">
        <v>927</v>
      </c>
      <c r="H16" s="65">
        <v>60041.769399999997</v>
      </c>
    </row>
    <row r="17" spans="1:8" ht="15" customHeight="1" thickBot="1" x14ac:dyDescent="0.3">
      <c r="A17" s="191"/>
      <c r="B17" s="55" t="s">
        <v>924</v>
      </c>
      <c r="C17" s="56" t="s">
        <v>926</v>
      </c>
      <c r="D17" s="56" t="s">
        <v>423</v>
      </c>
      <c r="E17" s="56">
        <v>24</v>
      </c>
      <c r="F17" s="56" t="s">
        <v>931</v>
      </c>
      <c r="G17" s="56" t="s">
        <v>928</v>
      </c>
      <c r="H17" s="65">
        <v>84491.250199999995</v>
      </c>
    </row>
    <row r="18" spans="1:8" ht="15" customHeight="1" thickBot="1" x14ac:dyDescent="0.3">
      <c r="A18" s="191"/>
      <c r="B18" s="298" t="s">
        <v>2499</v>
      </c>
      <c r="C18" s="299"/>
      <c r="D18" s="299"/>
      <c r="E18" s="299"/>
      <c r="F18" s="299"/>
      <c r="G18" s="299"/>
      <c r="H18" s="300"/>
    </row>
    <row r="19" spans="1:8" ht="13.5" customHeight="1" x14ac:dyDescent="0.25">
      <c r="A19" s="191"/>
      <c r="B19" s="55" t="s">
        <v>616</v>
      </c>
      <c r="C19" s="56" t="s">
        <v>827</v>
      </c>
      <c r="D19" s="56" t="s">
        <v>423</v>
      </c>
      <c r="E19" s="56">
        <v>96</v>
      </c>
      <c r="F19" s="56" t="s">
        <v>641</v>
      </c>
      <c r="G19" s="56" t="s">
        <v>843</v>
      </c>
      <c r="H19" s="65">
        <v>19565</v>
      </c>
    </row>
    <row r="20" spans="1:8" x14ac:dyDescent="0.25">
      <c r="A20" s="191"/>
      <c r="B20" s="55" t="s">
        <v>619</v>
      </c>
      <c r="C20" s="56" t="s">
        <v>828</v>
      </c>
      <c r="D20" s="56" t="s">
        <v>423</v>
      </c>
      <c r="E20" s="56">
        <v>48</v>
      </c>
      <c r="F20" s="56" t="s">
        <v>642</v>
      </c>
      <c r="G20" s="56" t="s">
        <v>844</v>
      </c>
      <c r="H20" s="65">
        <v>17429</v>
      </c>
    </row>
    <row r="21" spans="1:8" ht="15" customHeight="1" thickBot="1" x14ac:dyDescent="0.3">
      <c r="A21" s="191"/>
      <c r="B21" s="57" t="s">
        <v>621</v>
      </c>
      <c r="C21" s="58" t="s">
        <v>829</v>
      </c>
      <c r="D21" s="58" t="s">
        <v>423</v>
      </c>
      <c r="E21" s="75">
        <v>24</v>
      </c>
      <c r="F21" s="58" t="s">
        <v>643</v>
      </c>
      <c r="G21" s="75" t="s">
        <v>845</v>
      </c>
      <c r="H21" s="65">
        <v>14114</v>
      </c>
    </row>
    <row r="22" spans="1:8" ht="15" customHeight="1" thickBot="1" x14ac:dyDescent="0.3">
      <c r="A22" s="191"/>
      <c r="B22" s="298" t="s">
        <v>2496</v>
      </c>
      <c r="C22" s="299"/>
      <c r="D22" s="299"/>
      <c r="E22" s="299"/>
      <c r="F22" s="299"/>
      <c r="G22" s="299"/>
      <c r="H22" s="300"/>
    </row>
    <row r="23" spans="1:8" ht="15" customHeight="1" thickBot="1" x14ac:dyDescent="0.3">
      <c r="A23" s="191"/>
      <c r="B23" s="131" t="s">
        <v>615</v>
      </c>
      <c r="C23" s="132" t="s">
        <v>826</v>
      </c>
      <c r="D23" s="132" t="s">
        <v>423</v>
      </c>
      <c r="E23" s="132">
        <v>6</v>
      </c>
      <c r="F23" s="132" t="s">
        <v>622</v>
      </c>
      <c r="G23" s="132" t="s">
        <v>623</v>
      </c>
      <c r="H23" s="65">
        <v>41648</v>
      </c>
    </row>
    <row r="24" spans="1:8" ht="15.75" customHeight="1" thickBot="1" x14ac:dyDescent="0.3">
      <c r="A24" s="191" t="s">
        <v>830</v>
      </c>
      <c r="B24" s="298" t="s">
        <v>624</v>
      </c>
      <c r="C24" s="299"/>
      <c r="D24" s="299"/>
      <c r="E24" s="299"/>
      <c r="F24" s="299"/>
      <c r="G24" s="299"/>
      <c r="H24" s="300"/>
    </row>
    <row r="25" spans="1:8" x14ac:dyDescent="0.25">
      <c r="A25" s="191"/>
      <c r="B25" s="196" t="s">
        <v>625</v>
      </c>
      <c r="C25" s="197" t="s">
        <v>632</v>
      </c>
      <c r="D25" s="197" t="s">
        <v>373</v>
      </c>
      <c r="E25" s="197">
        <v>300</v>
      </c>
      <c r="F25" s="197" t="s">
        <v>780</v>
      </c>
      <c r="G25" s="197" t="s">
        <v>781</v>
      </c>
      <c r="H25" s="99">
        <v>46843</v>
      </c>
    </row>
    <row r="26" spans="1:8" x14ac:dyDescent="0.25">
      <c r="A26" s="191"/>
      <c r="B26" s="55" t="s">
        <v>2193</v>
      </c>
      <c r="C26" s="74" t="s">
        <v>2311</v>
      </c>
      <c r="D26" s="74" t="s">
        <v>373</v>
      </c>
      <c r="E26" s="74">
        <v>300</v>
      </c>
      <c r="F26" s="74" t="s">
        <v>2310</v>
      </c>
      <c r="G26" s="123" t="s">
        <v>961</v>
      </c>
      <c r="H26" s="65">
        <v>57460</v>
      </c>
    </row>
    <row r="27" spans="1:8" x14ac:dyDescent="0.25">
      <c r="A27" s="191"/>
      <c r="B27" s="87" t="s">
        <v>638</v>
      </c>
      <c r="C27" s="77" t="s">
        <v>633</v>
      </c>
      <c r="D27" s="77" t="s">
        <v>373</v>
      </c>
      <c r="E27" s="77">
        <v>300</v>
      </c>
      <c r="F27" s="77" t="s">
        <v>639</v>
      </c>
      <c r="G27" s="77"/>
      <c r="H27" s="65">
        <v>60207</v>
      </c>
    </row>
    <row r="28" spans="1:8" x14ac:dyDescent="0.25">
      <c r="A28" s="191"/>
      <c r="B28" s="87" t="s">
        <v>626</v>
      </c>
      <c r="C28" s="74" t="s">
        <v>634</v>
      </c>
      <c r="D28" s="74" t="s">
        <v>373</v>
      </c>
      <c r="E28" s="74">
        <v>300</v>
      </c>
      <c r="F28" s="74" t="s">
        <v>779</v>
      </c>
      <c r="G28" s="74" t="s">
        <v>782</v>
      </c>
      <c r="H28" s="65">
        <v>71849</v>
      </c>
    </row>
    <row r="29" spans="1:8" x14ac:dyDescent="0.25">
      <c r="A29" s="191"/>
      <c r="B29" s="87" t="s">
        <v>627</v>
      </c>
      <c r="C29" s="74" t="s">
        <v>635</v>
      </c>
      <c r="D29" s="74" t="s">
        <v>373</v>
      </c>
      <c r="E29" s="74">
        <v>300</v>
      </c>
      <c r="F29" s="74" t="s">
        <v>783</v>
      </c>
      <c r="G29" s="74" t="s">
        <v>782</v>
      </c>
      <c r="H29" s="65">
        <v>73259</v>
      </c>
    </row>
    <row r="30" spans="1:8" x14ac:dyDescent="0.25">
      <c r="A30" s="191"/>
      <c r="B30" s="87" t="s">
        <v>628</v>
      </c>
      <c r="C30" s="74" t="s">
        <v>636</v>
      </c>
      <c r="D30" s="74" t="s">
        <v>373</v>
      </c>
      <c r="E30" s="74">
        <v>600</v>
      </c>
      <c r="F30" s="74" t="s">
        <v>861</v>
      </c>
      <c r="G30" s="74"/>
      <c r="H30" s="65">
        <v>27478</v>
      </c>
    </row>
    <row r="31" spans="1:8" x14ac:dyDescent="0.25">
      <c r="A31" s="191"/>
      <c r="B31" s="87" t="s">
        <v>629</v>
      </c>
      <c r="C31" s="74" t="s">
        <v>637</v>
      </c>
      <c r="D31" s="74" t="s">
        <v>373</v>
      </c>
      <c r="E31" s="74">
        <v>600</v>
      </c>
      <c r="F31" s="74" t="s">
        <v>860</v>
      </c>
      <c r="G31" s="74"/>
      <c r="H31" s="65">
        <v>27478</v>
      </c>
    </row>
    <row r="32" spans="1:8" x14ac:dyDescent="0.25">
      <c r="A32" s="191"/>
      <c r="B32" s="87" t="s">
        <v>630</v>
      </c>
      <c r="C32" s="74" t="s">
        <v>640</v>
      </c>
      <c r="D32" s="74" t="s">
        <v>373</v>
      </c>
      <c r="E32" s="74">
        <v>600</v>
      </c>
      <c r="F32" s="74" t="s">
        <v>862</v>
      </c>
      <c r="G32" s="74"/>
      <c r="H32" s="65">
        <v>42304</v>
      </c>
    </row>
    <row r="33" spans="1:8" ht="15.75" thickBot="1" x14ac:dyDescent="0.3">
      <c r="A33" s="191"/>
      <c r="B33" s="88" t="s">
        <v>631</v>
      </c>
      <c r="C33" s="75" t="s">
        <v>784</v>
      </c>
      <c r="D33" s="75" t="s">
        <v>373</v>
      </c>
      <c r="E33" s="75">
        <v>600</v>
      </c>
      <c r="F33" s="75" t="s">
        <v>863</v>
      </c>
      <c r="G33" s="75"/>
      <c r="H33" s="65">
        <v>42304</v>
      </c>
    </row>
    <row r="34" spans="1:8" ht="15.75" customHeight="1" thickBot="1" x14ac:dyDescent="0.3">
      <c r="A34" s="191"/>
      <c r="B34" s="268" t="s">
        <v>2500</v>
      </c>
      <c r="C34" s="269"/>
      <c r="D34" s="269"/>
      <c r="E34" s="269"/>
      <c r="F34" s="269"/>
      <c r="G34" s="269"/>
      <c r="H34" s="270"/>
    </row>
    <row r="35" spans="1:8" ht="15.75" customHeight="1" x14ac:dyDescent="0.25">
      <c r="A35" s="191"/>
      <c r="B35" s="23" t="s">
        <v>998</v>
      </c>
      <c r="C35" s="24" t="s">
        <v>999</v>
      </c>
      <c r="D35" s="25" t="s">
        <v>373</v>
      </c>
      <c r="E35" s="25">
        <v>1000</v>
      </c>
      <c r="F35" s="25" t="s">
        <v>2306</v>
      </c>
      <c r="G35" s="25" t="s">
        <v>5231</v>
      </c>
      <c r="H35" s="65">
        <v>70665</v>
      </c>
    </row>
    <row r="36" spans="1:8" ht="15.75" customHeight="1" x14ac:dyDescent="0.25">
      <c r="A36" s="191"/>
      <c r="B36" s="14" t="s">
        <v>2117</v>
      </c>
      <c r="C36" s="15" t="s">
        <v>2303</v>
      </c>
      <c r="D36" s="16" t="s">
        <v>373</v>
      </c>
      <c r="E36" s="16">
        <v>1000</v>
      </c>
      <c r="F36" s="16" t="s">
        <v>2299</v>
      </c>
      <c r="G36" s="16" t="s">
        <v>5231</v>
      </c>
      <c r="H36" s="65">
        <v>94230</v>
      </c>
    </row>
    <row r="37" spans="1:8" ht="15.75" customHeight="1" x14ac:dyDescent="0.25">
      <c r="A37" s="191"/>
      <c r="B37" s="14" t="s">
        <v>2558</v>
      </c>
      <c r="C37" s="15" t="s">
        <v>5239</v>
      </c>
      <c r="D37" s="16" t="s">
        <v>373</v>
      </c>
      <c r="E37" s="16">
        <v>1000</v>
      </c>
      <c r="F37" s="16" t="s">
        <v>5229</v>
      </c>
      <c r="G37" s="16" t="s">
        <v>5231</v>
      </c>
      <c r="H37" s="65">
        <v>115815</v>
      </c>
    </row>
    <row r="38" spans="1:8" ht="15.75" customHeight="1" x14ac:dyDescent="0.25">
      <c r="A38" s="191"/>
      <c r="B38" s="14" t="s">
        <v>2560</v>
      </c>
      <c r="C38" s="15" t="s">
        <v>5240</v>
      </c>
      <c r="D38" s="16" t="s">
        <v>373</v>
      </c>
      <c r="E38" s="16">
        <v>1000</v>
      </c>
      <c r="F38" s="16" t="s">
        <v>5230</v>
      </c>
      <c r="G38" s="16" t="s">
        <v>5231</v>
      </c>
      <c r="H38" s="65">
        <v>136438</v>
      </c>
    </row>
    <row r="39" spans="1:8" ht="15.75" customHeight="1" x14ac:dyDescent="0.25">
      <c r="A39" s="191"/>
      <c r="B39" s="14" t="s">
        <v>2119</v>
      </c>
      <c r="C39" s="15" t="s">
        <v>2304</v>
      </c>
      <c r="D39" s="16" t="s">
        <v>373</v>
      </c>
      <c r="E39" s="16">
        <v>500</v>
      </c>
      <c r="F39" s="16" t="s">
        <v>2305</v>
      </c>
      <c r="G39" s="16" t="s">
        <v>5232</v>
      </c>
      <c r="H39" s="65">
        <v>112503</v>
      </c>
    </row>
    <row r="40" spans="1:8" ht="15.75" customHeight="1" x14ac:dyDescent="0.25">
      <c r="A40" s="191"/>
      <c r="B40" s="14" t="s">
        <v>2125</v>
      </c>
      <c r="C40" s="15" t="s">
        <v>2300</v>
      </c>
      <c r="D40" s="16" t="s">
        <v>373</v>
      </c>
      <c r="E40" s="16">
        <v>1000</v>
      </c>
      <c r="F40" s="16" t="s">
        <v>2296</v>
      </c>
      <c r="G40" s="16" t="s">
        <v>5231</v>
      </c>
      <c r="H40" s="65">
        <v>94666</v>
      </c>
    </row>
    <row r="41" spans="1:8" ht="15.75" customHeight="1" x14ac:dyDescent="0.25">
      <c r="A41" s="191"/>
      <c r="B41" s="14" t="s">
        <v>2127</v>
      </c>
      <c r="C41" s="15" t="s">
        <v>2302</v>
      </c>
      <c r="D41" s="16" t="s">
        <v>373</v>
      </c>
      <c r="E41" s="16">
        <v>1000</v>
      </c>
      <c r="F41" s="16" t="s">
        <v>2298</v>
      </c>
      <c r="G41" s="16" t="s">
        <v>5231</v>
      </c>
      <c r="H41" s="65">
        <v>142960</v>
      </c>
    </row>
    <row r="42" spans="1:8" ht="15.75" customHeight="1" thickBot="1" x14ac:dyDescent="0.3">
      <c r="A42" s="191"/>
      <c r="B42" s="14" t="s">
        <v>2129</v>
      </c>
      <c r="C42" s="15" t="s">
        <v>2301</v>
      </c>
      <c r="D42" s="16" t="s">
        <v>373</v>
      </c>
      <c r="E42" s="16">
        <v>1000</v>
      </c>
      <c r="F42" s="16" t="s">
        <v>2297</v>
      </c>
      <c r="G42" s="16" t="s">
        <v>5231</v>
      </c>
      <c r="H42" s="65">
        <v>103105</v>
      </c>
    </row>
    <row r="43" spans="1:8" ht="15.75" customHeight="1" thickBot="1" x14ac:dyDescent="0.3">
      <c r="A43" s="191"/>
      <c r="B43" s="268" t="s">
        <v>2501</v>
      </c>
      <c r="C43" s="269"/>
      <c r="D43" s="269"/>
      <c r="E43" s="269"/>
      <c r="F43" s="269"/>
      <c r="G43" s="269"/>
      <c r="H43" s="270"/>
    </row>
    <row r="44" spans="1:8" ht="15.75" customHeight="1" x14ac:dyDescent="0.25">
      <c r="A44" s="191"/>
      <c r="B44" s="14" t="s">
        <v>1000</v>
      </c>
      <c r="C44" s="15" t="s">
        <v>1001</v>
      </c>
      <c r="D44" s="16" t="s">
        <v>373</v>
      </c>
      <c r="E44" s="16">
        <v>2000</v>
      </c>
      <c r="F44" s="16" t="s">
        <v>2307</v>
      </c>
      <c r="G44" s="119" t="s">
        <v>961</v>
      </c>
      <c r="H44" s="65">
        <f>_xlfn.XLOOKUP(B44,lista!A:A,lista!C:C,0,0)</f>
        <v>143738</v>
      </c>
    </row>
    <row r="45" spans="1:8" ht="15.75" customHeight="1" x14ac:dyDescent="0.25">
      <c r="A45" s="191"/>
      <c r="B45" s="14" t="s">
        <v>2138</v>
      </c>
      <c r="C45" s="15" t="s">
        <v>2308</v>
      </c>
      <c r="D45" s="16" t="s">
        <v>373</v>
      </c>
      <c r="E45" s="16">
        <v>1000</v>
      </c>
      <c r="F45" s="16" t="s">
        <v>2309</v>
      </c>
      <c r="G45" s="119" t="s">
        <v>961</v>
      </c>
      <c r="H45" s="65">
        <f>_xlfn.XLOOKUP(B45,lista!A:A,lista!C:C,0,0)</f>
        <v>79579</v>
      </c>
    </row>
    <row r="46" spans="1:8" ht="15.75" customHeight="1" x14ac:dyDescent="0.25">
      <c r="A46" s="191"/>
      <c r="B46" s="14" t="s">
        <v>2142</v>
      </c>
      <c r="C46" s="15" t="s">
        <v>2313</v>
      </c>
      <c r="D46" s="16" t="s">
        <v>373</v>
      </c>
      <c r="E46" s="16">
        <v>1000</v>
      </c>
      <c r="F46" s="16" t="s">
        <v>2356</v>
      </c>
      <c r="G46" s="119" t="s">
        <v>961</v>
      </c>
      <c r="H46" s="65">
        <f>_xlfn.XLOOKUP(B46,lista!A:A,lista!C:C,0,0)</f>
        <v>30399</v>
      </c>
    </row>
    <row r="47" spans="1:8" ht="17.25" customHeight="1" thickBot="1" x14ac:dyDescent="0.3">
      <c r="A47" s="191"/>
      <c r="B47" s="14" t="s">
        <v>1004</v>
      </c>
      <c r="C47" s="15" t="s">
        <v>1005</v>
      </c>
      <c r="D47" s="16" t="s">
        <v>373</v>
      </c>
      <c r="E47" s="16">
        <v>1000</v>
      </c>
      <c r="F47" s="16" t="s">
        <v>2357</v>
      </c>
      <c r="G47" s="119" t="s">
        <v>961</v>
      </c>
      <c r="H47" s="65">
        <f>_xlfn.XLOOKUP(B47,lista!A:A,lista!C:C,0,0)</f>
        <v>35314</v>
      </c>
    </row>
    <row r="48" spans="1:8" ht="15.75" customHeight="1" thickBot="1" x14ac:dyDescent="0.3">
      <c r="A48" s="191"/>
      <c r="B48" s="268" t="s">
        <v>2502</v>
      </c>
      <c r="C48" s="269"/>
      <c r="D48" s="269"/>
      <c r="E48" s="269"/>
      <c r="F48" s="269"/>
      <c r="G48" s="269"/>
      <c r="H48" s="270"/>
    </row>
    <row r="49" spans="1:8" ht="15.75" customHeight="1" x14ac:dyDescent="0.25">
      <c r="A49" s="191"/>
      <c r="B49" s="14" t="s">
        <v>2136</v>
      </c>
      <c r="C49" s="15" t="s">
        <v>2312</v>
      </c>
      <c r="D49" s="16" t="s">
        <v>373</v>
      </c>
      <c r="E49" s="16">
        <v>480</v>
      </c>
      <c r="F49" s="16" t="s">
        <v>2314</v>
      </c>
      <c r="G49" s="119" t="s">
        <v>961</v>
      </c>
      <c r="H49" s="65">
        <f>_xlfn.XLOOKUP(B49,lista!A:A,lista!C:C,0,0)</f>
        <v>15646</v>
      </c>
    </row>
    <row r="50" spans="1:8" ht="15.75" customHeight="1" thickBot="1" x14ac:dyDescent="0.3">
      <c r="A50" s="191"/>
      <c r="B50" s="14" t="s">
        <v>2131</v>
      </c>
      <c r="C50" s="15" t="s">
        <v>2316</v>
      </c>
      <c r="D50" s="16" t="s">
        <v>373</v>
      </c>
      <c r="E50" s="16">
        <v>480</v>
      </c>
      <c r="F50" s="16" t="s">
        <v>2315</v>
      </c>
      <c r="G50" s="119" t="s">
        <v>961</v>
      </c>
      <c r="H50" s="65">
        <f>_xlfn.XLOOKUP(B50,lista!A:A,lista!C:C,0,0)</f>
        <v>22123</v>
      </c>
    </row>
    <row r="51" spans="1:8" ht="15.75" thickBot="1" x14ac:dyDescent="0.3">
      <c r="A51" s="191"/>
      <c r="B51" s="268" t="s">
        <v>2503</v>
      </c>
      <c r="C51" s="269"/>
      <c r="D51" s="269"/>
      <c r="E51" s="269"/>
      <c r="F51" s="269"/>
      <c r="G51" s="269"/>
      <c r="H51" s="270"/>
    </row>
    <row r="52" spans="1:8" x14ac:dyDescent="0.25">
      <c r="A52" s="191"/>
      <c r="B52" s="23" t="s">
        <v>2140</v>
      </c>
      <c r="C52" s="24" t="s">
        <v>2295</v>
      </c>
      <c r="D52" s="25" t="s">
        <v>373</v>
      </c>
      <c r="E52" s="25">
        <v>1000</v>
      </c>
      <c r="F52" s="25" t="s">
        <v>2293</v>
      </c>
      <c r="G52" s="118" t="s">
        <v>961</v>
      </c>
      <c r="H52" s="99">
        <f>_xlfn.XLOOKUP(B52,lista!A:A,lista!C:C,0,0)</f>
        <v>67392</v>
      </c>
    </row>
    <row r="53" spans="1:8" ht="15.75" thickBot="1" x14ac:dyDescent="0.3">
      <c r="A53" s="191"/>
      <c r="B53" s="19" t="s">
        <v>1002</v>
      </c>
      <c r="C53" s="20" t="s">
        <v>1003</v>
      </c>
      <c r="D53" s="21" t="s">
        <v>373</v>
      </c>
      <c r="E53" s="21">
        <v>1000</v>
      </c>
      <c r="F53" s="21" t="s">
        <v>2294</v>
      </c>
      <c r="G53" s="158" t="s">
        <v>961</v>
      </c>
      <c r="H53" s="65">
        <f>_xlfn.XLOOKUP(B53,lista!A:A,lista!C:C,0,0)</f>
        <v>82298</v>
      </c>
    </row>
    <row r="54" spans="1:8" ht="15.75" thickBot="1" x14ac:dyDescent="0.3">
      <c r="A54" s="191"/>
      <c r="B54" s="298" t="s">
        <v>2365</v>
      </c>
      <c r="C54" s="299"/>
      <c r="D54" s="299"/>
      <c r="E54" s="299"/>
      <c r="F54" s="299"/>
      <c r="G54" s="299"/>
      <c r="H54" s="300"/>
    </row>
    <row r="55" spans="1:8" x14ac:dyDescent="0.25">
      <c r="A55" s="191"/>
      <c r="B55" s="193" t="s">
        <v>2241</v>
      </c>
      <c r="C55" s="194" t="s">
        <v>2321</v>
      </c>
      <c r="D55" s="77" t="s">
        <v>373</v>
      </c>
      <c r="E55" s="77">
        <v>100</v>
      </c>
      <c r="F55" s="77" t="s">
        <v>2361</v>
      </c>
      <c r="G55" s="195" t="s">
        <v>961</v>
      </c>
      <c r="H55" s="99">
        <v>27034</v>
      </c>
    </row>
    <row r="56" spans="1:8" x14ac:dyDescent="0.25">
      <c r="A56" s="191"/>
      <c r="B56" s="110" t="s">
        <v>2243</v>
      </c>
      <c r="C56" s="121" t="s">
        <v>2322</v>
      </c>
      <c r="D56" s="74" t="s">
        <v>373</v>
      </c>
      <c r="E56" s="74">
        <v>100</v>
      </c>
      <c r="F56" s="74" t="s">
        <v>2362</v>
      </c>
      <c r="G56" s="123" t="s">
        <v>961</v>
      </c>
      <c r="H56" s="65">
        <v>37030</v>
      </c>
    </row>
    <row r="57" spans="1:8" x14ac:dyDescent="0.25">
      <c r="A57" s="191"/>
      <c r="B57" s="110" t="s">
        <v>2245</v>
      </c>
      <c r="C57" s="121" t="s">
        <v>2323</v>
      </c>
      <c r="D57" s="74" t="s">
        <v>373</v>
      </c>
      <c r="E57" s="74">
        <v>100</v>
      </c>
      <c r="F57" s="74" t="s">
        <v>2363</v>
      </c>
      <c r="G57" s="123" t="s">
        <v>961</v>
      </c>
      <c r="H57" s="65">
        <v>64691</v>
      </c>
    </row>
    <row r="58" spans="1:8" x14ac:dyDescent="0.25">
      <c r="A58" s="191"/>
      <c r="B58" s="110" t="s">
        <v>2249</v>
      </c>
      <c r="C58" s="121" t="s">
        <v>2324</v>
      </c>
      <c r="D58" s="74" t="s">
        <v>373</v>
      </c>
      <c r="E58" s="74">
        <v>100</v>
      </c>
      <c r="F58" s="74" t="s">
        <v>2317</v>
      </c>
      <c r="G58" s="123" t="s">
        <v>961</v>
      </c>
      <c r="H58" s="65">
        <v>88079</v>
      </c>
    </row>
    <row r="59" spans="1:8" x14ac:dyDescent="0.25">
      <c r="A59" s="191"/>
      <c r="B59" s="110" t="s">
        <v>2247</v>
      </c>
      <c r="C59" s="121" t="s">
        <v>2325</v>
      </c>
      <c r="D59" s="74" t="s">
        <v>373</v>
      </c>
      <c r="E59" s="74">
        <v>100</v>
      </c>
      <c r="F59" s="74" t="s">
        <v>2318</v>
      </c>
      <c r="G59" s="123" t="s">
        <v>961</v>
      </c>
      <c r="H59" s="65">
        <v>108125</v>
      </c>
    </row>
    <row r="60" spans="1:8" x14ac:dyDescent="0.25">
      <c r="A60" s="191"/>
      <c r="B60" s="110" t="s">
        <v>2237</v>
      </c>
      <c r="C60" s="121" t="s">
        <v>2326</v>
      </c>
      <c r="D60" s="74" t="s">
        <v>373</v>
      </c>
      <c r="E60" s="74">
        <v>100</v>
      </c>
      <c r="F60" s="74" t="s">
        <v>2319</v>
      </c>
      <c r="G60" s="123" t="s">
        <v>961</v>
      </c>
      <c r="H60" s="65">
        <v>58458</v>
      </c>
    </row>
    <row r="61" spans="1:8" x14ac:dyDescent="0.25">
      <c r="A61" s="191"/>
      <c r="B61" s="110" t="s">
        <v>2239</v>
      </c>
      <c r="C61" s="121" t="s">
        <v>2327</v>
      </c>
      <c r="D61" s="74" t="s">
        <v>373</v>
      </c>
      <c r="E61" s="74">
        <v>100</v>
      </c>
      <c r="F61" s="74" t="s">
        <v>2320</v>
      </c>
      <c r="G61" s="123" t="s">
        <v>961</v>
      </c>
      <c r="H61" s="65">
        <v>86053</v>
      </c>
    </row>
    <row r="62" spans="1:8" ht="15.75" thickBot="1" x14ac:dyDescent="0.3">
      <c r="A62" s="192"/>
      <c r="B62" s="239" t="s">
        <v>2243</v>
      </c>
      <c r="C62" s="75" t="s">
        <v>987</v>
      </c>
      <c r="D62" s="75" t="s">
        <v>373</v>
      </c>
      <c r="E62" s="75">
        <v>100</v>
      </c>
      <c r="F62" s="75" t="s">
        <v>2364</v>
      </c>
      <c r="G62" s="125" t="s">
        <v>961</v>
      </c>
      <c r="H62" s="89">
        <v>39113</v>
      </c>
    </row>
    <row r="63" spans="1:8" x14ac:dyDescent="0.25">
      <c r="B63" s="27" t="s">
        <v>419</v>
      </c>
    </row>
  </sheetData>
  <sortState xmlns:xlrd2="http://schemas.microsoft.com/office/spreadsheetml/2017/richdata2" ref="A35:H44">
    <sortCondition ref="B35:B44"/>
  </sortState>
  <mergeCells count="11">
    <mergeCell ref="B2:H2"/>
    <mergeCell ref="B5:H5"/>
    <mergeCell ref="B24:H24"/>
    <mergeCell ref="B34:H34"/>
    <mergeCell ref="B54:H54"/>
    <mergeCell ref="B51:H51"/>
    <mergeCell ref="B22:H22"/>
    <mergeCell ref="B11:H11"/>
    <mergeCell ref="B18:H18"/>
    <mergeCell ref="B43:H43"/>
    <mergeCell ref="B48:H48"/>
  </mergeCells>
  <phoneticPr fontId="10" type="noConversion"/>
  <pageMargins left="0.7" right="0.7" top="0.75" bottom="0.75" header="0.3" footer="0.3"/>
  <pageSetup paperSize="9" scale="6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C224-8FFE-4E33-A234-B209C7B57D4F}">
  <dimension ref="B1:H57"/>
  <sheetViews>
    <sheetView topLeftCell="A28" zoomScale="95" workbookViewId="0">
      <selection activeCell="B2" sqref="B2:H2"/>
    </sheetView>
  </sheetViews>
  <sheetFormatPr baseColWidth="10" defaultRowHeight="15" x14ac:dyDescent="0.25"/>
  <cols>
    <col min="1" max="1" width="5.140625" customWidth="1"/>
    <col min="2" max="2" width="20.140625" style="78" customWidth="1"/>
    <col min="3" max="3" width="17.5703125" customWidth="1"/>
    <col min="4" max="4" width="6.140625" customWidth="1"/>
    <col min="5" max="5" width="6.28515625" customWidth="1"/>
    <col min="6" max="6" width="56.140625" customWidth="1"/>
    <col min="7" max="7" width="16" customWidth="1"/>
    <col min="8" max="8" width="9.2851562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91"/>
      <c r="C3" s="63" t="s">
        <v>464</v>
      </c>
      <c r="D3" s="63"/>
      <c r="E3" s="63"/>
      <c r="F3" s="30"/>
      <c r="G3" s="63"/>
      <c r="H3" s="67"/>
    </row>
    <row r="4" spans="2:8" ht="24.7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196</v>
      </c>
      <c r="H4" s="61" t="s">
        <v>487</v>
      </c>
    </row>
    <row r="5" spans="2:8" ht="15.75" thickBot="1" x14ac:dyDescent="0.3">
      <c r="B5" s="313" t="s">
        <v>496</v>
      </c>
      <c r="C5" s="314"/>
      <c r="D5" s="314"/>
      <c r="E5" s="314"/>
      <c r="F5" s="314"/>
      <c r="G5" s="314"/>
      <c r="H5" s="315"/>
    </row>
    <row r="6" spans="2:8" x14ac:dyDescent="0.25">
      <c r="B6" s="83" t="s">
        <v>489</v>
      </c>
      <c r="C6" s="12"/>
      <c r="D6" s="13" t="s">
        <v>373</v>
      </c>
      <c r="E6" s="13">
        <v>600</v>
      </c>
      <c r="F6" s="13" t="s">
        <v>495</v>
      </c>
      <c r="G6" s="12" t="s">
        <v>497</v>
      </c>
      <c r="H6" s="122">
        <f>_xlfn.XLOOKUP(B6,lista!A:A,lista!C:C,0,0)</f>
        <v>191292</v>
      </c>
    </row>
    <row r="7" spans="2:8" x14ac:dyDescent="0.25">
      <c r="B7" s="84" t="s">
        <v>492</v>
      </c>
      <c r="C7" s="15"/>
      <c r="D7" s="16" t="s">
        <v>373</v>
      </c>
      <c r="E7" s="16">
        <v>600</v>
      </c>
      <c r="F7" s="16" t="s">
        <v>498</v>
      </c>
      <c r="G7" s="15" t="s">
        <v>504</v>
      </c>
      <c r="H7" s="72">
        <f>_xlfn.XLOOKUP(B7,lista!A:A,lista!C:C,0,0)</f>
        <v>78657</v>
      </c>
    </row>
    <row r="8" spans="2:8" x14ac:dyDescent="0.25">
      <c r="B8" s="84" t="s">
        <v>490</v>
      </c>
      <c r="C8" s="15"/>
      <c r="D8" s="16" t="s">
        <v>373</v>
      </c>
      <c r="E8" s="16">
        <v>800</v>
      </c>
      <c r="F8" s="16" t="s">
        <v>499</v>
      </c>
      <c r="G8" s="15" t="s">
        <v>500</v>
      </c>
      <c r="H8" s="72">
        <f>_xlfn.XLOOKUP(B8,lista!A:A,lista!C:C,0,0)</f>
        <v>163089</v>
      </c>
    </row>
    <row r="9" spans="2:8" x14ac:dyDescent="0.25">
      <c r="B9" s="84" t="s">
        <v>493</v>
      </c>
      <c r="C9" s="15"/>
      <c r="D9" s="16" t="s">
        <v>373</v>
      </c>
      <c r="E9" s="16">
        <v>800</v>
      </c>
      <c r="F9" s="16" t="s">
        <v>501</v>
      </c>
      <c r="G9" s="15" t="s">
        <v>506</v>
      </c>
      <c r="H9" s="72">
        <f>_xlfn.XLOOKUP(B9,lista!A:A,lista!C:C,0,0)</f>
        <v>149668</v>
      </c>
    </row>
    <row r="10" spans="2:8" x14ac:dyDescent="0.25">
      <c r="B10" s="84" t="s">
        <v>491</v>
      </c>
      <c r="C10" s="15"/>
      <c r="D10" s="16" t="s">
        <v>373</v>
      </c>
      <c r="E10" s="16">
        <v>500</v>
      </c>
      <c r="F10" s="16" t="s">
        <v>502</v>
      </c>
      <c r="G10" s="15" t="s">
        <v>503</v>
      </c>
      <c r="H10" s="72">
        <f>_xlfn.XLOOKUP(B10,lista!A:A,lista!C:C,0,0)</f>
        <v>112869</v>
      </c>
    </row>
    <row r="11" spans="2:8" ht="15.75" thickBot="1" x14ac:dyDescent="0.3">
      <c r="B11" s="86" t="s">
        <v>494</v>
      </c>
      <c r="C11" s="20"/>
      <c r="D11" s="21" t="s">
        <v>373</v>
      </c>
      <c r="E11" s="21">
        <v>500</v>
      </c>
      <c r="F11" s="21" t="s">
        <v>507</v>
      </c>
      <c r="G11" s="20" t="s">
        <v>505</v>
      </c>
      <c r="H11" s="172">
        <f>_xlfn.XLOOKUP(B11,lista!A:A,lista!C:C,0,0)</f>
        <v>148589</v>
      </c>
    </row>
    <row r="12" spans="2:8" ht="15.75" thickBot="1" x14ac:dyDescent="0.3">
      <c r="B12" s="268" t="s">
        <v>2381</v>
      </c>
      <c r="C12" s="269"/>
      <c r="D12" s="269"/>
      <c r="E12" s="269"/>
      <c r="F12" s="269"/>
      <c r="G12" s="269"/>
      <c r="H12" s="270"/>
    </row>
    <row r="13" spans="2:8" ht="15.75" customHeight="1" x14ac:dyDescent="0.25">
      <c r="B13" s="131" t="s">
        <v>944</v>
      </c>
      <c r="C13" s="132" t="s">
        <v>945</v>
      </c>
      <c r="D13" s="132" t="s">
        <v>428</v>
      </c>
      <c r="E13" s="132">
        <v>1</v>
      </c>
      <c r="F13" s="132" t="s">
        <v>956</v>
      </c>
      <c r="G13" s="137" t="s">
        <v>961</v>
      </c>
      <c r="H13" s="65">
        <v>30219</v>
      </c>
    </row>
    <row r="14" spans="2:8" ht="15.75" customHeight="1" x14ac:dyDescent="0.25">
      <c r="B14" s="55" t="s">
        <v>940</v>
      </c>
      <c r="C14" s="56" t="s">
        <v>941</v>
      </c>
      <c r="D14" s="56" t="s">
        <v>428</v>
      </c>
      <c r="E14" s="56">
        <v>1</v>
      </c>
      <c r="F14" s="56" t="s">
        <v>954</v>
      </c>
      <c r="G14" s="112" t="s">
        <v>961</v>
      </c>
      <c r="H14" s="65">
        <v>2841</v>
      </c>
    </row>
    <row r="15" spans="2:8" ht="15.75" customHeight="1" thickBot="1" x14ac:dyDescent="0.3">
      <c r="B15" s="55" t="s">
        <v>942</v>
      </c>
      <c r="C15" s="56" t="s">
        <v>943</v>
      </c>
      <c r="D15" s="56" t="s">
        <v>428</v>
      </c>
      <c r="E15" s="56">
        <v>1</v>
      </c>
      <c r="F15" s="56" t="s">
        <v>955</v>
      </c>
      <c r="G15" s="112" t="s">
        <v>961</v>
      </c>
      <c r="H15" s="65">
        <v>8914</v>
      </c>
    </row>
    <row r="16" spans="2:8" ht="16.5" thickBot="1" x14ac:dyDescent="0.3">
      <c r="B16" s="271" t="s">
        <v>2281</v>
      </c>
      <c r="C16" s="272"/>
      <c r="D16" s="272"/>
      <c r="E16" s="272"/>
      <c r="F16" s="272"/>
      <c r="G16" s="272"/>
      <c r="H16" s="273"/>
    </row>
    <row r="17" spans="2:8" x14ac:dyDescent="0.25">
      <c r="B17" s="50" t="s">
        <v>2164</v>
      </c>
      <c r="C17" s="51" t="s">
        <v>2282</v>
      </c>
      <c r="D17" s="51" t="s">
        <v>1179</v>
      </c>
      <c r="E17" s="245">
        <v>1000</v>
      </c>
      <c r="F17" s="51" t="s">
        <v>2290</v>
      </c>
      <c r="G17" s="115" t="s">
        <v>961</v>
      </c>
      <c r="H17" s="65">
        <v>36363</v>
      </c>
    </row>
    <row r="18" spans="2:8" x14ac:dyDescent="0.25">
      <c r="B18" s="33" t="s">
        <v>2166</v>
      </c>
      <c r="C18" s="34" t="s">
        <v>2283</v>
      </c>
      <c r="D18" s="34" t="s">
        <v>1179</v>
      </c>
      <c r="E18" s="246">
        <v>1000</v>
      </c>
      <c r="F18" s="34" t="s">
        <v>2291</v>
      </c>
      <c r="G18" s="116" t="s">
        <v>961</v>
      </c>
      <c r="H18" s="65">
        <v>33363</v>
      </c>
    </row>
    <row r="19" spans="2:8" ht="13.5" customHeight="1" thickBot="1" x14ac:dyDescent="0.3">
      <c r="B19" s="38" t="s">
        <v>2168</v>
      </c>
      <c r="C19" s="39" t="s">
        <v>2284</v>
      </c>
      <c r="D19" s="39" t="s">
        <v>1179</v>
      </c>
      <c r="E19" s="247">
        <v>1000</v>
      </c>
      <c r="F19" s="39" t="s">
        <v>2292</v>
      </c>
      <c r="G19" s="117" t="s">
        <v>961</v>
      </c>
      <c r="H19" s="65">
        <v>32527</v>
      </c>
    </row>
    <row r="20" spans="2:8" ht="15.75" thickBot="1" x14ac:dyDescent="0.3">
      <c r="B20" s="268" t="s">
        <v>2006</v>
      </c>
      <c r="C20" s="269"/>
      <c r="D20" s="269"/>
      <c r="E20" s="269"/>
      <c r="F20" s="269"/>
      <c r="G20" s="269"/>
      <c r="H20" s="270"/>
    </row>
    <row r="21" spans="2:8" x14ac:dyDescent="0.25">
      <c r="B21" s="90" t="s">
        <v>2011</v>
      </c>
      <c r="C21" s="13" t="s">
        <v>2007</v>
      </c>
      <c r="D21" s="13" t="s">
        <v>1179</v>
      </c>
      <c r="E21" s="13">
        <v>200</v>
      </c>
      <c r="F21" s="13" t="s">
        <v>2286</v>
      </c>
      <c r="G21" s="138" t="s">
        <v>961</v>
      </c>
      <c r="H21" s="65">
        <f>_xlfn.XLOOKUP(B21,lista!A:A,lista!C:C,0,0)</f>
        <v>45748</v>
      </c>
    </row>
    <row r="22" spans="2:8" x14ac:dyDescent="0.25">
      <c r="B22" s="87" t="s">
        <v>2012</v>
      </c>
      <c r="C22" s="16" t="s">
        <v>2008</v>
      </c>
      <c r="D22" s="16" t="s">
        <v>1179</v>
      </c>
      <c r="E22" s="16">
        <v>200</v>
      </c>
      <c r="F22" s="16" t="s">
        <v>2287</v>
      </c>
      <c r="G22" s="119" t="s">
        <v>961</v>
      </c>
      <c r="H22" s="65">
        <f>_xlfn.XLOOKUP(B22,lista!A:A,lista!C:C,0,0)</f>
        <v>49737</v>
      </c>
    </row>
    <row r="23" spans="2:8" x14ac:dyDescent="0.25">
      <c r="B23" s="87" t="s">
        <v>2013</v>
      </c>
      <c r="C23" s="74" t="s">
        <v>2009</v>
      </c>
      <c r="D23" s="22" t="s">
        <v>1179</v>
      </c>
      <c r="E23" s="22">
        <v>200</v>
      </c>
      <c r="F23" s="74" t="s">
        <v>2288</v>
      </c>
      <c r="G23" s="119" t="s">
        <v>961</v>
      </c>
      <c r="H23" s="65">
        <f>_xlfn.XLOOKUP(B23,lista!A:A,lista!C:C,0,0)</f>
        <v>52087</v>
      </c>
    </row>
    <row r="24" spans="2:8" ht="15.75" thickBot="1" x14ac:dyDescent="0.3">
      <c r="B24" s="94" t="s">
        <v>2014</v>
      </c>
      <c r="C24" s="92" t="s">
        <v>2010</v>
      </c>
      <c r="D24" s="198" t="s">
        <v>1179</v>
      </c>
      <c r="E24" s="198">
        <v>200</v>
      </c>
      <c r="F24" s="92" t="s">
        <v>2289</v>
      </c>
      <c r="G24" s="113" t="s">
        <v>961</v>
      </c>
      <c r="H24" s="96">
        <f>_xlfn.XLOOKUP(B24,lista!A:A,lista!C:C,0,0)</f>
        <v>50977</v>
      </c>
    </row>
    <row r="25" spans="2:8" ht="15.75" thickBot="1" x14ac:dyDescent="0.3">
      <c r="B25" s="268" t="s">
        <v>2503</v>
      </c>
      <c r="C25" s="269"/>
      <c r="D25" s="269"/>
      <c r="E25" s="269"/>
      <c r="F25" s="269"/>
      <c r="G25" s="269"/>
      <c r="H25" s="270"/>
    </row>
    <row r="26" spans="2:8" x14ac:dyDescent="0.25">
      <c r="B26" s="87" t="s">
        <v>5110</v>
      </c>
      <c r="C26" s="25" t="s">
        <v>2295</v>
      </c>
      <c r="D26" s="25" t="s">
        <v>373</v>
      </c>
      <c r="E26" s="25">
        <v>1000</v>
      </c>
      <c r="F26" s="25" t="s">
        <v>2293</v>
      </c>
      <c r="G26" s="118" t="s">
        <v>961</v>
      </c>
      <c r="H26" s="99">
        <f>_xlfn.XLOOKUP(B26,lista!A:A,lista!C:C,0,0)</f>
        <v>0</v>
      </c>
    </row>
    <row r="27" spans="2:8" ht="15.75" thickBot="1" x14ac:dyDescent="0.3">
      <c r="B27" s="87" t="s">
        <v>5111</v>
      </c>
      <c r="C27" s="21" t="s">
        <v>1003</v>
      </c>
      <c r="D27" s="21" t="s">
        <v>373</v>
      </c>
      <c r="E27" s="21">
        <v>1000</v>
      </c>
      <c r="F27" s="21" t="s">
        <v>2294</v>
      </c>
      <c r="G27" s="158" t="s">
        <v>961</v>
      </c>
      <c r="H27" s="89">
        <f>_xlfn.XLOOKUP(B27,lista!A:A,lista!C:C,0,0)</f>
        <v>0</v>
      </c>
    </row>
    <row r="28" spans="2:8" ht="15.75" thickBot="1" x14ac:dyDescent="0.3">
      <c r="B28" s="268" t="s">
        <v>5029</v>
      </c>
      <c r="C28" s="269"/>
      <c r="D28" s="269"/>
      <c r="E28" s="269"/>
      <c r="F28" s="269"/>
      <c r="G28" s="269"/>
      <c r="H28" s="270"/>
    </row>
    <row r="29" spans="2:8" x14ac:dyDescent="0.25">
      <c r="B29" s="87" t="s">
        <v>2590</v>
      </c>
      <c r="C29" s="12"/>
      <c r="D29" s="13" t="s">
        <v>373</v>
      </c>
      <c r="E29" s="13">
        <v>480</v>
      </c>
      <c r="F29" s="80" t="s">
        <v>5030</v>
      </c>
      <c r="G29" s="138"/>
      <c r="H29" s="81">
        <v>45008.446999999993</v>
      </c>
    </row>
    <row r="30" spans="2:8" x14ac:dyDescent="0.25">
      <c r="B30" s="87" t="s">
        <v>2592</v>
      </c>
      <c r="C30" s="15"/>
      <c r="D30" s="16" t="s">
        <v>373</v>
      </c>
      <c r="E30" s="16">
        <v>480</v>
      </c>
      <c r="F30" s="64" t="s">
        <v>5031</v>
      </c>
      <c r="G30" s="119"/>
      <c r="H30" s="65">
        <v>37327.712</v>
      </c>
    </row>
    <row r="31" spans="2:8" x14ac:dyDescent="0.25">
      <c r="B31" s="87" t="s">
        <v>2594</v>
      </c>
      <c r="C31" s="64"/>
      <c r="D31" s="16" t="s">
        <v>373</v>
      </c>
      <c r="E31" s="74">
        <v>500</v>
      </c>
      <c r="F31" s="64" t="s">
        <v>5032</v>
      </c>
      <c r="G31" s="74" t="s">
        <v>5033</v>
      </c>
      <c r="H31" s="65">
        <v>36310.214999999997</v>
      </c>
    </row>
    <row r="32" spans="2:8" x14ac:dyDescent="0.25">
      <c r="B32" s="87" t="s">
        <v>2596</v>
      </c>
      <c r="C32" s="64"/>
      <c r="D32" s="16" t="s">
        <v>373</v>
      </c>
      <c r="E32" s="74">
        <v>300</v>
      </c>
      <c r="F32" s="64" t="s">
        <v>5034</v>
      </c>
      <c r="G32" s="74" t="s">
        <v>5035</v>
      </c>
      <c r="H32" s="65">
        <v>36173.153910599998</v>
      </c>
    </row>
    <row r="33" spans="2:8" x14ac:dyDescent="0.25">
      <c r="B33" s="87" t="s">
        <v>2598</v>
      </c>
      <c r="C33" s="64"/>
      <c r="D33" s="16" t="s">
        <v>373</v>
      </c>
      <c r="E33" s="74">
        <v>500</v>
      </c>
      <c r="F33" s="64" t="s">
        <v>5036</v>
      </c>
      <c r="G33" s="74" t="s">
        <v>5037</v>
      </c>
      <c r="H33" s="65">
        <v>64660.099803851997</v>
      </c>
    </row>
    <row r="34" spans="2:8" x14ac:dyDescent="0.25">
      <c r="B34" s="87" t="s">
        <v>2600</v>
      </c>
      <c r="C34" s="64"/>
      <c r="D34" s="16" t="s">
        <v>373</v>
      </c>
      <c r="E34" s="74">
        <v>1000</v>
      </c>
      <c r="F34" s="64" t="s">
        <v>5038</v>
      </c>
      <c r="G34" s="74" t="s">
        <v>5039</v>
      </c>
      <c r="H34" s="65">
        <v>51056.268739660802</v>
      </c>
    </row>
    <row r="35" spans="2:8" x14ac:dyDescent="0.25">
      <c r="B35" s="87" t="s">
        <v>2602</v>
      </c>
      <c r="C35" s="64"/>
      <c r="D35" s="16" t="s">
        <v>373</v>
      </c>
      <c r="E35" s="74">
        <v>2000</v>
      </c>
      <c r="F35" s="64" t="s">
        <v>5040</v>
      </c>
      <c r="G35" s="74"/>
      <c r="H35" s="65">
        <v>20421</v>
      </c>
    </row>
    <row r="36" spans="2:8" x14ac:dyDescent="0.25">
      <c r="B36" s="87" t="s">
        <v>2604</v>
      </c>
      <c r="C36" s="64"/>
      <c r="D36" s="16" t="s">
        <v>373</v>
      </c>
      <c r="E36" s="74">
        <v>2000</v>
      </c>
      <c r="F36" s="64" t="s">
        <v>5041</v>
      </c>
      <c r="G36" s="74"/>
      <c r="H36" s="65">
        <v>21526.803999999996</v>
      </c>
    </row>
    <row r="37" spans="2:8" x14ac:dyDescent="0.25">
      <c r="B37" s="87" t="s">
        <v>2606</v>
      </c>
      <c r="C37" s="64"/>
      <c r="D37" s="16" t="s">
        <v>373</v>
      </c>
      <c r="E37" s="74">
        <v>2000</v>
      </c>
      <c r="F37" s="64" t="s">
        <v>5042</v>
      </c>
      <c r="G37" s="74"/>
      <c r="H37" s="65">
        <v>23237.405999999999</v>
      </c>
    </row>
    <row r="38" spans="2:8" x14ac:dyDescent="0.25">
      <c r="B38" s="87" t="s">
        <v>2608</v>
      </c>
      <c r="C38" s="64"/>
      <c r="D38" s="16" t="s">
        <v>373</v>
      </c>
      <c r="E38" s="74">
        <v>2000</v>
      </c>
      <c r="F38" s="64" t="s">
        <v>5043</v>
      </c>
      <c r="G38" s="74"/>
      <c r="H38" s="65">
        <v>24639</v>
      </c>
    </row>
    <row r="39" spans="2:8" x14ac:dyDescent="0.25">
      <c r="B39" s="87" t="s">
        <v>2610</v>
      </c>
      <c r="C39" s="64"/>
      <c r="D39" s="16" t="s">
        <v>373</v>
      </c>
      <c r="E39" s="74">
        <v>300</v>
      </c>
      <c r="F39" s="64" t="s">
        <v>5044</v>
      </c>
      <c r="G39" s="74" t="s">
        <v>5045</v>
      </c>
      <c r="H39" s="65">
        <v>39372.135999999991</v>
      </c>
    </row>
    <row r="40" spans="2:8" x14ac:dyDescent="0.25">
      <c r="B40" s="87" t="s">
        <v>2612</v>
      </c>
      <c r="C40" s="64"/>
      <c r="D40" s="16" t="s">
        <v>373</v>
      </c>
      <c r="E40" s="74">
        <v>300</v>
      </c>
      <c r="F40" s="64" t="s">
        <v>5046</v>
      </c>
      <c r="G40" s="74" t="s">
        <v>5047</v>
      </c>
      <c r="H40" s="65">
        <v>57969.981999999989</v>
      </c>
    </row>
    <row r="41" spans="2:8" x14ac:dyDescent="0.25">
      <c r="B41" s="87" t="s">
        <v>2614</v>
      </c>
      <c r="C41" s="64"/>
      <c r="D41" s="16" t="s">
        <v>373</v>
      </c>
      <c r="E41" s="74">
        <v>200</v>
      </c>
      <c r="F41" s="64" t="s">
        <v>5048</v>
      </c>
      <c r="G41" s="64"/>
      <c r="H41" s="65">
        <v>16335</v>
      </c>
    </row>
    <row r="42" spans="2:8" x14ac:dyDescent="0.25">
      <c r="B42" s="87" t="s">
        <v>2616</v>
      </c>
      <c r="C42" s="64"/>
      <c r="D42" s="16" t="s">
        <v>373</v>
      </c>
      <c r="E42" s="74">
        <v>500</v>
      </c>
      <c r="F42" s="64" t="s">
        <v>2617</v>
      </c>
      <c r="G42" s="64"/>
      <c r="H42" s="65">
        <v>54580.84</v>
      </c>
    </row>
    <row r="43" spans="2:8" x14ac:dyDescent="0.25">
      <c r="B43" s="87" t="s">
        <v>2618</v>
      </c>
      <c r="C43" s="64"/>
      <c r="D43" s="16" t="s">
        <v>373</v>
      </c>
      <c r="E43" s="74">
        <v>500</v>
      </c>
      <c r="F43" s="64" t="s">
        <v>2619</v>
      </c>
      <c r="G43" s="64"/>
      <c r="H43" s="65">
        <v>66377.76999999999</v>
      </c>
    </row>
    <row r="44" spans="2:8" x14ac:dyDescent="0.25">
      <c r="B44" s="87" t="s">
        <v>2620</v>
      </c>
      <c r="C44" s="64"/>
      <c r="D44" s="16" t="s">
        <v>373</v>
      </c>
      <c r="E44" s="74">
        <v>1000</v>
      </c>
      <c r="F44" s="64" t="s">
        <v>2621</v>
      </c>
      <c r="G44" s="64"/>
      <c r="H44" s="65">
        <v>65116.035999999986</v>
      </c>
    </row>
    <row r="45" spans="2:8" x14ac:dyDescent="0.25">
      <c r="B45" s="87" t="s">
        <v>2622</v>
      </c>
      <c r="C45" s="64"/>
      <c r="D45" s="16" t="s">
        <v>373</v>
      </c>
      <c r="E45" s="74">
        <v>1000</v>
      </c>
      <c r="F45" s="64" t="s">
        <v>2623</v>
      </c>
      <c r="G45" s="64"/>
      <c r="H45" s="65">
        <v>115909.78799999999</v>
      </c>
    </row>
    <row r="46" spans="2:8" x14ac:dyDescent="0.25">
      <c r="B46" s="87" t="s">
        <v>2624</v>
      </c>
      <c r="C46" s="64"/>
      <c r="D46" s="16" t="s">
        <v>373</v>
      </c>
      <c r="E46" s="74">
        <v>250</v>
      </c>
      <c r="F46" s="64" t="s">
        <v>2625</v>
      </c>
      <c r="G46" s="64"/>
      <c r="H46" s="65">
        <v>34144.143999999993</v>
      </c>
    </row>
    <row r="47" spans="2:8" x14ac:dyDescent="0.25">
      <c r="B47" s="87" t="s">
        <v>2626</v>
      </c>
      <c r="C47" s="64"/>
      <c r="D47" s="16" t="s">
        <v>373</v>
      </c>
      <c r="E47" s="74">
        <v>400</v>
      </c>
      <c r="F47" s="64" t="s">
        <v>2627</v>
      </c>
      <c r="G47" s="64"/>
      <c r="H47" s="65">
        <v>36078.236999999994</v>
      </c>
    </row>
    <row r="48" spans="2:8" x14ac:dyDescent="0.25">
      <c r="B48" s="264" t="s">
        <v>2628</v>
      </c>
      <c r="C48" s="265"/>
      <c r="D48" s="16" t="s">
        <v>373</v>
      </c>
      <c r="E48" s="266">
        <v>2000</v>
      </c>
      <c r="F48" s="265" t="s">
        <v>5049</v>
      </c>
      <c r="G48" s="265"/>
      <c r="H48" s="267">
        <v>27080</v>
      </c>
    </row>
    <row r="49" spans="2:8" x14ac:dyDescent="0.25">
      <c r="B49" s="87" t="s">
        <v>2630</v>
      </c>
      <c r="C49" s="64"/>
      <c r="D49" s="16" t="s">
        <v>373</v>
      </c>
      <c r="E49" s="74">
        <v>2000</v>
      </c>
      <c r="F49" s="64" t="s">
        <v>5050</v>
      </c>
      <c r="G49" s="64"/>
      <c r="H49" s="65">
        <v>38042</v>
      </c>
    </row>
    <row r="50" spans="2:8" x14ac:dyDescent="0.25">
      <c r="B50" s="94" t="s">
        <v>2632</v>
      </c>
      <c r="C50" s="162"/>
      <c r="D50" s="18" t="s">
        <v>373</v>
      </c>
      <c r="E50" s="92">
        <v>1000</v>
      </c>
      <c r="F50" s="162" t="s">
        <v>5051</v>
      </c>
      <c r="G50" s="92" t="s">
        <v>5052</v>
      </c>
      <c r="H50" s="96">
        <v>56889</v>
      </c>
    </row>
    <row r="51" spans="2:8" x14ac:dyDescent="0.25">
      <c r="B51" s="14" t="s">
        <v>5057</v>
      </c>
      <c r="C51" s="64"/>
      <c r="D51" s="74" t="s">
        <v>373</v>
      </c>
      <c r="E51" s="74">
        <v>300</v>
      </c>
      <c r="F51" s="64" t="s">
        <v>5104</v>
      </c>
      <c r="G51" s="64"/>
      <c r="H51" s="65">
        <v>46923.26672</v>
      </c>
    </row>
    <row r="52" spans="2:8" x14ac:dyDescent="0.25">
      <c r="B52" s="87" t="s">
        <v>5058</v>
      </c>
      <c r="C52" s="64"/>
      <c r="D52" s="74" t="s">
        <v>373</v>
      </c>
      <c r="E52" s="74">
        <v>300</v>
      </c>
      <c r="F52" s="64" t="s">
        <v>5105</v>
      </c>
      <c r="G52" s="64"/>
      <c r="H52" s="65">
        <v>86839.256240000002</v>
      </c>
    </row>
    <row r="53" spans="2:8" x14ac:dyDescent="0.25">
      <c r="B53" s="87" t="s">
        <v>5059</v>
      </c>
      <c r="C53" s="64"/>
      <c r="D53" s="74" t="s">
        <v>373</v>
      </c>
      <c r="E53" s="74">
        <v>300</v>
      </c>
      <c r="F53" s="64" t="s">
        <v>5106</v>
      </c>
      <c r="G53" s="64"/>
      <c r="H53" s="65">
        <v>88028.128320000003</v>
      </c>
    </row>
    <row r="54" spans="2:8" x14ac:dyDescent="0.25">
      <c r="B54" s="87" t="s">
        <v>5060</v>
      </c>
      <c r="C54" s="64"/>
      <c r="D54" s="74" t="s">
        <v>373</v>
      </c>
      <c r="E54" s="74">
        <v>300</v>
      </c>
      <c r="F54" s="64" t="s">
        <v>5107</v>
      </c>
      <c r="G54" s="64"/>
      <c r="H54" s="65">
        <v>34142.341639999999</v>
      </c>
    </row>
    <row r="55" spans="2:8" x14ac:dyDescent="0.25">
      <c r="B55" s="87" t="s">
        <v>5061</v>
      </c>
      <c r="C55" s="64"/>
      <c r="D55" s="74" t="s">
        <v>373</v>
      </c>
      <c r="E55" s="74">
        <v>300</v>
      </c>
      <c r="F55" s="64" t="s">
        <v>5108</v>
      </c>
      <c r="G55" s="64"/>
      <c r="H55" s="65">
        <v>59707.781760000013</v>
      </c>
    </row>
    <row r="56" spans="2:8" ht="15.75" thickBot="1" x14ac:dyDescent="0.3">
      <c r="B56" s="241" t="s">
        <v>5103</v>
      </c>
      <c r="C56" s="242"/>
      <c r="D56" s="243" t="s">
        <v>373</v>
      </c>
      <c r="E56" s="243">
        <v>300</v>
      </c>
      <c r="F56" s="244" t="s">
        <v>5109</v>
      </c>
      <c r="G56" s="242"/>
      <c r="H56" s="146">
        <v>59707</v>
      </c>
    </row>
    <row r="57" spans="2:8" x14ac:dyDescent="0.25">
      <c r="B57" s="240" t="s">
        <v>419</v>
      </c>
    </row>
  </sheetData>
  <mergeCells count="7">
    <mergeCell ref="B28:H28"/>
    <mergeCell ref="B2:H2"/>
    <mergeCell ref="B25:H25"/>
    <mergeCell ref="B5:H5"/>
    <mergeCell ref="B12:H12"/>
    <mergeCell ref="B16:H16"/>
    <mergeCell ref="B20:H20"/>
  </mergeCells>
  <phoneticPr fontId="10" type="noConversion"/>
  <pageMargins left="0.7" right="0.7" top="0.75" bottom="0.75" header="0.3" footer="0.3"/>
  <pageSetup paperSize="9" scale="6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AC71-9B9C-47B8-902B-113E89FFE8C8}">
  <dimension ref="B1:H21"/>
  <sheetViews>
    <sheetView topLeftCell="A10" workbookViewId="0">
      <selection activeCell="B2" sqref="B2:H2"/>
    </sheetView>
  </sheetViews>
  <sheetFormatPr baseColWidth="10" defaultRowHeight="15" x14ac:dyDescent="0.25"/>
  <cols>
    <col min="1" max="1" width="4.7109375" customWidth="1"/>
    <col min="2" max="2" width="14.28515625" customWidth="1"/>
    <col min="3" max="3" width="14.140625" customWidth="1"/>
    <col min="4" max="4" width="6.85546875" customWidth="1"/>
    <col min="5" max="5" width="7.5703125" customWidth="1"/>
    <col min="6" max="6" width="69.42578125" customWidth="1"/>
    <col min="7" max="7" width="8.28515625" customWidth="1"/>
    <col min="8" max="8" width="10.570312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100"/>
      <c r="G3" s="97"/>
      <c r="H3" s="67"/>
    </row>
    <row r="4" spans="2:8" ht="26.25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5137</v>
      </c>
      <c r="H4" s="255" t="s">
        <v>5138</v>
      </c>
    </row>
    <row r="5" spans="2:8" ht="15.75" thickBot="1" x14ac:dyDescent="0.3">
      <c r="B5" s="301" t="s">
        <v>5140</v>
      </c>
      <c r="C5" s="302"/>
      <c r="D5" s="302"/>
      <c r="E5" s="302"/>
      <c r="F5" s="302"/>
      <c r="G5" s="302"/>
      <c r="H5" s="303"/>
    </row>
    <row r="6" spans="2:8" x14ac:dyDescent="0.25">
      <c r="B6" s="106" t="s">
        <v>1531</v>
      </c>
      <c r="C6" s="51"/>
      <c r="D6" s="51" t="s">
        <v>423</v>
      </c>
      <c r="E6" s="250">
        <v>1000</v>
      </c>
      <c r="F6" s="254" t="s">
        <v>5123</v>
      </c>
      <c r="G6" s="248"/>
      <c r="H6" s="81">
        <v>49424.68</v>
      </c>
    </row>
    <row r="7" spans="2:8" x14ac:dyDescent="0.25">
      <c r="B7" s="31" t="s">
        <v>1533</v>
      </c>
      <c r="C7" s="34"/>
      <c r="D7" s="34" t="s">
        <v>423</v>
      </c>
      <c r="E7" s="251">
        <v>1000</v>
      </c>
      <c r="F7" s="208" t="s">
        <v>5124</v>
      </c>
      <c r="G7" s="156"/>
      <c r="H7" s="65">
        <v>37691.299999999996</v>
      </c>
    </row>
    <row r="8" spans="2:8" x14ac:dyDescent="0.25">
      <c r="B8" s="31" t="s">
        <v>1535</v>
      </c>
      <c r="C8" s="34"/>
      <c r="D8" s="34" t="s">
        <v>423</v>
      </c>
      <c r="E8" s="251">
        <v>1000</v>
      </c>
      <c r="F8" s="208" t="s">
        <v>5125</v>
      </c>
      <c r="G8" s="156"/>
      <c r="H8" s="65">
        <v>37820.86</v>
      </c>
    </row>
    <row r="9" spans="2:8" x14ac:dyDescent="0.25">
      <c r="B9" s="110" t="s">
        <v>3496</v>
      </c>
      <c r="C9" s="34"/>
      <c r="D9" s="34" t="s">
        <v>423</v>
      </c>
      <c r="E9" s="251">
        <v>1000</v>
      </c>
      <c r="F9" s="208" t="s">
        <v>5126</v>
      </c>
      <c r="G9" s="156"/>
      <c r="H9" s="65">
        <v>74900</v>
      </c>
    </row>
    <row r="10" spans="2:8" x14ac:dyDescent="0.25">
      <c r="B10" s="110" t="s">
        <v>5112</v>
      </c>
      <c r="C10" s="34"/>
      <c r="D10" s="34" t="s">
        <v>423</v>
      </c>
      <c r="E10" s="251">
        <v>12000</v>
      </c>
      <c r="F10" s="208" t="s">
        <v>5128</v>
      </c>
      <c r="G10" s="156"/>
      <c r="H10" s="65">
        <v>63113.180395683448</v>
      </c>
    </row>
    <row r="11" spans="2:8" x14ac:dyDescent="0.25">
      <c r="B11" s="110" t="s">
        <v>5113</v>
      </c>
      <c r="C11" s="34"/>
      <c r="D11" s="34" t="s">
        <v>423</v>
      </c>
      <c r="E11" s="251">
        <v>10000</v>
      </c>
      <c r="F11" s="208" t="s">
        <v>5127</v>
      </c>
      <c r="G11" s="156"/>
      <c r="H11" s="65">
        <v>37725.980395683444</v>
      </c>
    </row>
    <row r="12" spans="2:8" x14ac:dyDescent="0.25">
      <c r="B12" s="110" t="s">
        <v>5114</v>
      </c>
      <c r="C12" s="34"/>
      <c r="D12" s="34" t="s">
        <v>423</v>
      </c>
      <c r="E12" s="251"/>
      <c r="F12" s="208" t="s">
        <v>5139</v>
      </c>
      <c r="G12" s="156"/>
      <c r="H12" s="65">
        <v>47530.036079136677</v>
      </c>
    </row>
    <row r="13" spans="2:8" x14ac:dyDescent="0.25">
      <c r="B13" s="110" t="s">
        <v>5115</v>
      </c>
      <c r="C13" s="34"/>
      <c r="D13" s="34" t="s">
        <v>423</v>
      </c>
      <c r="E13" s="251">
        <v>5000</v>
      </c>
      <c r="F13" s="208" t="s">
        <v>5129</v>
      </c>
      <c r="G13" s="156"/>
      <c r="H13" s="65">
        <v>42780.780431654675</v>
      </c>
    </row>
    <row r="14" spans="2:8" x14ac:dyDescent="0.25">
      <c r="B14" s="110" t="s">
        <v>5116</v>
      </c>
      <c r="C14" s="64"/>
      <c r="D14" s="34" t="s">
        <v>423</v>
      </c>
      <c r="E14" s="252">
        <v>5000</v>
      </c>
      <c r="F14" s="208" t="s">
        <v>5130</v>
      </c>
      <c r="G14" s="64"/>
      <c r="H14" s="65">
        <v>52836.634370503598</v>
      </c>
    </row>
    <row r="15" spans="2:8" x14ac:dyDescent="0.25">
      <c r="B15" s="110" t="s">
        <v>5117</v>
      </c>
      <c r="C15" s="64"/>
      <c r="D15" s="34" t="s">
        <v>423</v>
      </c>
      <c r="E15" s="252">
        <v>5000</v>
      </c>
      <c r="F15" s="208" t="s">
        <v>5131</v>
      </c>
      <c r="G15" s="64"/>
      <c r="H15" s="65">
        <v>75113.978471223032</v>
      </c>
    </row>
    <row r="16" spans="2:8" x14ac:dyDescent="0.25">
      <c r="B16" s="110" t="s">
        <v>5118</v>
      </c>
      <c r="C16" s="64"/>
      <c r="D16" s="34" t="s">
        <v>423</v>
      </c>
      <c r="E16" s="252">
        <v>2000</v>
      </c>
      <c r="F16" s="208" t="s">
        <v>5132</v>
      </c>
      <c r="G16" s="64"/>
      <c r="H16" s="65">
        <v>29706.600733812946</v>
      </c>
    </row>
    <row r="17" spans="2:8" x14ac:dyDescent="0.25">
      <c r="B17" s="110" t="s">
        <v>5119</v>
      </c>
      <c r="C17" s="64"/>
      <c r="D17" s="34" t="s">
        <v>423</v>
      </c>
      <c r="E17" s="252">
        <v>2000</v>
      </c>
      <c r="F17" s="208" t="s">
        <v>5133</v>
      </c>
      <c r="G17" s="64"/>
      <c r="H17" s="65">
        <v>40132.817848920859</v>
      </c>
    </row>
    <row r="18" spans="2:8" x14ac:dyDescent="0.25">
      <c r="B18" s="110" t="s">
        <v>5120</v>
      </c>
      <c r="C18" s="64"/>
      <c r="D18" s="34" t="s">
        <v>423</v>
      </c>
      <c r="E18" s="252">
        <v>1200</v>
      </c>
      <c r="F18" s="208" t="s">
        <v>5134</v>
      </c>
      <c r="G18" s="64"/>
      <c r="H18" s="65">
        <v>36381.158922302166</v>
      </c>
    </row>
    <row r="19" spans="2:8" x14ac:dyDescent="0.25">
      <c r="B19" s="110" t="s">
        <v>5121</v>
      </c>
      <c r="C19" s="64"/>
      <c r="D19" s="34" t="s">
        <v>423</v>
      </c>
      <c r="E19" s="252">
        <v>7500</v>
      </c>
      <c r="F19" s="208" t="s">
        <v>5135</v>
      </c>
      <c r="G19" s="64"/>
      <c r="H19" s="65">
        <v>135250.47922661871</v>
      </c>
    </row>
    <row r="20" spans="2:8" ht="15.75" thickBot="1" x14ac:dyDescent="0.3">
      <c r="B20" s="249" t="s">
        <v>5122</v>
      </c>
      <c r="C20" s="76"/>
      <c r="D20" s="75" t="s">
        <v>423</v>
      </c>
      <c r="E20" s="253">
        <v>7500</v>
      </c>
      <c r="F20" s="244" t="s">
        <v>5136</v>
      </c>
      <c r="G20" s="76"/>
      <c r="H20" s="89">
        <v>177841.81642985612</v>
      </c>
    </row>
    <row r="21" spans="2:8" x14ac:dyDescent="0.25">
      <c r="B21" s="27" t="s">
        <v>419</v>
      </c>
    </row>
  </sheetData>
  <mergeCells count="2">
    <mergeCell ref="B2:H2"/>
    <mergeCell ref="B5:H5"/>
  </mergeCells>
  <pageMargins left="0.7" right="0.7" top="0.75" bottom="0.75" header="0.3" footer="0.3"/>
  <pageSetup paperSize="9" scale="60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1DE9-B67C-454D-81F8-5F3DA0FA54C4}">
  <dimension ref="B1:H23"/>
  <sheetViews>
    <sheetView topLeftCell="A4" workbookViewId="0">
      <selection activeCell="B2" sqref="B2:H2"/>
    </sheetView>
  </sheetViews>
  <sheetFormatPr baseColWidth="10" defaultRowHeight="15" x14ac:dyDescent="0.25"/>
  <cols>
    <col min="1" max="1" width="4.7109375" customWidth="1"/>
    <col min="2" max="2" width="20.140625" customWidth="1"/>
    <col min="3" max="3" width="17.5703125" customWidth="1"/>
    <col min="4" max="4" width="6.85546875" customWidth="1"/>
    <col min="5" max="5" width="7.42578125" customWidth="1"/>
    <col min="6" max="6" width="61.5703125" customWidth="1"/>
    <col min="7" max="7" width="12.7109375" customWidth="1"/>
    <col min="8" max="8" width="9.5703125" customWidth="1"/>
  </cols>
  <sheetData>
    <row r="1" spans="2:8" ht="15.75" thickBot="1" x14ac:dyDescent="0.3"/>
    <row r="2" spans="2:8" ht="15.75" thickBot="1" x14ac:dyDescent="0.3">
      <c r="B2" s="268" t="s">
        <v>5248</v>
      </c>
      <c r="C2" s="269"/>
      <c r="D2" s="269"/>
      <c r="E2" s="269"/>
      <c r="F2" s="269"/>
      <c r="G2" s="269"/>
      <c r="H2" s="270"/>
    </row>
    <row r="3" spans="2:8" ht="15.75" thickBot="1" x14ac:dyDescent="0.3">
      <c r="B3" s="62"/>
      <c r="C3" s="63" t="s">
        <v>464</v>
      </c>
      <c r="D3" s="63"/>
      <c r="E3" s="63"/>
      <c r="F3" s="100"/>
      <c r="G3" s="97"/>
      <c r="H3" s="67"/>
    </row>
    <row r="4" spans="2:8" ht="31.5" customHeight="1" thickBot="1" x14ac:dyDescent="0.3">
      <c r="B4" s="59" t="s">
        <v>191</v>
      </c>
      <c r="C4" s="60" t="s">
        <v>192</v>
      </c>
      <c r="D4" s="60" t="s">
        <v>193</v>
      </c>
      <c r="E4" s="60" t="s">
        <v>194</v>
      </c>
      <c r="F4" s="60" t="s">
        <v>195</v>
      </c>
      <c r="G4" s="60" t="s">
        <v>5137</v>
      </c>
      <c r="H4" s="255" t="s">
        <v>5138</v>
      </c>
    </row>
    <row r="5" spans="2:8" ht="15.75" customHeight="1" thickBot="1" x14ac:dyDescent="0.3">
      <c r="B5" s="301" t="s">
        <v>5226</v>
      </c>
      <c r="C5" s="302"/>
      <c r="D5" s="302"/>
      <c r="E5" s="302"/>
      <c r="F5" s="302"/>
      <c r="G5" s="302"/>
      <c r="H5" s="303"/>
    </row>
    <row r="6" spans="2:8" x14ac:dyDescent="0.25">
      <c r="B6" s="106" t="s">
        <v>5206</v>
      </c>
      <c r="C6" s="51" t="s">
        <v>5188</v>
      </c>
      <c r="D6" s="51" t="s">
        <v>423</v>
      </c>
      <c r="E6" s="250">
        <v>1000</v>
      </c>
      <c r="F6" s="254" t="s">
        <v>5178</v>
      </c>
      <c r="G6" s="51" t="s">
        <v>5227</v>
      </c>
      <c r="H6" s="81">
        <v>28670</v>
      </c>
    </row>
    <row r="7" spans="2:8" x14ac:dyDescent="0.25">
      <c r="B7" s="104" t="s">
        <v>5207</v>
      </c>
      <c r="C7" s="43" t="s">
        <v>5208</v>
      </c>
      <c r="D7" s="43" t="s">
        <v>423</v>
      </c>
      <c r="E7" s="262">
        <v>1000</v>
      </c>
      <c r="F7" s="263" t="s">
        <v>5187</v>
      </c>
      <c r="G7" s="43" t="s">
        <v>5227</v>
      </c>
      <c r="H7" s="99">
        <v>28670</v>
      </c>
    </row>
    <row r="8" spans="2:8" x14ac:dyDescent="0.25">
      <c r="B8" s="31" t="s">
        <v>5209</v>
      </c>
      <c r="C8" s="34" t="s">
        <v>5179</v>
      </c>
      <c r="D8" s="34" t="s">
        <v>423</v>
      </c>
      <c r="E8" s="251">
        <v>1000</v>
      </c>
      <c r="F8" s="208" t="s">
        <v>5210</v>
      </c>
      <c r="G8" s="43" t="s">
        <v>5227</v>
      </c>
      <c r="H8" s="99">
        <v>32739</v>
      </c>
    </row>
    <row r="9" spans="2:8" x14ac:dyDescent="0.25">
      <c r="B9" s="31" t="s">
        <v>5211</v>
      </c>
      <c r="C9" s="34" t="s">
        <v>5212</v>
      </c>
      <c r="D9" s="34" t="s">
        <v>423</v>
      </c>
      <c r="E9" s="251">
        <v>1000</v>
      </c>
      <c r="F9" s="208" t="s">
        <v>5189</v>
      </c>
      <c r="G9" s="43" t="s">
        <v>5227</v>
      </c>
      <c r="H9" s="65">
        <v>33277</v>
      </c>
    </row>
    <row r="10" spans="2:8" x14ac:dyDescent="0.25">
      <c r="B10" s="31" t="s">
        <v>5213</v>
      </c>
      <c r="C10" s="34" t="s">
        <v>5181</v>
      </c>
      <c r="D10" s="34" t="s">
        <v>423</v>
      </c>
      <c r="E10" s="251">
        <v>1000</v>
      </c>
      <c r="F10" s="208" t="s">
        <v>5180</v>
      </c>
      <c r="G10" s="43" t="s">
        <v>5227</v>
      </c>
      <c r="H10" s="65">
        <v>32439</v>
      </c>
    </row>
    <row r="11" spans="2:8" x14ac:dyDescent="0.25">
      <c r="B11" s="31" t="s">
        <v>5214</v>
      </c>
      <c r="C11" s="34" t="s">
        <v>5191</v>
      </c>
      <c r="D11" s="34" t="s">
        <v>423</v>
      </c>
      <c r="E11" s="251">
        <v>500</v>
      </c>
      <c r="F11" s="208" t="s">
        <v>5190</v>
      </c>
      <c r="G11" s="43" t="s">
        <v>5228</v>
      </c>
      <c r="H11" s="65">
        <v>65256</v>
      </c>
    </row>
    <row r="12" spans="2:8" x14ac:dyDescent="0.25">
      <c r="B12" s="31" t="s">
        <v>5215</v>
      </c>
      <c r="C12" s="34" t="s">
        <v>5216</v>
      </c>
      <c r="D12" s="34" t="s">
        <v>423</v>
      </c>
      <c r="E12" s="251">
        <v>1000</v>
      </c>
      <c r="F12" s="208" t="s">
        <v>5192</v>
      </c>
      <c r="G12" s="43" t="s">
        <v>5227</v>
      </c>
      <c r="H12" s="65">
        <v>52543</v>
      </c>
    </row>
    <row r="13" spans="2:8" x14ac:dyDescent="0.25">
      <c r="B13" s="31" t="s">
        <v>5245</v>
      </c>
      <c r="C13" s="34" t="s">
        <v>5194</v>
      </c>
      <c r="D13" s="34" t="s">
        <v>423</v>
      </c>
      <c r="E13" s="251">
        <v>500</v>
      </c>
      <c r="F13" s="208" t="s">
        <v>5195</v>
      </c>
      <c r="G13" s="43" t="s">
        <v>5228</v>
      </c>
      <c r="H13" s="65">
        <v>65256</v>
      </c>
    </row>
    <row r="14" spans="2:8" x14ac:dyDescent="0.25">
      <c r="B14" s="31" t="s">
        <v>5246</v>
      </c>
      <c r="C14" s="34" t="s">
        <v>5193</v>
      </c>
      <c r="D14" s="34" t="s">
        <v>423</v>
      </c>
      <c r="E14" s="251">
        <v>1000</v>
      </c>
      <c r="F14" s="208" t="s">
        <v>5247</v>
      </c>
      <c r="G14" s="43" t="s">
        <v>5227</v>
      </c>
      <c r="H14" s="65">
        <v>38640</v>
      </c>
    </row>
    <row r="15" spans="2:8" x14ac:dyDescent="0.25">
      <c r="B15" s="31" t="s">
        <v>5217</v>
      </c>
      <c r="C15" s="34" t="s">
        <v>5183</v>
      </c>
      <c r="D15" s="34" t="s">
        <v>423</v>
      </c>
      <c r="E15" s="251">
        <v>1000</v>
      </c>
      <c r="F15" s="208" t="s">
        <v>5182</v>
      </c>
      <c r="G15" s="43" t="s">
        <v>5227</v>
      </c>
      <c r="H15" s="65">
        <v>64664</v>
      </c>
    </row>
    <row r="16" spans="2:8" x14ac:dyDescent="0.25">
      <c r="B16" s="110" t="s">
        <v>5218</v>
      </c>
      <c r="C16" s="34" t="s">
        <v>5185</v>
      </c>
      <c r="D16" s="34" t="s">
        <v>423</v>
      </c>
      <c r="E16" s="251">
        <v>1000</v>
      </c>
      <c r="F16" s="208" t="s">
        <v>5184</v>
      </c>
      <c r="G16" s="43" t="s">
        <v>5227</v>
      </c>
      <c r="H16" s="65">
        <v>62520</v>
      </c>
    </row>
    <row r="17" spans="2:8" x14ac:dyDescent="0.25">
      <c r="B17" s="110" t="s">
        <v>5219</v>
      </c>
      <c r="C17" s="34" t="s">
        <v>5220</v>
      </c>
      <c r="D17" s="34" t="s">
        <v>423</v>
      </c>
      <c r="E17" s="251">
        <v>1000</v>
      </c>
      <c r="F17" s="208" t="s">
        <v>5186</v>
      </c>
      <c r="G17" s="43" t="s">
        <v>5227</v>
      </c>
      <c r="H17" s="65">
        <v>64634</v>
      </c>
    </row>
    <row r="18" spans="2:8" x14ac:dyDescent="0.25">
      <c r="B18" s="110" t="s">
        <v>5221</v>
      </c>
      <c r="C18" s="34" t="s">
        <v>5197</v>
      </c>
      <c r="D18" s="34" t="s">
        <v>423</v>
      </c>
      <c r="E18" s="251">
        <v>500</v>
      </c>
      <c r="F18" s="208" t="s">
        <v>5196</v>
      </c>
      <c r="G18" s="43" t="s">
        <v>5228</v>
      </c>
      <c r="H18" s="65">
        <v>85719</v>
      </c>
    </row>
    <row r="19" spans="2:8" x14ac:dyDescent="0.25">
      <c r="B19" s="110" t="s">
        <v>5222</v>
      </c>
      <c r="C19" s="34" t="s">
        <v>5199</v>
      </c>
      <c r="D19" s="34" t="s">
        <v>423</v>
      </c>
      <c r="E19" s="251">
        <v>500</v>
      </c>
      <c r="F19" s="208" t="s">
        <v>5198</v>
      </c>
      <c r="G19" s="43" t="s">
        <v>5228</v>
      </c>
      <c r="H19" s="65">
        <v>85719</v>
      </c>
    </row>
    <row r="20" spans="2:8" x14ac:dyDescent="0.25">
      <c r="B20" s="110" t="s">
        <v>5223</v>
      </c>
      <c r="C20" s="74" t="s">
        <v>5200</v>
      </c>
      <c r="D20" s="34" t="s">
        <v>423</v>
      </c>
      <c r="E20" s="252">
        <v>1000</v>
      </c>
      <c r="F20" s="208" t="s">
        <v>5201</v>
      </c>
      <c r="G20" s="43" t="s">
        <v>5227</v>
      </c>
      <c r="H20" s="65">
        <v>51499</v>
      </c>
    </row>
    <row r="21" spans="2:8" x14ac:dyDescent="0.25">
      <c r="B21" s="110" t="s">
        <v>5224</v>
      </c>
      <c r="C21" s="74" t="s">
        <v>5203</v>
      </c>
      <c r="D21" s="34" t="s">
        <v>423</v>
      </c>
      <c r="E21" s="252">
        <v>1000</v>
      </c>
      <c r="F21" s="208" t="s">
        <v>5202</v>
      </c>
      <c r="G21" s="43" t="s">
        <v>5227</v>
      </c>
      <c r="H21" s="65">
        <v>103418</v>
      </c>
    </row>
    <row r="22" spans="2:8" x14ac:dyDescent="0.25">
      <c r="B22" s="110" t="s">
        <v>5225</v>
      </c>
      <c r="C22" s="74" t="s">
        <v>5205</v>
      </c>
      <c r="D22" s="34" t="s">
        <v>423</v>
      </c>
      <c r="E22" s="252">
        <v>1000</v>
      </c>
      <c r="F22" s="208" t="s">
        <v>5204</v>
      </c>
      <c r="G22" s="43" t="s">
        <v>5227</v>
      </c>
      <c r="H22" s="65">
        <v>38943</v>
      </c>
    </row>
    <row r="23" spans="2:8" x14ac:dyDescent="0.25">
      <c r="B23" s="27" t="s">
        <v>419</v>
      </c>
    </row>
  </sheetData>
  <mergeCells count="2">
    <mergeCell ref="B2:H2"/>
    <mergeCell ref="B5:H5"/>
  </mergeCells>
  <pageMargins left="0.7" right="0.7" top="0.75" bottom="0.75" header="0.3" footer="0.3"/>
  <pageSetup paperSize="9" scale="60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40E2-5674-4CF7-B042-ADCF7FB0FFF5}">
  <dimension ref="A19"/>
  <sheetViews>
    <sheetView workbookViewId="0">
      <selection activeCell="M14" sqref="M14"/>
    </sheetView>
  </sheetViews>
  <sheetFormatPr baseColWidth="10" defaultRowHeight="15" x14ac:dyDescent="0.25"/>
  <cols>
    <col min="1" max="1" width="5.7109375" customWidth="1"/>
  </cols>
  <sheetData>
    <row r="19" ht="13.5" customHeight="1" x14ac:dyDescent="0.25"/>
  </sheetData>
  <pageMargins left="0.7" right="0.7" top="0.75" bottom="0.75" header="0.3" footer="0.3"/>
  <pageSetup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F881-7512-4670-B2AB-C081D59040F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4902909A93D44EB39884263B6D3562" ma:contentTypeVersion="10" ma:contentTypeDescription="Create a new document." ma:contentTypeScope="" ma:versionID="0b38a856fac4cfc38ad37bad82d95c61">
  <xsd:schema xmlns:xsd="http://www.w3.org/2001/XMLSchema" xmlns:xs="http://www.w3.org/2001/XMLSchema" xmlns:p="http://schemas.microsoft.com/office/2006/metadata/properties" xmlns:ns3="ce213728-e6e6-4f39-88ff-0f9cf393fa64" xmlns:ns4="22e10dfa-5051-4829-b510-c46cd1ad17e0" targetNamespace="http://schemas.microsoft.com/office/2006/metadata/properties" ma:root="true" ma:fieldsID="9be41c968ed94ab548140f1d02e45a75" ns3:_="" ns4:_="">
    <xsd:import namespace="ce213728-e6e6-4f39-88ff-0f9cf393fa64"/>
    <xsd:import namespace="22e10dfa-5051-4829-b510-c46cd1ad17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13728-e6e6-4f39-88ff-0f9cf393fa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10dfa-5051-4829-b510-c46cd1ad17e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67ECA-B5DE-4758-A982-54AEF124E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213728-e6e6-4f39-88ff-0f9cf393fa64"/>
    <ds:schemaRef ds:uri="22e10dfa-5051-4829-b510-c46cd1ad17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F0481-A112-4806-91E7-1FC641A831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6226D7-6960-42A5-8A2A-176027A6C0D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ce213728-e6e6-4f39-88ff-0f9cf393fa64"/>
    <ds:schemaRef ds:uri="http://purl.org/dc/dcmitype/"/>
    <ds:schemaRef ds:uri="http://purl.org/dc/elements/1.1/"/>
    <ds:schemaRef ds:uri="http://schemas.microsoft.com/office/infopath/2007/PartnerControls"/>
    <ds:schemaRef ds:uri="22e10dfa-5051-4829-b510-c46cd1ad17e0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8cfa998-f805-49cf-849a-5c8306f18c04}" enabled="0" method="" siteId="{38cfa998-f805-49cf-849a-5c8306f18c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15</vt:i4>
      </vt:variant>
    </vt:vector>
  </HeadingPairs>
  <TitlesOfParts>
    <vt:vector size="36" baseType="lpstr">
      <vt:lpstr>lista</vt:lpstr>
      <vt:lpstr>Hoja1</vt:lpstr>
      <vt:lpstr>amb</vt:lpstr>
      <vt:lpstr>Papeles-Cartulina</vt:lpstr>
      <vt:lpstr>LISTA 22.09.2025</vt:lpstr>
      <vt:lpstr>PVC</vt:lpstr>
      <vt:lpstr>Porta Comida XPS</vt:lpstr>
      <vt:lpstr>Band. Expandido</vt:lpstr>
      <vt:lpstr>Linea Aluminio</vt:lpstr>
      <vt:lpstr>Línea Vajilla</vt:lpstr>
      <vt:lpstr>Pote Safety - Roaster</vt:lpstr>
      <vt:lpstr>Potes </vt:lpstr>
      <vt:lpstr>Ensaladeras y Blister</vt:lpstr>
      <vt:lpstr>Panaderia</vt:lpstr>
      <vt:lpstr>Estuches PP</vt:lpstr>
      <vt:lpstr>Frascos-Vasos-Protogo</vt:lpstr>
      <vt:lpstr>Linea BIO-Bagazo</vt:lpstr>
      <vt:lpstr>Vajilla Madera</vt:lpstr>
      <vt:lpstr>Vaso Polipapel</vt:lpstr>
      <vt:lpstr>Band. Envolvibles Aut.</vt:lpstr>
      <vt:lpstr>Hoja2</vt:lpstr>
      <vt:lpstr>'Band. Envolvibles Aut.'!Área_de_impresión</vt:lpstr>
      <vt:lpstr>'Band. Expandido'!Área_de_impresión</vt:lpstr>
      <vt:lpstr>'Ensaladeras y Blister'!Área_de_impresión</vt:lpstr>
      <vt:lpstr>'Estuches PP'!Área_de_impresión</vt:lpstr>
      <vt:lpstr>'Frascos-Vasos-Protogo'!Área_de_impresión</vt:lpstr>
      <vt:lpstr>'Linea Aluminio'!Área_de_impresión</vt:lpstr>
      <vt:lpstr>'Linea BIO-Bagazo'!Área_de_impresión</vt:lpstr>
      <vt:lpstr>'Línea Vajilla'!Área_de_impresión</vt:lpstr>
      <vt:lpstr>Panaderia!Área_de_impresión</vt:lpstr>
      <vt:lpstr>'Papeles-Cartulina'!Área_de_impresión</vt:lpstr>
      <vt:lpstr>'Porta Comida XPS'!Área_de_impresión</vt:lpstr>
      <vt:lpstr>'Potes '!Área_de_impresión</vt:lpstr>
      <vt:lpstr>PVC!Área_de_impresión</vt:lpstr>
      <vt:lpstr>'Vajilla Madera'!Área_de_impresión</vt:lpstr>
      <vt:lpstr>'Vaso Polipapel'!Área_de_impresión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Sandez</dc:creator>
  <cp:lastModifiedBy>AAndraca</cp:lastModifiedBy>
  <cp:lastPrinted>2026-10-07T13:09:11Z</cp:lastPrinted>
  <dcterms:created xsi:type="dcterms:W3CDTF">2022-07-04T15:19:30Z</dcterms:created>
  <dcterms:modified xsi:type="dcterms:W3CDTF">2026-10-26T18:14:39Z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0x010100464902909A93D44EB39884263B6D3562</vt:lpwstr>
  </property>
</Properties>
</file>